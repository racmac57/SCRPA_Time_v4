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tables/table3.xml" ContentType="application/vnd.openxmlformats-officedocument.spreadsheetml.table+xml"/>
  <Override PartName="/xl/queryTables/queryTable3.xml" ContentType="application/vnd.openxmlformats-officedocument.spreadsheetml.query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4.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pivotTables/pivotTable13.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6.xml" ContentType="application/vnd.openxmlformats-officedocument.drawing+xml"/>
  <Override PartName="/xl/tables/table8.xml" ContentType="application/vnd.openxmlformats-officedocument.spreadsheetml.table+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tables/table9.xml" ContentType="application/vnd.openxmlformats-officedocument.spreadsheetml.table+xml"/>
  <Override PartName="/xl/queryTables/queryTable8.xml" ContentType="application/vnd.openxmlformats-officedocument.spreadsheetml.query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7.xml" ContentType="application/vnd.openxmlformats-officedocument.drawing+xml"/>
  <Override PartName="/xl/charts/chart17.xml" ContentType="application/vnd.openxmlformats-officedocument.drawingml.chart+xml"/>
  <Override PartName="/xl/charts/chart18.xml" ContentType="application/vnd.openxmlformats-officedocument.drawingml.chart+xml"/>
  <Override PartName="/xl/tables/table10.xml" ContentType="application/vnd.openxmlformats-officedocument.spreadsheetml.table+xml"/>
  <Override PartName="/xl/queryTables/queryTable9.xml" ContentType="application/vnd.openxmlformats-officedocument.spreadsheetml.query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8.xml" ContentType="application/vnd.openxmlformats-officedocument.drawing+xml"/>
  <Override PartName="/xl/tables/table11.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tables/table12.xml" ContentType="application/vnd.openxmlformats-officedocument.spreadsheetml.table+xml"/>
  <Override PartName="/xl/queryTables/queryTable10.xml" ContentType="application/vnd.openxmlformats-officedocument.spreadsheetml.query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drawings/drawing9.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drawings/drawing10.xml" ContentType="application/vnd.openxmlformats-officedocument.drawing+xml"/>
  <Override PartName="/xl/charts/chart24.xml" ContentType="application/vnd.openxmlformats-officedocument.drawingml.chart+xml"/>
  <Override PartName="/xl/charts/style1.xml" ContentType="application/vnd.ms-office.chartstyle+xml"/>
  <Override PartName="/xl/charts/colors1.xml" ContentType="application/vnd.ms-office.chartcolorstyle+xml"/>
  <Override PartName="/xl/tables/table15.xml" ContentType="application/vnd.openxmlformats-officedocument.spreadsheetml.table+xml"/>
  <Override PartName="/xl/queryTables/queryTable12.xml" ContentType="application/vnd.openxmlformats-officedocument.spreadsheetml.queryTable+xml"/>
  <Override PartName="/xl/tables/table16.xml" ContentType="application/vnd.openxmlformats-officedocument.spreadsheetml.table+xml"/>
  <Override PartName="/xl/queryTables/queryTable13.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04" codeName="{899C9086-67A9-5B14-2C2D-5A8001700F7D}"/>
  <workbookPr codeName="ThisWorkbook"/>
  <mc:AlternateContent xmlns:mc="http://schemas.openxmlformats.org/markup-compatibility/2006">
    <mc:Choice Requires="x15">
      <x15ac:absPath xmlns:x15ac="http://schemas.microsoft.com/office/spreadsheetml/2010/11/ac" url="https://hackensack-my.sharepoint.com/personal/rcarucci_hackensackpd_org/Documents/25_SCRPA/Place_Based/MASTER_PLACE_BASED/"/>
    </mc:Choice>
  </mc:AlternateContent>
  <xr:revisionPtr revIDLastSave="587" documentId="8_{6FC51A05-9730-4EA2-8746-79E2E622DFB9}" xr6:coauthVersionLast="47" xr6:coauthVersionMax="47" xr10:uidLastSave="{BC22F339-3784-4A19-8D88-CA3FC313FA75}"/>
  <bookViews>
    <workbookView xWindow="-108" yWindow="-108" windowWidth="23256" windowHeight="12456" firstSheet="5" activeTab="9" xr2:uid="{00000000-000D-0000-FFFF-FFFF00000000}"/>
  </bookViews>
  <sheets>
    <sheet name="C_RPT" sheetId="20" r:id="rId1"/>
    <sheet name="C_R_Burg" sheetId="7" r:id="rId2"/>
    <sheet name="MV_Burg" sheetId="8" r:id="rId3"/>
    <sheet name="MV_BPT" sheetId="21" r:id="rId4"/>
    <sheet name="MV_Theft" sheetId="9" r:id="rId5"/>
    <sheet name="MV_TPT" sheetId="22" r:id="rId6"/>
    <sheet name="Robbery" sheetId="10" r:id="rId7"/>
    <sheet name="RobPT" sheetId="23" r:id="rId8"/>
    <sheet name="Sheet5" sheetId="24" r:id="rId9"/>
    <sheet name="ALL_CRIME" sheetId="25" r:id="rId10"/>
    <sheet name="Sex_Offenses" sheetId="11" r:id="rId11"/>
    <sheet name="5_6" sheetId="3" r:id="rId12"/>
    <sheet name="5_6PT" sheetId="17" r:id="rId13"/>
    <sheet name="7" sheetId="4" r:id="rId14"/>
    <sheet name="7PT" sheetId="16" r:id="rId15"/>
    <sheet name="8" sheetId="5" r:id="rId16"/>
    <sheet name="8pt" sheetId="15" r:id="rId17"/>
    <sheet name="9" sheetId="6" r:id="rId18"/>
    <sheet name="9PT" sheetId="14" r:id="rId19"/>
    <sheet name="SCRPA (2)" sheetId="12" r:id="rId20"/>
    <sheet name="SCRPA" sheetId="2" r:id="rId21"/>
    <sheet name="Templet" sheetId="13" r:id="rId22"/>
    <sheet name="Week_Cycle" sheetId="18" r:id="rId23"/>
    <sheet name="28_cycle" sheetId="19" r:id="rId24"/>
    <sheet name="ورقة1" sheetId="1" state="hidden" r:id="rId25"/>
  </sheets>
  <definedNames>
    <definedName name="ExternalData_1" localSheetId="19" hidden="1">'SCRPA (2)'!$A$1:$BD$30</definedName>
    <definedName name="ExternalData_10" localSheetId="23" hidden="1">'28_cycle'!$A$1:$C$15</definedName>
    <definedName name="ExternalData_10" localSheetId="10" hidden="1">Sex_Offenses!$A$1:$BE$3</definedName>
    <definedName name="ExternalData_11" localSheetId="9" hidden="1">ALL_CRIME!$A$1:$AU$111</definedName>
    <definedName name="ExternalData_2" localSheetId="11" hidden="1">'5_6'!$A$1:$BD$10</definedName>
    <definedName name="ExternalData_3" localSheetId="13" hidden="1">'7'!$A$1:$BD$6</definedName>
    <definedName name="ExternalData_4" localSheetId="15" hidden="1">'8'!$A$1:$BD$8</definedName>
    <definedName name="ExternalData_5" localSheetId="17" hidden="1">'9'!$A$1:$BD$10</definedName>
    <definedName name="ExternalData_6" localSheetId="1" hidden="1">'C_R_Burg'!$A$1:$BE$7</definedName>
    <definedName name="ExternalData_7" localSheetId="2" hidden="1">MV_Burg!$A$1:$BE$5</definedName>
    <definedName name="ExternalData_8" localSheetId="4" hidden="1">MV_Theft!$A$1:$BE$12</definedName>
    <definedName name="ExternalData_9" localSheetId="6" hidden="1">'Robbery'!$A$1:$BE$6</definedName>
    <definedName name="ExternalData_9" localSheetId="22" hidden="1">Week_Cycle!$A$1:$C$55</definedName>
  </definedNames>
  <calcPr calcId="191028"/>
  <pivotCaches>
    <pivotCache cacheId="0" r:id="rId26"/>
    <pivotCache cacheId="1" r:id="rId27"/>
    <pivotCache cacheId="2" r:id="rId28"/>
    <pivotCache cacheId="3" r:id="rId29"/>
    <pivotCache cacheId="4" r:id="rId30"/>
    <pivotCache cacheId="5" r:id="rId31"/>
    <pivotCache cacheId="6" r:id="rId32"/>
    <pivotCache cacheId="7" r:id="rId33"/>
    <pivotCache cacheId="8" r:id="rId3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4CD2791-3AF2-4E42-9FAD-62356EC648A7}" keepAlive="1" name="Query - 28_cycle" description="Connection to the '28_cycle' query in the workbook." type="5" refreshedVersion="8" background="1" saveData="1">
    <dbPr connection="Provider=Microsoft.Mashup.OleDb.1;Data Source=$Workbook$;Location=28_cycle;Extended Properties=&quot;&quot;" command="SELECT * FROM [28_cycle]"/>
  </connection>
  <connection id="2" xr16:uid="{00000000-0015-0000-FFFF-FFFF00000000}" keepAlive="1" name="Query - 5_6" description="Connection to the '5_6' query in the workbook." type="5" refreshedVersion="8" background="1" saveData="1">
    <dbPr connection="Provider=Microsoft.Mashup.OleDb.1;Data Source=$Workbook$;Location=5_6;Extended Properties=&quot;&quot;" command="SELECT * FROM [5_6]"/>
  </connection>
  <connection id="3" xr16:uid="{00000000-0015-0000-FFFF-FFFF01000000}" keepAlive="1" name="Query - 7" description="Connection to the '7' query in the workbook." type="5" refreshedVersion="8" background="1" saveData="1">
    <dbPr connection="Provider=Microsoft.Mashup.OleDb.1;Data Source=$Workbook$;Location=7;Extended Properties=&quot;&quot;" command="SELECT * FROM [7]"/>
  </connection>
  <connection id="4" xr16:uid="{00000000-0015-0000-FFFF-FFFF02000000}" keepAlive="1" name="Query - 8" description="Connection to the '8' query in the workbook." type="5" refreshedVersion="8" background="1" saveData="1">
    <dbPr connection="Provider=Microsoft.Mashup.OleDb.1;Data Source=$Workbook$;Location=8;Extended Properties=&quot;&quot;" command="SELECT * FROM [8]"/>
  </connection>
  <connection id="5" xr16:uid="{00000000-0015-0000-FFFF-FFFF03000000}" keepAlive="1" name="Query - 9" description="Connection to the '9' query in the workbook." type="5" refreshedVersion="8" background="1" saveData="1">
    <dbPr connection="Provider=Microsoft.Mashup.OleDb.1;Data Source=$Workbook$;Location=9;Extended Properties=&quot;&quot;" command="SELECT * FROM [9]"/>
  </connection>
  <connection id="6" xr16:uid="{DD05B309-3749-4D3F-8403-A0FDEE5D948B}" keepAlive="1" name="Query - ALL_CRIME" description="Connection to the 'ALL_CRIME' query in the workbook." type="5" refreshedVersion="8" background="1" saveData="1">
    <dbPr connection="Provider=Microsoft.Mashup.OleDb.1;Data Source=$Workbook$;Location=ALL_CRIME;Extended Properties=&quot;&quot;" command="SELECT * FROM [ALL_CRIME]"/>
  </connection>
  <connection id="7" xr16:uid="{00000000-0015-0000-FFFF-FFFF04000000}" keepAlive="1" name="Query - C_R_Burg" description="Connection to the 'C_R_Burg' query in the workbook." type="5" refreshedVersion="8" background="1" saveData="1">
    <dbPr connection="Provider=Microsoft.Mashup.OleDb.1;Data Source=$Workbook$;Location=C_R_Burg;Extended Properties=&quot;&quot;" command="SELECT * FROM [C_R_Burg]"/>
  </connection>
  <connection id="8" xr16:uid="{00000000-0015-0000-FFFF-FFFF05000000}" keepAlive="1" name="Query - MV_Burg" description="Connection to the 'MV_Burg' query in the workbook." type="5" refreshedVersion="8" background="1" saveData="1">
    <dbPr connection="Provider=Microsoft.Mashup.OleDb.1;Data Source=$Workbook$;Location=MV_Burg;Extended Properties=&quot;&quot;" command="SELECT * FROM [MV_Burg]"/>
  </connection>
  <connection id="9" xr16:uid="{00000000-0015-0000-FFFF-FFFF06000000}" keepAlive="1" name="Query - MV_Theft" description="Connection to the 'MV_Theft' query in the workbook." type="5" refreshedVersion="8" background="1" saveData="1">
    <dbPr connection="Provider=Microsoft.Mashup.OleDb.1;Data Source=$Workbook$;Location=MV_Theft;Extended Properties=&quot;&quot;" command="SELECT * FROM [MV_Theft]"/>
  </connection>
  <connection id="10" xr16:uid="{00000000-0015-0000-FFFF-FFFF07000000}"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11" xr16:uid="{79B4E36F-48BA-459B-85EC-331297F07324}"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12" xr16:uid="{00000000-0015-0000-FFFF-FFFF08000000}" keepAlive="1" name="Query - Robbery" description="Connection to the 'Robbery' query in the workbook." type="5" refreshedVersion="8" background="1" saveData="1">
    <dbPr connection="Provider=Microsoft.Mashup.OleDb.1;Data Source=$Workbook$;Location=Robbery;Extended Properties=&quot;&quot;" command="SELECT * FROM [Robbery]"/>
  </connection>
  <connection id="13" xr16:uid="{00000000-0015-0000-FFFF-FFFF09000000}"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4" xr16:uid="{8E67F6F3-D7AB-4C23-B63E-4415A055CA2D}"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5" xr16:uid="{00000000-0015-0000-FFFF-FFFF0A000000}" keepAlive="1" name="Query - SCRPA (2)" description="Connection to the 'SCRPA (2)' query in the workbook." type="5" refreshedVersion="8" background="1" saveData="1">
    <dbPr connection="Provider=Microsoft.Mashup.OleDb.1;Data Source=$Workbook$;Location=&quot;SCRPA (2)&quot;;Extended Properties=&quot;&quot;" command="SELECT * FROM [SCRPA (2)]"/>
  </connection>
  <connection id="16" xr16:uid="{00000000-0015-0000-FFFF-FFFF0B000000}" keepAlive="1" name="Query - Sex_Offenses" description="Connection to the 'Sex_Offenses' query in the workbook." type="5" refreshedVersion="8" background="1" saveData="1">
    <dbPr connection="Provider=Microsoft.Mashup.OleDb.1;Data Source=$Workbook$;Location=Sex_Offenses;Extended Properties=&quot;&quot;" command="SELECT * FROM [Sex_Offenses]"/>
  </connection>
  <connection id="17" xr16:uid="{28A9E335-47B8-47EE-B7C7-77B188069AA2}" keepAlive="1" name="Query - Transform ALL_CRIME" description="Connection to the 'Transform ALL_CRIME' query in the workbook." type="5" refreshedVersion="0" background="1">
    <dbPr connection="Provider=Microsoft.Mashup.OleDb.1;Data Source=$Workbook$;Location=&quot;Transform ALL_CRIME&quot;;Extended Properties=&quot;&quot;" command="SELECT * FROM [Transform ALL_CRIME]"/>
  </connection>
  <connection id="18" xr16:uid="{00000000-0015-0000-FFFF-FFFF0C000000}"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9" xr16:uid="{40E24346-353C-4979-BF0A-83AF4376BDA2}"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20" xr16:uid="{00000000-0015-0000-FFFF-FFFF0D000000}"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21" xr16:uid="{840DB23A-F8EB-4997-A8E7-E3D513D109FB}" keepAlive="1" name="Query - Week_Cycle" description="Connection to the 'Week_Cycle' query in the workbook." type="5" refreshedVersion="8" background="1" saveData="1">
    <dbPr connection="Provider=Microsoft.Mashup.OleDb.1;Data Source=$Workbook$;Location=Week_Cycle;Extended Properties=&quot;&quot;" command="SELECT * FROM [Week_Cycle]"/>
  </connection>
</connections>
</file>

<file path=xl/sharedStrings.xml><?xml version="1.0" encoding="utf-8"?>
<sst xmlns="http://schemas.openxmlformats.org/spreadsheetml/2006/main" count="6219" uniqueCount="573">
  <si>
    <t>Case Number</t>
  </si>
  <si>
    <t>Incident Date</t>
  </si>
  <si>
    <t>Incident Time</t>
  </si>
  <si>
    <t>Incident Date_Between</t>
  </si>
  <si>
    <t>Incident Time_Between</t>
  </si>
  <si>
    <t>Report Date</t>
  </si>
  <si>
    <t>Report Time</t>
  </si>
  <si>
    <t>Incident Type_1</t>
  </si>
  <si>
    <t>Incident Type_2</t>
  </si>
  <si>
    <t>Incident Type_3</t>
  </si>
  <si>
    <t>FullAddress</t>
  </si>
  <si>
    <t>Grid</t>
  </si>
  <si>
    <t>Zone</t>
  </si>
  <si>
    <t>Narrative</t>
  </si>
  <si>
    <t>Total Value Stolen</t>
  </si>
  <si>
    <t>Total Value Recover</t>
  </si>
  <si>
    <t>Registration 1</t>
  </si>
  <si>
    <t>Make1</t>
  </si>
  <si>
    <t>Model1</t>
  </si>
  <si>
    <t>Reg State 1</t>
  </si>
  <si>
    <t>Registration 2</t>
  </si>
  <si>
    <t>Reg State 2</t>
  </si>
  <si>
    <t>Make2</t>
  </si>
  <si>
    <t>Model2</t>
  </si>
  <si>
    <t>Reviewed By</t>
  </si>
  <si>
    <t>CompleteCalc</t>
  </si>
  <si>
    <t>Officer of Record</t>
  </si>
  <si>
    <t>Squad</t>
  </si>
  <si>
    <t>Det_Assigned</t>
  </si>
  <si>
    <t>Case_Status</t>
  </si>
  <si>
    <t>NIBRS Classification</t>
  </si>
  <si>
    <t>OCA_Length</t>
  </si>
  <si>
    <t>All_Incident_Types</t>
  </si>
  <si>
    <t>INC_Date</t>
  </si>
  <si>
    <t>Year</t>
  </si>
  <si>
    <t>Month Name</t>
  </si>
  <si>
    <t>Quarter</t>
  </si>
  <si>
    <t>Week of Year</t>
  </si>
  <si>
    <t>Week of Month</t>
  </si>
  <si>
    <t>Day Name</t>
  </si>
  <si>
    <t>Day of Year</t>
  </si>
  <si>
    <t>Day</t>
  </si>
  <si>
    <t>INC_Time</t>
  </si>
  <si>
    <t>Start of Hour</t>
  </si>
  <si>
    <t>INC_Date_and_Time</t>
  </si>
  <si>
    <t>Narrative - Copy</t>
  </si>
  <si>
    <t>MV_Info</t>
  </si>
  <si>
    <t>25-000813</t>
  </si>
  <si>
    <t>Motor Vehicle Theft</t>
  </si>
  <si>
    <t/>
  </si>
  <si>
    <t>309 Lookout Avenue, Hackensack, NJ, 07601</t>
  </si>
  <si>
    <t>I2</t>
  </si>
  <si>
    <t>On Saturday, January 4th, 2025, I responded to the listed location on a report of a motor vehicle theft. Upon arrival, I met the registered owner, who reported that his vehicle was parked in the driveway at 21:30 hours on 01/03/2025. He further reported that he left his residence with his friends in his friend's vehicle and returned to his residence on the morning of 01/04/2025. He noticed his vehicle was taken from his driveway. The registered owner reported there was nothing valuable in the car and was uncertain if the spare keys were in the vehicle. Both New Jersey plates are affixed to the vehicle.      Communications advised me that the vehicle was located in Clarkstown, NY, and was involved in a motor vehicle hit-and-run accident. The registered owner was also advised of the vehicle's location. I observed no cameras in the area.      The victim did not want the vehicle processed or to sign complaints if the suspect(s) are identified.     A New Jersey Victim Notification form was completed and provided to the registered owner.     An ATTF entry was completed    A motor vehicle checklist was completed and submitted.</t>
  </si>
  <si>
    <t>W46ULY</t>
  </si>
  <si>
    <t>HONDA</t>
  </si>
  <si>
    <t>ACC</t>
  </si>
  <si>
    <t>NJ</t>
  </si>
  <si>
    <t>Klosk_J</t>
  </si>
  <si>
    <t>Complete</t>
  </si>
  <si>
    <t>P.O. Nicholas Mazzaccaro 377</t>
  </si>
  <si>
    <t>B4</t>
  </si>
  <si>
    <t>Det. Robert Ghirardi 150</t>
  </si>
  <si>
    <t>Active/Administratively Closed</t>
  </si>
  <si>
    <t>240 = Theft of Motor Vehicle</t>
  </si>
  <si>
    <t>January</t>
  </si>
  <si>
    <t>Friday</t>
  </si>
  <si>
    <t>[Table]</t>
  </si>
  <si>
    <t>25-002564</t>
  </si>
  <si>
    <t>Criminal Sexual Contact</t>
  </si>
  <si>
    <t>Juvenile Investigation</t>
  </si>
  <si>
    <t>135 First Street, Hackensack, NJ, 07601</t>
  </si>
  <si>
    <t>G3</t>
  </si>
  <si>
    <t>On Friday January 10, 2025, I was assigned as the Hackensack High School SRO. I was advised that a student wanted to report a crime and was currently in the main office. Upon arriving to the main office I met the victim, A.R.       As I began to speak with the victim she immediately began to cry. She stated that she was inappropriately touched by the suspect who is also student. The suspect was identified as Manuel Martinez Perez. The victim stated that on Tuesday January 7, 2025  she was in her 9th period class ESL 2 in room 276. She shares this class with the suspect and his cousin Esmeralda Perez Martinez who is a potential witness.       The victim stated during class the suspect gave her a hug. As he was hugging her he dropped his hand down and grabbed her breast over her clothing. She immediately became angry and told him not to touch her. She then advised Esmeralda Perez Martinez that she was touched inappropriately by the suspect. The victim stated that she reported this incident to her her teacher Mrs. Magdalene Symmonds, but she did not understand her due to a language barrier.  The victim reported that this was not the first time she was inappropriately touched by the suspect. She reported that the prior week a similar incident occurred. I notified assistant Principal Celso King of this report.      I spoke to Esmeralda Perez Martinez who may have witness the incident. Perez Martinez stated that she sits in a group with the victim and the suspect. The day of the incident she did not observe the suspect touch the victim because she was busy doing her class work. The witness did confirm that the victim mentioned to her that she was inappropriately touched by the suspect.       The victim's mother, Raquel Lelio, was notified of the incident and responded to the school. She advised me that she was not sure if she wanted to sign criminal complaints against the suspect. She wants to speak with her daughter and husband before making a decision.       Det. E. Reyes was advised of the incident and will follow up with the complainant at a later time.</t>
  </si>
  <si>
    <t>Dominguez_L</t>
  </si>
  <si>
    <t>Det. Cristobal Lara-Nunez 341</t>
  </si>
  <si>
    <t>STA</t>
  </si>
  <si>
    <t>Det. Evelyn Reyes 336</t>
  </si>
  <si>
    <t>11D = Fondling</t>
  </si>
  <si>
    <t>Criminal Sexual Contact, Juvenile Investigation</t>
  </si>
  <si>
    <t>Tuesday</t>
  </si>
  <si>
    <t>25-002635</t>
  </si>
  <si>
    <t>Burglary - Auto</t>
  </si>
  <si>
    <t>90 Prospect Avenue, Hackensack, NJ, 07601</t>
  </si>
  <si>
    <t>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t>
  </si>
  <si>
    <t>XCSW43</t>
  </si>
  <si>
    <t>PIL</t>
  </si>
  <si>
    <t>Deleon_A</t>
  </si>
  <si>
    <t>P.O. Ruben Almonte 359</t>
  </si>
  <si>
    <t>A3</t>
  </si>
  <si>
    <t>Det. Matthew DeBonis 325</t>
  </si>
  <si>
    <t>23F = Theft From Motor Vehicle</t>
  </si>
  <si>
    <t>Monday</t>
  </si>
  <si>
    <t>25-003362</t>
  </si>
  <si>
    <t>Dispute</t>
  </si>
  <si>
    <t>Criminal Attempt</t>
  </si>
  <si>
    <t>Robbery</t>
  </si>
  <si>
    <t>204 Clay Street, Hackensack, NJ, 07601</t>
  </si>
  <si>
    <t>H3</t>
  </si>
  <si>
    <t>On Monday, January 13th, 2025, at approximately 12:07 hours, P.O. Alvarez and I responded to the listed location on a dispute report. Before our arrival, headquarters had advised us that the male suspect, described as wearing a grey hoodie and sweatpants, had fled southbound on First Street. Upon arrival, we met with Maria Romero Peralta, the mother of the juvenile victim, A.R.      She reported that the described suspect, later identified as D.T., had punched her in the left eye and her right breast. With the mother's permission and in her presence, we spoke to the victim, a juvenile male, A.R., who reported that the suspect, D.T., had stolen a red electronic moped bike and had dropped it off at his house. He further reported that the suspect asked the victim if he could drop off the stolen moped for a couple of days. The victim also reported giving the stolen moped bike to another friend since he did not know how to operate the bike. A.R. later noted that the suspect, D.T., recovered the stolen moped bike from the said friend they have in common and had the bike confiscated byLaw Enforcement in another jurisdiction.      Today, the victim reported that the suspect arrived at his residence demanding $400.00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He also reported that a fight ensued between him and the suspect, and the three (3) witnesses stood by.      The victim also reported that his mother, Maria Romero Peralta, heard the commotion and broke up the fight, retreating with the victim and herself back into the residence. A.R. reported that the front entrance door closed and was being held by his mother when the suspect breached the door with physical force and continued to assault the victim while demanding $400.00 for the red moped electric bike.  I then requested a supervisor, and Sgt. Williams responded to assist.     Maria Romero Peralta reported that while attempting to break up the fight, she was punched in the left eye and right breast by the suspect, D.T. She also reported that the suspect and the three (3) witnesses fled the scene after she threatened to call the police. Maria Romero Peralta, along with A.R. declined medical attention at the scene. The mother and the victim wanted to provide statements to detectives and were transported to headquarters by P.O. Alvarez as I followed.      At headquarters, Detectives Mora and Garrett responded to report room 2 and met with the victim and his mother. Before providing statements to the detectives, Maria Romero Peralta began to have complaints of pain in her left eye and right breast. I observed her left eye to be swollen and red. Maria Romero Peralta then requested to be transported to the hospital for evaluation and treatment. I requested an ambulance, and Hackensack University Medical Center BLS #136 arrived. The mother, now a patient, was transported to the HUMC along with A.R. for treatment. The patient reported that she would respond to headquarters at a later time to provide statements to the detectives. I contacted DCP&amp;P Christine #1718 and advised of the incident. She reported that the incident would only be documented. I completed a victim notification form and provided a copy to the victim.It should be noted that the victim, A.R., reported that he had dropped out of school as of today; therefore, a handle with care was not completed. See Detectives report for additional information.</t>
  </si>
  <si>
    <t>P.O. Forrod Bonsu 353</t>
  </si>
  <si>
    <t>B1</t>
  </si>
  <si>
    <t>Det. Frankie Garrett 323</t>
  </si>
  <si>
    <t>Active Investigation</t>
  </si>
  <si>
    <t>120 = Robbery</t>
  </si>
  <si>
    <t>Dispute, Criminal Attempt, Robbery</t>
  </si>
  <si>
    <t>25-003813</t>
  </si>
  <si>
    <t>Resisting Arrest/Eluding</t>
  </si>
  <si>
    <t>Suspicious Person</t>
  </si>
  <si>
    <t>450 Hackensack Avenue, Hackensack, NJ, 07601</t>
  </si>
  <si>
    <t>I6</t>
  </si>
  <si>
    <t>On Tuesday, January 14th, 2025, P.O. Conlon. P.O. Voorhis, and I responded to 450 Hackensack Avenue for a report of a trespasser on the premises who had shoplifted in the past and has also been aggressive with staff in the past.    Upon my arrival, I observed the arrestee enter a white Volkswagon (NJ-Y82VDS) that was leaving the parking lot. The security officers at Home Depot also pointed out the arrestee as he entered the car. I conducted a motor vehicle stop with the vehicle at the traffic light exiting the parking lot. As I approached the vehicle, the arrestee exited the vehicle and started running West on Hackensack Avenue. P.O. Conlon, P.O. Voorhis, and I began running after the arrestee and announcing ourselves as Hackensack Police. When the arrestee approached the other side of Hackensack Avenue, he stopped, and P.O. Conlon apprehended him. The arrestee was flailing his arms while I was attempting to place him in handcuffs. The arrestee was then put in handcuffs with his hands behind his back. The arrestee was then searched, which yielded negative for contraband.   The Loss Prevention Officers stated that the arrestee entered the front door of Home Depot with a black ski covering his face. The loss prevention officers noticed the arrestee from previous shoplifting. The arrestee then concealed several power tools totaling $1,284.00 and placed them in a shopping cart. The arrestee then went past all points of sale and tried to exit the store. Prior to exiting the store, the loss prevention officers approached him and tried to stop him from leaving. The arrestee then pushed the loss prevention officers and fled the store on foot. The loss prevention officer recovered the items. The arrestee then entered the listed vehicle and fled the parking lot for the exit of the mall. A photo copy of the receipt was placed into the BCI mailbox located at the front at the front desk.  The items that were recovered: M18 Jobsite Radio priced at $189.00Two 20V Atomic BL Combo Kit priced at $149.00 eachM18 Fuel Jig Saw priced at $199.00MKE M12 Packout Flood Light priced at $149.00M18 Fuel 10 Miter Saw priced at $449.00     Totaling at $1,284.00.The arrestee was placed in radio car 114 and transported to police headquarters for processing. The vehicle was checked before and after the transport for contraband which yielded negative   The arrestee was processed at police headquarters by P.O. Caero. Complaint W-2025-000016 was authored by Lt. Swetits against the arrestee and was signed for 2C:29-2a(1), 2C:29-2a(2), and two counts of 2C:15-1A(1).  The arrestee also had multiple outstanding warrants from various jurisdictions.The arrestee was remanded to the Bergen County Jail.</t>
  </si>
  <si>
    <t>Y82VDS</t>
  </si>
  <si>
    <t>VOLKS</t>
  </si>
  <si>
    <t>ATL</t>
  </si>
  <si>
    <t>Swetits_M</t>
  </si>
  <si>
    <t>B2</t>
  </si>
  <si>
    <t>Det. John Tanucilli 335</t>
  </si>
  <si>
    <t>Robbery, Resisting Arrest/Eluding, Suspicious Person</t>
  </si>
  <si>
    <t>25-004097</t>
  </si>
  <si>
    <t>244 First Street, Hackensack, NJ, 07601</t>
  </si>
  <si>
    <t>On 01/15/2025 I responded to 244 First Street on a reported motor vehicle theft. Upon arrival I met with the driver of the stolen vehicle, Jeffrey Mejiamorquecho. He reported he parked his motor vehicle in front of 244 First Street facing north at around 24:00 hours. He further reported his mother left his residence at 05:00 hours on the listed date and noticed the vehicle was gone. The driver also reported he received a notification from EZ Pass with a charge from the George Washington Bridge toll at 04:13 hours on the listed date. The driver then walked out with me to where his vehicle was parked and observed broken glass which he suspected to be from his rear passenger side window. The driver advised me the vehicle had 1 plate in the rear and was worth approximately $50,000.00 as the vehicle was fairly new. He further reported he attempted to track the vehicle as it contains tracking equipment but was unsuccessful as it was not connecting. He believes it was disconnected somehow after the vehicle was stolen.240 First Street has cameras in the general direction of where the vehicle was parked. It is unknown at this time if they captured the incident occur.Insurance Information: Company: Geico (369)Policy Number: 6183163036The driver was provided with a completed New Jersey Victim Notification Form.The driver wished to have the vehicle processed if located and a Hackensack Police Consent to Search from was completed.The vehicle was entered into NCIC as stolen by Communications.The vehicle was entered into ATTF as stolen.</t>
  </si>
  <si>
    <t>U38ULG</t>
  </si>
  <si>
    <t>CIV</t>
  </si>
  <si>
    <t>P.O. Frank Lorenzo 371</t>
  </si>
  <si>
    <t>Wednesday</t>
  </si>
  <si>
    <t>25-004478</t>
  </si>
  <si>
    <t>Burglary - Residence</t>
  </si>
  <si>
    <t>30 Second Street, Hackensack, NJ, 07601</t>
  </si>
  <si>
    <t>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t>
  </si>
  <si>
    <t>P.O. Aziah Miller 357</t>
  </si>
  <si>
    <t>220 = Burglary/Breaking &amp; Entering</t>
  </si>
  <si>
    <t>Thursday</t>
  </si>
  <si>
    <t>25-004629</t>
  </si>
  <si>
    <t>630 Main Street, Hackensack, NJ, 07601</t>
  </si>
  <si>
    <t>I1</t>
  </si>
  <si>
    <t>Suspect 1: Hispanic male, approximately early 30' s in age, approximately 5'10" in height, approximately 180 in weight, wearing a tan hooded sweater, brown "NY" Yankees logo hat, black sweatpants and white sneakers.Suspect 2: Hispanic female, approximately mid 20's in age, approximately 5'5" in height, approximately 140 in weight, wearing a black jacket, grey hooded sweater, tan pants and cream colored shoes. Suspect Vehicle: 4 door Silver in color Hyundai Sonata (unknown registration).On 1/17/25 P.O. Papanikolaou and I responded to 630 Main Street, Target on a reported shoplifting. While   speaking with Target Loss Prevention they wanted to report an additional incident, which occurred in the past.Target Loss Prevention / victim, Cheikh Gaye, reported on 1/16/25 at approximately 21:03 hours suspect 1 and suspect 2 entered Target. It was further reported on 1/16/25 at approximately 21:16 hours suspect 1 and 2 passed all points of sale with unpaid merchandise in a shopping cart. The unpaid merchandise (furniture, grocery, health and beauty, home and kitchen products) totaled $452.71. Prior to exiting Target Loss Prevention / the victim confronted both suspects. Target Loss Prevention were able to recover all merchandise that both suspects attempted to steal. While recovering the stolen merchandise suspect 1 punched the victim in the head, specifically the top left side, with a closed fist one time. The victim reported having a complaint of pain hours after being assaulted. Both suspect later left the area in the suspect vehicle. A Sgt. was requested and Sgt. Competiello responded. Detectives were notified. The victim later responded to headquarters to provide a voluntary statement. The victim refused medical attention at this time.A receipt of the unpaid merchandise was provided by Target Loss Prevention. The receipt was later secured in the Detective Bureau Mailbox.</t>
  </si>
  <si>
    <t>HYUNDAI</t>
  </si>
  <si>
    <t>SONATA</t>
  </si>
  <si>
    <t>P.O. Massimo Gallorini 379</t>
  </si>
  <si>
    <t>A2</t>
  </si>
  <si>
    <t>Det. John Mora 257</t>
  </si>
  <si>
    <t>25-005871</t>
  </si>
  <si>
    <t>33 Ross Avenue, Hackensack, NJ, 07601</t>
  </si>
  <si>
    <t>On January 22, 2025, I responded to the listed location on a report on a stolen motor vehicle. Upon arrival, I met with the registered owner, Kamil Garcia. The registered owner stated on January 21, 2025 at approximately 1800 hours he parked his vehicle, a 2023 Honda Passport color red bearing NJ registration U22RSV in front of 33 Ross Ave facing West. The registered owner stated that he currently has possession of the two key fobs that belong to the vehicle. At approximately 0309 hours on January 22, 2025 he responded to his vehicle where he last parked it and the vehicle was no longer there.       The registered owner received a completed victim notification. The vehicle was entered as stolen into NCIC (NIC #  V956704006) along with a stolen motor vehicle form. The vehicle was also entered as stolen into the  ATTF website. The registered owner does not wish to have the vehicle processed at this time. Approximate value for the above vehicle is 46,000.00 USD.</t>
  </si>
  <si>
    <t>U22RSV</t>
  </si>
  <si>
    <t>PAS</t>
  </si>
  <si>
    <t>Tovbin_S</t>
  </si>
  <si>
    <t>P.O. Roselys Salas 369</t>
  </si>
  <si>
    <t>25-006083</t>
  </si>
  <si>
    <t>443 Hudson Street, Hackensack, NJ, 07601</t>
  </si>
  <si>
    <t>E3</t>
  </si>
  <si>
    <t>On January 22, 2025, I responded to the listed location on a report of a stolen motor vehicle. Upon arrival, I met with the victim, Melisssa Williams, also registered owner. The victim stated the vehicle has been lodged at 443 Hudson Street with permission of the resident Jermal Clark. The victim stated upon speaking to Jermal Clark he stated "the vehicle was towed off the property early morning and he got some money for it."  Sgt. Tovbin and I spoke to Jermal Clark, who stated that he does not know which towing company towed the vehicle. I asked Jermal Clark if he towed the vehicle off the property and he was uncooperative in answering the question.       The vehicle, a 2006 Nissan Pathfinder color black bearing NJ registration Y62SRJ, was last seen on January 21, 2025 at approximately 1600 hours parked facing South on the listed property. The victim stated that she currently does not have possession of the key. The victim indicated the one key was last in possession of Jermal Clark.       The registered owner received a completed victim notification. The vehicle was entered as stolen into NCIC (NIC # V146697789 ) along with a stolen motor vehicle form. The vehicle was also entered as stolen into the  ATTF website. The registered owner does not wish to have the vehicle processed at this time. Approximate value for the above vehicle is 2,500.00 USD.</t>
  </si>
  <si>
    <t>Y62SRJ</t>
  </si>
  <si>
    <t>NISSAN</t>
  </si>
  <si>
    <t>PTH</t>
  </si>
  <si>
    <t>Det. Demetrius Carroll 133</t>
  </si>
  <si>
    <t>25-006324</t>
  </si>
  <si>
    <t>Sexual Assault</t>
  </si>
  <si>
    <t>176  Berdan Place, Hackensack, NJ, 07601</t>
  </si>
  <si>
    <t>On Thursday, 01/23/2025 I was notified by D/Sgt. Dominguez of a possible sexual assault involving a juvenile. I was advised that 10 y/o S.S. disclosed to a school teacher that her mothers boyfriend has been touching her while her mother was sleeping. This reportedly has occurred on multiple occasions. No further information was available at this time. S.S. is a student at Nelly K. Parker school, who already notified DCP&amp;P as per protocol.    I contacted DCP&amp;P social worker Jennifer Diaz who was assigned to the initial investigation. Ms. Diaz advised me that she was currently enroute to Nelly K. Parker to meet with S.S., and school staff. She advised me that she already contacted BCPO/SVU. I advised her that I will meet her at the school. Upon arrival I met with Ms. Diaz, who advised me that S.S. was set to be picked up from school by another unknown adult possibly the suspect. Due to the circumstances it was determined that S.S. will be transported to BCPO (100 Eisenhower Drive, Paramus NJ) to undergo a forensic interview with SVU. Contact was made to S.S. mother, Ibys Sandoval, who was advised that a police investigation is underway and her presence is required. Ms. Sandoval expressed that she has transportation issues, therefore this agency arranged transport for her.  Det. Reyes responded to pick up Ms. Sandoval at her residence (176 Berdan Place, Hackensack NJ). Ms. Sandoval was transported to Nelly K. Parker to meet up with her daughter, and ultimately transported to BCPO for the interview.   Contact information was limited at the time of this report (See Det. Reyes Supplemental report for further details)</t>
  </si>
  <si>
    <t>Bay_F</t>
  </si>
  <si>
    <t>DET</t>
  </si>
  <si>
    <t>TOT DCP&amp;P</t>
  </si>
  <si>
    <t>Sexual Assault, Juvenile Investigation</t>
  </si>
  <si>
    <t>25-006864</t>
  </si>
  <si>
    <t>60 Kansas Street, Hackensack, NJ, 07601</t>
  </si>
  <si>
    <t>E1</t>
  </si>
  <si>
    <t>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t>
  </si>
  <si>
    <t>Levis_R</t>
  </si>
  <si>
    <t>P.O. Andres Lopez 375</t>
  </si>
  <si>
    <t>Saturday</t>
  </si>
  <si>
    <t>25-007074</t>
  </si>
  <si>
    <t>Theft</t>
  </si>
  <si>
    <t>206 Stanley Place, Hackensack, NJ, 07601</t>
  </si>
  <si>
    <t>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t>
  </si>
  <si>
    <t>R36GBB</t>
  </si>
  <si>
    <t>CRV</t>
  </si>
  <si>
    <t>Sgt. Franklin Bay 162</t>
  </si>
  <si>
    <t>No Investigation</t>
  </si>
  <si>
    <t>Burglary - Auto, Theft</t>
  </si>
  <si>
    <t>25-007197</t>
  </si>
  <si>
    <t>5 Pangborn Place, Hackensack, NJ, 07601</t>
  </si>
  <si>
    <t>H2</t>
  </si>
  <si>
    <t>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t>
  </si>
  <si>
    <t>R97RYW</t>
  </si>
  <si>
    <t>ODY</t>
  </si>
  <si>
    <t>P.O. Micah Gibson 365</t>
  </si>
  <si>
    <t>Det. Matthew Dogali 338</t>
  </si>
  <si>
    <t>Sunday</t>
  </si>
  <si>
    <t>25-008075</t>
  </si>
  <si>
    <t>119 Essex Street, Hackensack, NJ, 07601</t>
  </si>
  <si>
    <t>F1</t>
  </si>
  <si>
    <t>On January 29, 2025, I responded to the listed location on a report on a stolen motor vehicle. Upon arrival, I met with the registered owner, Trina Coley. The registered owner stated on January 28, 2025 during the afternoon hours she parked her vehicle , a 2012 Lexus ES color black bearing NJ registration K84CXU in her residence private parking lot facing East. The registered owner stated that she currently does not have possession of the key fob as it was left inside of the vehicle along with her cell phone. At approximately 0930 hours on January 29, 2025 she responded to her vehicle where she last parked it,and the vehicle was no longer there.       The registered owner received a completed victim notification. The vehicle was entered as stolen into NCIC (NIC #V686695547 ) along with a stolen motor vehicle form. The vehicle was also entered as stolen into the ATTF web site. The registered owner does not wish to have the vehicle processed at this time. Approximate value for the above vehicle is 7,000.00 USD and the iPhone 15 at $800.00 USD.</t>
  </si>
  <si>
    <t>K84CXU</t>
  </si>
  <si>
    <t>LEXUS</t>
  </si>
  <si>
    <t>ES</t>
  </si>
  <si>
    <t>Ex-Cleared / Closed</t>
  </si>
  <si>
    <t>Motor Vehicle Theft, Theft</t>
  </si>
  <si>
    <t>25-008551</t>
  </si>
  <si>
    <t>292 The Esplanade, Hackensack, NJ, 07601</t>
  </si>
  <si>
    <t>H5</t>
  </si>
  <si>
    <t>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t>
  </si>
  <si>
    <t>P.O. Denisse Caero 367</t>
  </si>
  <si>
    <t>25-008777</t>
  </si>
  <si>
    <t>453 Sutton Avenue, Hackensack, NJ, 07601</t>
  </si>
  <si>
    <t>F2</t>
  </si>
  <si>
    <t>On February 1, 2025, I responded to the listed location on a report on a stolen motor vehicle. Upon arrival, I met with the registered owner, Mohammed Almowail. The registered owner stated on February 1, 2025 at approximately 0100 hours he parked his vehicle, a 2012 Ford Crown Victoria color grey bearing NJ registration P77UZJ in front of 453 Sutton Avenue facing East. At approximately 0230 hours, while inside of the residence he heard the vehicle being turned on and when he walked out to where he last parked it the vehicle was no longer there.      The registered owner stated that he currently has possession of the two keys that belong to the vehicle. The vehicle has two NJ plates(P77UZJ) attached.     It should be noted the victim was in the process of selling the vehicle today to someone by the alias of Taylor Jacobs via Facebook marketplace. The victim provided the above listed address and videos of where the vehicle was going to be located to the above listed alias of Taylor Jacobs.     The vehicle also contained a black wallet inside with three Bank of America Credit Cards and 4 Bank of Kuwaitt Credit Cards issued to Abdull Alhajeri. The victim was advised to report and lock all cards.      The registered owner received a completed victim notification. The vehicle was entered as stolen into NCIC (NIC # V786677145 ) along with a stolen motor vehicle form. The vehicle was also entered as stolen into the  ATTF site. The registered owner does not wish to have the vehicle processed at this time. Approximate value for the above vehicle is 3,000.00 USD. The value of the black wallet is approximately $30.00 USD.</t>
  </si>
  <si>
    <t>P77UZJ</t>
  </si>
  <si>
    <t>FORD</t>
  </si>
  <si>
    <t>CRO</t>
  </si>
  <si>
    <t>February</t>
  </si>
  <si>
    <t>25-009348</t>
  </si>
  <si>
    <t>Suspicious Incident</t>
  </si>
  <si>
    <t>144 Hudson Street, Hackensack, NJ, 07601</t>
  </si>
  <si>
    <t>Unknown Suspect Descriptions:Unknown Suspect 1: Tall white male, crew cut, no clothing descriptionUnknown Suspects 2-5: 4 males, unknown race, wearing dark colored helmets and dark clothes with padding.         While in the area, P.O. Maceri and I were flagged down by the victim. Upon speaking with him, he advised that he had been robbed. Sgt. Farhi responded to assist.          The victim stated that on 02/02/2025 between 17:25 and 18:00 hours, he was walking north on Main Street, near the area of Main Street and Court Street with two acquaintances. He further stated that while walking in that area, a verbal dispute took place between the three of them. The victim reported that at this time, he was approached by five suspects, with four of them carrying bats. He further reported that suspect #1 threatened him, stating that he would beat him up if he didn't hand over his belongings. The victim stated that suspect #1 forcibly retrieved the wallet off his person and removed a debit card and identification card, before throwing the wallet back in his direction. He further stated that the suspect's then told him if they saw him again, they would beat him up. The suspects then fled east on Court Street, before turning left to head north on River Road.        A New Jersey Victim Notification Form was completed and provided to the victim.       The detective division was notified and advised that they would follow up with the victim.</t>
  </si>
  <si>
    <t>Sgt. Francesco Tripodi 134</t>
  </si>
  <si>
    <t>Suspicious Incident, Robbery</t>
  </si>
  <si>
    <t>25-009438</t>
  </si>
  <si>
    <t>400 Hackensack Avenue, Hackensack, NJ, 07601</t>
  </si>
  <si>
    <t>On Monday, February 3, 2025 at approximately 1640 hours, Sgt. Farhi and I responded to 400 Hackensack Avenue (Marc Jacobs) on a reported robbery. Upon arrival, I met with the victim who reported that three suspects (1 male, 2 females) entered the establishment at approximately 1600 hours. The suspects reportedly exited and reentered the store multiples time prior to committing the offense, with the last entry being made only by the male suspect.     The victim further reported that the suspect grabbed three small purses from the display shelf before he began to walk toward the exit. At that time, the victim stated that he attempted to stop the suspect, who immediately shoved him into a store fixture. The suspect reportedly proceeded to run out of the store toward the nearest mall exit, where he entered a black vehicle and fled in an unknown direction. The victim stated that he was able to recover one of the purses during the incident.     The victim advised that he sustained minor injuries to his left arm as result of the incident, in which he refused any medical attention. The victim wished to provide a recorded statement to detectives. He was transported to police headquarters where he was turned over to Det. Dogali. The total loss suffered by the establishment for the two purses was approximately $650.00. The store manager (witness) wished to have complaints signed against the suspects if they were able to be identified.     Suspect 1: Black male, slim build, 5'8", black beanie, black puffer, dark pants, white/blue sneakers     Suspect 2: Black female, heavy build, 5'8", short hair, black puffer, black leggings, black pocketbook     Suspect 3: Black female, heavy build, 5'7", long cornrows, gray puffer, light blue jeans</t>
  </si>
  <si>
    <t>25-009657</t>
  </si>
  <si>
    <t>55 Midtown Bridge Approach, Hackensack, NJ, 07601</t>
  </si>
  <si>
    <t>H1</t>
  </si>
  <si>
    <t>I responded to the listed location on a reported motor vehicle theft. Upon arrival, I spoke with the complainant. She stated that on 02/04/2025 at 11:29 hours, she received a text from her boss, asking her to check on one of their U-Haul vehicles. She further stated that upon searching the parking lot, she could not locate the vehicle. The complainant reported that the vehicle had been rented out, so she contacted the contract holder to ensure the vehicle was dropped off. Upon verifying such and checking camera footage, the vehicle is seen on camera being dropped off by the customer. He is then approached by the suspect, where a brief verbal exchange is had. The customer is then seen leaving the area. The suspect is then seen retrieving keys from a lock box, before entering the van and fleeing the area.     I then spoke with the customer. He stated that he had dropped the vehicle off at the listed location at approximately 18:40 hours. He further stated that upon dropping it off, he was greeted by the suspect, who acted as an employee of the business. The customer reported that after a brief discussion, he was wary of the suspect and secured the keys in the lock box himself. He further stated that he then left the area.       A check in house of our tow list was conducted, with the vehicle not having been reported as towed or repossessed.  The complainant was advised of the recovery process, including fingerprinting of the vehicle. The complainant stated that she would like the vehicle held for prints on behalf of U-Haul and signed a Consent to Search Form. The complainant advised that she was unsure if the vehicle had a tracking system.       The vehicle is valued at approximately $45,000.00.            The complainant has video footage of the incident, available upon request.       Vehicle was entered into the ATTF website.    A New Jersey Victim Notification Form was completed.Insurance Info: Self-InsuredCertificate #:S012Exp: 06/30/2025</t>
  </si>
  <si>
    <t>AM82732</t>
  </si>
  <si>
    <t>RAM</t>
  </si>
  <si>
    <t>PROMASTER</t>
  </si>
  <si>
    <t>AZ</t>
  </si>
  <si>
    <t>Complaint Signed</t>
  </si>
  <si>
    <t>25-009831</t>
  </si>
  <si>
    <t>Burglary - Commercial</t>
  </si>
  <si>
    <t>Alarm - Burglar</t>
  </si>
  <si>
    <t>441 Passaic Street, Hackensack, NJ, 07601</t>
  </si>
  <si>
    <t>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t>
  </si>
  <si>
    <t>P.O. Benjamin Estrada 350</t>
  </si>
  <si>
    <t>Det. Frank Scarpa 348</t>
  </si>
  <si>
    <t>Burglary - Commercial, Alarm - Burglar</t>
  </si>
  <si>
    <t>25-010474</t>
  </si>
  <si>
    <t>170 Hudson Street, Hackensack, NJ, 07601</t>
  </si>
  <si>
    <t>E2</t>
  </si>
  <si>
    <t>I responded to the listed location on a motor vehicle theft. Upon arrival, I met with the complainant and the victim. The victim only spoke Spanish, so her husband (the complainant) translated. The complainant stated that his wife's vehicle was parking in the driveway of 170 Hudson Street, which was located between 170 Hudson Street and 166 Hudson Street. He stated that he left his vehicle running and went back into his house at 0635 hours. When he went to check on the vehicle at 0650 hours, he discovered it was missing. The vehicle was left unlocked with the keys in the ignition. I observed cameras in the rear of the house, but none located directly where the vehicle was parked.A victim notification form was completed and a copy was given to the victim. The victim requested to have the vehicle process if located. The estimated value of the stolen auto is $2,000.00 Dollars.</t>
  </si>
  <si>
    <t>T12SSE</t>
  </si>
  <si>
    <t>DODGE</t>
  </si>
  <si>
    <t>CAR</t>
  </si>
  <si>
    <t>P.O. Matthew Tedesco 316</t>
  </si>
  <si>
    <t>B3</t>
  </si>
  <si>
    <t>25-010788</t>
  </si>
  <si>
    <t>535 Hudson Street, Hackensack, NJ, 07601</t>
  </si>
  <si>
    <t>The victim responded to police headquarters on a report of a motor vehicle theft.  The victim, Clever Asitimbay Mora, reported that he parked the vehicle in the area of 535 Hudson Street in this jurisdiction on 01/31/2025.  The victim reported that on 02/7/2025 at approximately 13:00 hours, he checked the GPS location of his vehicle on his phone and noticed that his vehicle was located at 3945 Frankford Avenue, Philadelphia, PA 19124.  He reported he possessed one (1) key to the vehicle, and the other key was broken.  Both the front and rear license plates were attached to the vehicle.  The victim did not want the vehicle processed if located.  The vehicle is insured by GEICO unknown policy number at this time.  The value of the vehicle is approximately $6,000.00.  A victim notification form was completed, and the vehicle was entered into N.C.I.C and the Auto Theft Task Force (ATTF) as stolen.  I contacted Philadelphia Police Department District 24 and spoke with P.O. Kane and advised him of the location of the vehicle.</t>
  </si>
  <si>
    <t>S70MPZ</t>
  </si>
  <si>
    <t>P.O. Daniel Francavilla 329</t>
  </si>
  <si>
    <t>Logic</t>
  </si>
  <si>
    <t>Yes</t>
  </si>
  <si>
    <t>Count of Case Number</t>
  </si>
  <si>
    <t>(All)</t>
  </si>
  <si>
    <t>Row Labels</t>
  </si>
  <si>
    <t>Grand Total</t>
  </si>
  <si>
    <t>YTD</t>
  </si>
  <si>
    <t>28-DAY</t>
  </si>
  <si>
    <t>7-DAY</t>
  </si>
  <si>
    <t>(Multiple Items)</t>
  </si>
  <si>
    <t>Location</t>
  </si>
  <si>
    <t>443 Hudson Street</t>
  </si>
  <si>
    <t>60 Kansas Street</t>
  </si>
  <si>
    <t>119 Essex Street</t>
  </si>
  <si>
    <t>453 Sutton Avenue</t>
  </si>
  <si>
    <t>144 Hudson Street</t>
  </si>
  <si>
    <t>170 Hudson Street</t>
  </si>
  <si>
    <t>535 Hudson Street</t>
  </si>
  <si>
    <t>135 First Street</t>
  </si>
  <si>
    <t>90 Prospect Avenue</t>
  </si>
  <si>
    <t>30 Second Street</t>
  </si>
  <si>
    <t>204 Clay Street</t>
  </si>
  <si>
    <t>244 First Street</t>
  </si>
  <si>
    <t>176  Berdan Place</t>
  </si>
  <si>
    <t>206 Stanley Place</t>
  </si>
  <si>
    <t>292 The Esplanade</t>
  </si>
  <si>
    <t>55 Midtown Bridge Approach</t>
  </si>
  <si>
    <t>441 Passaic Street</t>
  </si>
  <si>
    <t>309 Lookout Avenue</t>
  </si>
  <si>
    <t>450 Hackensack Avenue</t>
  </si>
  <si>
    <t>630 Main Street</t>
  </si>
  <si>
    <t>33 Ross Avenue</t>
  </si>
  <si>
    <t>5 Pangborn Place</t>
  </si>
  <si>
    <t>400 Hackensack Avenue</t>
  </si>
  <si>
    <t>Text Before Delimiter</t>
  </si>
  <si>
    <t>Block</t>
  </si>
  <si>
    <t>Second St, 0 Block</t>
  </si>
  <si>
    <t>Kansas St, 0 Block</t>
  </si>
  <si>
    <t>The Esplanade, 200 Block</t>
  </si>
  <si>
    <t>Passaic St, 400 Block</t>
  </si>
  <si>
    <t>Prospect Ave, 0 Block</t>
  </si>
  <si>
    <t>Stanley Pl, 200 Block</t>
  </si>
  <si>
    <t>Pangborn Pl, 0 Block</t>
  </si>
  <si>
    <t>First St, 100 Block</t>
  </si>
  <si>
    <t>Lookout Ave, 300 Block</t>
  </si>
  <si>
    <t>Clay St, 200 Block</t>
  </si>
  <si>
    <t>Hackensack Ave, 400 Block</t>
  </si>
  <si>
    <t>First St, 200 Block</t>
  </si>
  <si>
    <t>Main St, 600 Block</t>
  </si>
  <si>
    <t>Ross Ave, 0 Block</t>
  </si>
  <si>
    <t>Hudson St, 400 Block</t>
  </si>
  <si>
    <t>Essex St, 100 Block</t>
  </si>
  <si>
    <t>Sutton Ave, 400 Block</t>
  </si>
  <si>
    <t>Hudson St, 100 Block</t>
  </si>
  <si>
    <t>Midtown Bridge Approach, 0 Block</t>
  </si>
  <si>
    <t>Hudson St, 500 Block</t>
  </si>
  <si>
    <t>Berdan Pl, 100 Block</t>
  </si>
  <si>
    <t>Target_Incidents</t>
  </si>
  <si>
    <t>CYCLE</t>
  </si>
  <si>
    <t>28-Day</t>
  </si>
  <si>
    <t>7-Day</t>
  </si>
  <si>
    <t>01/28/25 - 02/24/25</t>
  </si>
  <si>
    <t>02/04/25 - 02/10/25</t>
  </si>
  <si>
    <t>VEHICLE1</t>
  </si>
  <si>
    <t>VEHICLE2</t>
  </si>
  <si>
    <t>Vehicle 1</t>
  </si>
  <si>
    <t>Vehicle 2</t>
  </si>
  <si>
    <t>NJ-XCSW43 HONDA, PIL</t>
  </si>
  <si>
    <t>NJ-R36GBB HONDA, CRV</t>
  </si>
  <si>
    <t>NJ-R97RYW HONDA, ODY</t>
  </si>
  <si>
    <t>NJ-W46ULY HONDA, ACC</t>
  </si>
  <si>
    <t>NJ-U38ULG HONDA, CIV</t>
  </si>
  <si>
    <t>NJ-U22RSV HONDA, PAS</t>
  </si>
  <si>
    <t>NJ-Y62SRJ NISSAN, PTH</t>
  </si>
  <si>
    <t>NJ-K84CXU LEXUS, ES</t>
  </si>
  <si>
    <t>NJ-P77UZJ FORD, CRO</t>
  </si>
  <si>
    <t>AZ-AM82732 RAM, PROMASTER</t>
  </si>
  <si>
    <t>NJ-T12SSE DODGE, CAR</t>
  </si>
  <si>
    <t>NJ-S70MPZ</t>
  </si>
  <si>
    <t>NJ-Y82VDS VOLKS, ATL</t>
  </si>
  <si>
    <t>HYUNDAI, SONATA</t>
  </si>
  <si>
    <t>25-003745</t>
  </si>
  <si>
    <t>Harassment</t>
  </si>
  <si>
    <t>Domestic Violence</t>
  </si>
  <si>
    <t>Burglary - Residence, Harassment, Domestic Violence</t>
  </si>
  <si>
    <t>Main St, 800 Block</t>
  </si>
  <si>
    <t>895 Main Street</t>
  </si>
  <si>
    <t>895 Main Street, Hackensack, NJ, 07601</t>
  </si>
  <si>
    <t>I5</t>
  </si>
  <si>
    <t>On Tuesday, 01/14/2025, P.O. Rivera and I responded to 895 Main Street apartment 12A for a Domestic Violence incident report. Mrs. Charmaine Perez (victim) is the mother of Mr. Christopher Pereira (suspect). Mr. Eusebia Perez (witness) is married to the victim and stepfather to the suspect.      The victim reported that the suspect has not lived at the apartment for approximately three (3) months. The suspect does not have key access to the apartment. There is a vestibule, which is kept locked, that leads to a first and second floor apartment. The victim's apartment is on the first floor.       The victim reported that the suspect broke into the apartment uninvited and continued into her bedroom, where she was located. The suspect was irate, confronted her about money that she was awarded from a lawsuit settlement. The suspect stated, " BITCH, DON'T MESS WITH THE GRANDKIDS, DO YOU KNOW WHO THAT NIGGA IS ON THE COUCH, STAY THE FUCK AWAY FROM ME!" The victim reported at the time her granddaughter, Ms. Keka Ornsby, and her boyfriend were seated on the couch when the suspect entered. The victim reported that the suspect did not engage with Ms. Keka Ornsby. It should be noted, Ms. Ornsby's mother has an active temporary restraining order (Docket #FV-02000101-11 against the suspect. Ms. Ornsby is listed as an additional person in the order. The victim reported that Ms. Ornsby began staying with her for approximately three (3) weeks. Due to the statements the victim made, we did not sign a complaint against suspect for 2C:29-9 (Contempt of court).       The victim reported when the suspect exited the bedroom, the granddaughter and her boyfriend left and the witness entered the apartment. The witness reported that he avoided confrontation from the suspect by exiting the apartment. The witness was unaware the suspect was inside and the victim confirmed his reporting. It should be noted, the suspect has a no contact order against the witness (See complaint #W2024-000767-0223). Due to the victim's and witness's statement, we did not sign a complaint against the witness for 2C:29-9 (Contempt of court).      Sgt. Williams arrived to assist. The victim believed the suspect used a credit card to gain entry into the apartment. The vestibule door and apartment door had old damage near the doorknob and strike plate. The victim confirmed our observation. Sgt. Detective Bay was notified. The scene was unable to be processed, but was captured by my body worn camera.      The victim wanted a temporary restraining order and willing to give a recorded statement. She was transported to headquarters, gave a recorded statement to detectives (See their supplement), and Judge Takvorian granted the TRO in report room #2 @1342 hours. Sgt. Feuilly was sent an e-mail to preserve the recording. The victim was given her copy of the TRO. She did not want to speak with a Domestic Violence Response member, but was provided their phone number. A voluntary handwritten form was not completed because she gave a recorded statement. A New Jersey Victim notification form was completed.      Lt. Knapp authored complaint #W-0223-2025-000014 for 2C:33-4C (Harassment), a petty disorderly persons offense, and 2C:18-2A(1) (Burglary), a third degree crime.</t>
  </si>
  <si>
    <t>Knapp_J</t>
  </si>
  <si>
    <t>P.O. Kevin Small 328</t>
  </si>
  <si>
    <t>25-004288</t>
  </si>
  <si>
    <t>Violation of Court Order</t>
  </si>
  <si>
    <t>Violation of Court Order, Burglary - Residence, Harassment</t>
  </si>
  <si>
    <t>Bonhomme St, 100 Block</t>
  </si>
  <si>
    <t>152 Bonhomme Street</t>
  </si>
  <si>
    <t>152 Bonhomme Street, Hackensack, NJ, 07601</t>
  </si>
  <si>
    <t>The victim and the suspect were prviously in a two year relationship.  The two never resided together and have no children in common.     P.O. McCarthy and I responded to the listed location on a report of a violation of a court order.  Upon arrival, we met with the victim,  Johnathan Arroyo, who reported hearing a loud bang from the basement door.  After hearing the loud bang, he began to hear his ex-girlfriend, Ashley Celdo Rodriguez, start to scream while standing in the basement.  That's when his brother, David Arroyo, and the victim exit their bedrooms and witness the suspect inside of the house.  Both parties grabbed the suspect and escorted her out of the house.  Once outside, the suspect ran toward the backyard fence and climbed over before our arrival on the scene.  While on the scene, I observed the door frame trim to be damaged.  The victim estimated that the cost to fix the door was $200.00.  P.O. Mcarthy and P.O. Lopez-Amaya arrived to assist and conducted a check of the area.     While on the scene, I observed several surveillance cameras on the residence's exterior.  They showed me the footage of the suspect entering the rear yard and walking to the basement door of the house.  I provided the victim with my departmental e-mail address so that the video footage could be sent.        I contacted police headquarters to see if any active restraining orders were in place.  They advised me that three no-contact orders were in place.  I asked if the victim wanted the scene processed, but he did not want it done.  I asked the victim if he wanted to apply for a restraining order at this time, which he denied.  He also wanted to speak with a DVRT member at a later time.  I provided the victim with the telephone number.  I completed the New Jersey victim notification form and domestic violence supplement were completed.   The victim refused to complete a voluntary handwritten statement.  While at police headquarters, P.O. McCarthy, P.O. Vicale, and P.O. Lopez-Amaya located the suspect. See their supplements for further information.       Arrestee was charged with 2C:29-17-3A(1), 2C:33-4A, 2C:18-2A(1), 2C:29-2A(1) and 3 counts of 2C:29-9A(1) on 0223-W-2025-000023</t>
  </si>
  <si>
    <t>25-012325</t>
  </si>
  <si>
    <t>East Pleasantview Avenue &amp; Kipp Street</t>
  </si>
  <si>
    <t>East Pleasantview Avenue &amp; Kipp Street, Hackensack, NJ, 07601</t>
  </si>
  <si>
    <t>F3</t>
  </si>
  <si>
    <t>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t>
  </si>
  <si>
    <t>NJ-XGDR55 FORD, R1Z</t>
  </si>
  <si>
    <t>XGDR55</t>
  </si>
  <si>
    <t>R1Z</t>
  </si>
  <si>
    <t>P.O. Angelo Vicale 370</t>
  </si>
  <si>
    <t>Under Supervisor Review</t>
  </si>
  <si>
    <t>25-012110</t>
  </si>
  <si>
    <t>Assist Other Agency</t>
  </si>
  <si>
    <t>Aggravated Assault</t>
  </si>
  <si>
    <t>Assist Other Agency, Aggravated Assault, Robbery</t>
  </si>
  <si>
    <t>Christopher Columbus Drive, Jersey City, NJ 07302, 100 Block</t>
  </si>
  <si>
    <t>128 Christopher Columbus Drive, Jersey City, NJ 07302</t>
  </si>
  <si>
    <t>128 Christopher Columbus Drive, Jersey City, NJ 07302, Hackensack, NJ, 07601</t>
  </si>
  <si>
    <t>Victim and suspect were in a dating relationship for approximately 9 months.    I responded to Police Headquarters on a report of Domestic Violence. Upon arrival I met with the Victim who stated on 02/13/2025 at approximately 0200 hours she was at a bar called "Six26" in Jersey City, NJ (128 Christopher Columbus Drive, Jersey City, NJ 07302.) She stated while she was leaving the bar, the suspect met with her on the sidewalk. The victim stated the suspect wished to get back together, but she refused. He then became angry and proceeded to strangle her, briefly cutting off her ability to breath, however she did not lose consciousness. Right after the suspect strangled her, he stole her Iphone 14 Pro out of her front pocket (Approximate value: $1,000.00) then fled the scene.     The victim advised me that she currently has a restraining order against the suspect, but he has not been served. Docket number: FV-BER-002857-24.A recorded statement was taken by Detective Mora. BREATHE services were offered but the victim refused. A New Jersey Victim Notification Form was completed.DVRT Form was completed.Voluntary Handwritten Statement was completed.ODARA Form was completed. Jersey City Police Department Detective Soto was advised of the incident.All paperwork was forwarded to him for complaints to be signed.</t>
  </si>
  <si>
    <t>Briggs_S</t>
  </si>
  <si>
    <t>TOT Outside Jurisdiction</t>
  </si>
  <si>
    <t>(blank)</t>
  </si>
  <si>
    <t>SEASON</t>
  </si>
  <si>
    <t>Winter</t>
  </si>
  <si>
    <t>TIMEOFDAY</t>
  </si>
  <si>
    <t>Morning Peak (0800-1159)</t>
  </si>
  <si>
    <t>Afternoon Period (1200-1559)</t>
  </si>
  <si>
    <t>Night Period (2000-2359)</t>
  </si>
  <si>
    <t>Early Morning (0000-0359)</t>
  </si>
  <si>
    <t>Evening Peak (1600-1959)</t>
  </si>
  <si>
    <t>Dawn Period (0400-0759)</t>
  </si>
  <si>
    <t>C1W3</t>
  </si>
  <si>
    <t>C1W4</t>
  </si>
  <si>
    <t>C2W5</t>
  </si>
  <si>
    <t>C2W6</t>
  </si>
  <si>
    <t>C1W1</t>
  </si>
  <si>
    <t>C2W7</t>
  </si>
  <si>
    <t>C1W2</t>
  </si>
  <si>
    <t>CompStat
 Week</t>
  </si>
  <si>
    <t>Week Start</t>
  </si>
  <si>
    <t>Week End</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</si>
  <si>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</si>
  <si>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</si>
  <si>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</si>
  <si>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</si>
  <si>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</si>
  <si>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</si>
  <si>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</si>
  <si>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</si>
  <si>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</si>
  <si>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</si>
  <si>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</si>
  <si>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</si>
  <si>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</si>
  <si>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</si>
  <si>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</si>
  <si>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</si>
  <si>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</si>
  <si>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</si>
  <si>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</si>
  <si>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</si>
  <si>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</si>
  <si>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</si>
  <si>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</si>
  <si>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</si>
  <si>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</si>
  <si>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</si>
  <si>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</si>
  <si>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</si>
  <si>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</si>
  <si>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</si>
  <si>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</si>
  <si>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</si>
  <si>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</si>
  <si>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</si>
  <si>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</si>
  <si>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</si>
  <si>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</si>
  <si>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</si>
  <si>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</si>
  <si>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</si>
  <si>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</si>
  <si>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</si>
  <si>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</si>
  <si>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</si>
  <si>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</si>
  <si>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</si>
  <si>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</si>
  <si>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</si>
  <si>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W49</t>
  </si>
  <si>
    <t>W50</t>
  </si>
  <si>
    <t>W51</t>
  </si>
  <si>
    <t>W52</t>
  </si>
  <si>
    <t>W53</t>
  </si>
  <si>
    <t>W54</t>
  </si>
  <si>
    <t>CompStat 28-Day</t>
  </si>
  <si>
    <t>C1</t>
  </si>
  <si>
    <t>C2</t>
  </si>
  <si>
    <t>C3</t>
  </si>
  <si>
    <t>C4</t>
  </si>
  <si>
    <t>C5</t>
  </si>
  <si>
    <t>C6</t>
  </si>
  <si>
    <t>C7</t>
  </si>
  <si>
    <t>C8</t>
  </si>
  <si>
    <t>C9</t>
  </si>
  <si>
    <t>C10</t>
  </si>
  <si>
    <t>C11</t>
  </si>
  <si>
    <t>C12</t>
  </si>
  <si>
    <t>C13</t>
  </si>
  <si>
    <t>C14</t>
  </si>
  <si>
    <t>DUE_DATE</t>
  </si>
  <si>
    <t>25-013106</t>
  </si>
  <si>
    <t>30 Prospect Avenue</t>
  </si>
  <si>
    <t>30 Prospect Avenue, Hackensack, NJ, 07601</t>
  </si>
  <si>
    <t>G4</t>
  </si>
  <si>
    <t>On February 17, 2025 I responded to 300 Atlantic Street (HUMC Parking Garage) on a report of a motor vehicle theft. Upon arrival, I met with the victim who is the registered owner of the vehicle and his wife. The victim advised me that his wife parked the vehicle (2020 Honda Accord blue) inside the monthly permit parking section near the entrance of the garage at approximately 2000 hours last night. This morning around 0900 hours they arrived to the garage and discovered that the vehicle was missing. They advised me that they only have one key and checked the area for the vehicle but were met with negative results. I advised Headquarters to check if the vehicle was towed from the premises which also yielded negative results. At this time I advised the registered owner the procedure with reporting a stolen vehicle. At this time he stated he wanted the vehicle processed and signed a consent to search form. A victim notification form was also completed and a copy was provided to the victim. Upon completion the vehicle was placed into NCIC and ATTF as stolen.</t>
  </si>
  <si>
    <t>NJ-Z53RVG HONDA, ACC</t>
  </si>
  <si>
    <t>Z53RVG</t>
  </si>
  <si>
    <t>P.O. Anzour Marza 356</t>
  </si>
  <si>
    <t>25-013091</t>
  </si>
  <si>
    <t>Recovered Stolen Vehicle</t>
  </si>
  <si>
    <t>Motor Vehicle Theft, Recovered Stolen Vehicle</t>
  </si>
  <si>
    <t>Second St, 100 Block</t>
  </si>
  <si>
    <t>100 Second Street</t>
  </si>
  <si>
    <t>100 Second Street, Hackensack, NJ, 07601</t>
  </si>
  <si>
    <t>Suspect(s): Unknown     The victim, Kimberly Trujillo, responded to Police Headquarters on a report of a Motor Vehicle Theft.  Upon arrival, the victim stated that her 2022 grey 4-door Honda Accord bearing NJ reg: L17PUM had been stolen from her apartment complex's parking lot and had been located in Rochelle Park. The victim further stated the listed vehicle was parked in assigned space number #2 and was last known to be parked there at approximately 2300 hours. The victim advised me she was in possession of the master key and no other party had access to her vehicle. The victim further advised me the spare key to her vehicle was misplaced approximately two (2) years in the past. Both license plates were attached to the vehicle at the time the victim parked the vehicle.     The victim stated on 02/17/2025 at approximately 0800, she received a phone call from Rochelle Park Police Department Det. Galina #151 advising her the listed vehicle had been located behind a CrossFit gym in Rochelle Park. Det. Gallina #151 further advised the victim, that the listed vehicle was located with all four (4) wheels removed from the vehicle. The victim further stated upon receiving the phone call, they responded to their second vehicle which was also parked in their apartment complex's parking lot. At this time, the victim observed an E-Z Pass and Camera from the stolen vehicle left on the hood of her second vehicle.      The victim stated she would like to have the vehicle processed should it be recovered and signed a consent to search form. A victim notification form was completed and a copy was given to the victim. The vehicle's insurance information was unable to be provided due to the paperwork being inside the glove box of the stolen vehicle.The vehicle registration was given to dispatch and was entered into NCIC. A stolen vehicle entry was made into the Auto Theft Task Force website.The vehicle's estimated value is approximately $22,000 USD.  See Rochelle Park Case #2025-002492.</t>
  </si>
  <si>
    <t>NJ-L17PUM HONDA, ACC</t>
  </si>
  <si>
    <t>L17PUM</t>
  </si>
  <si>
    <t>25-013147</t>
  </si>
  <si>
    <t>Burglary - Commercial, Suspicious Incident</t>
  </si>
  <si>
    <t>35 Pangborn Place</t>
  </si>
  <si>
    <t>35 Pangborn Place, Hackensack, NJ, 07601</t>
  </si>
  <si>
    <t>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t>
  </si>
  <si>
    <t>02/17 at 08:22</t>
  </si>
  <si>
    <t>02/17 at 09:31</t>
  </si>
  <si>
    <t>Source.Name</t>
  </si>
  <si>
    <t>INC_DATE</t>
  </si>
  <si>
    <t>INC_TIME</t>
  </si>
  <si>
    <t>ALL_INCIDENT_TYPES</t>
  </si>
  <si>
    <t>OCA_COUNT</t>
  </si>
  <si>
    <t>INC_DATE_AND_TIME</t>
  </si>
  <si>
    <t>2025_02_12_16_55_54_ALL_CRIMES.xlsx</t>
  </si>
  <si>
    <t xml:space="preserve">  I responded to the listed location on a motor vehicle theft. Upon arrival, I met with the complainant and the victim. The victim only spoke Spanish, so her husband (the complainant) translated. The complainant stated that his wife's vehicle was parking in the driveway of 170 Hudson Street, which was located between 170 Hudson Street and 166 Hudson Street. He stated that he left his vehicle running and went back into his house at 0635 hours. When he went to check on the vehicle at 0650 hours, he discovered it was missing. The vehicle was left unlocked with the keys in the ignition. I observed cameras in the rear of the house, but none located directly where the vehicle was parked.
A victim notification form was completed and a copy was given to the victim. The victim requested to have the vehicle process if located. 
The estimated value of the stolen auto is $2,000.00 Dollars.</t>
  </si>
  <si>
    <t>T12sse</t>
  </si>
  <si>
    <t>Dodge</t>
  </si>
  <si>
    <t>swetits_m</t>
  </si>
  <si>
    <t xml:space="preserve">   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
-0448 hours, Det. N. LaSala (BCSD-CSU) arrived to process the scene, BCSD case # 2025-0088.
-0528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t>
  </si>
  <si>
    <t xml:space="preserve">            I responded to the listed location on a reported motor vehicle theft. Upon arrival, I spoke with the complainant. She stated that on 02/04/2025 at 11:29 hours, she received a text from her boss, asking her to check on one of their U-Haul vehicles. She further stated that upon searching the parking lot, she could not locate the vehicle. The complainant reported that the vehicle had been rented out, so she contacted the contract holder to ensure the vehicle was dropped off. Upon verifying such and checking camera footage, the vehicle is seen on camera being dropped off by the customer. He is then approached by the suspect, where a brief verbal exchange is had. The customer is then seen leaving the area. The suspect is then seen retrieving keys from a lock box, before entering the van and fleeing the area.
     I then spoke with the customer. He stated that he had dropped the vehicle off at the listed location at approximately 18:40 hours. He further stated that upon dropping it off, he was greeted by the suspect, who acted as an employee of the business. The customer reported that after a brief discussion, he was wary of the suspect and secured the keys in the lock box himself. He further stated that he then left the area.  
     A check in house of our tow list was conducted, with the vehicle not having been reported as towed or repossessed
. 
 The complainant was advised of the recovery process, including fingerprinting of the vehicle. The complainant stated that she would like the vehicle held for prints on behalf of U-Haul and signed a Consent to Search Form. The complainant advised that she was unsure if the vehicle had a tracking system.
       The vehicle is valued at approximately $45,000.00.
      The complainant has video footage of the incident, available upon request.
       Vehicle was entered into the ATTF website.
    A New Jersey Victim Notification Form was completed.
Insurance Info: Self-Insured
Certificate #:S012
Exp: 06/30/2025</t>
  </si>
  <si>
    <t>am82732</t>
  </si>
  <si>
    <t>Promaster</t>
  </si>
  <si>
    <t>deleon_a</t>
  </si>
  <si>
    <t xml:space="preserve">     On Monday, February 3, 2025 at approximately 1640 hours, Sgt. Farhi and I responded to 400 Hackensack Avenue (Marc Jacobs) on a reported robbery. Upon arrival, I met with the victim who reported that three suspects (1 male, 2 females) entered the establishment at approximately 1600 hours. The suspects reportedly exited and reentered the store multiples time prior to committing the offense, with the last entry being made only by the male suspect. 
    The victim further reported that the suspect grabbed three small purses from the display shelf before he began to walk toward the exit. At that time, the victim stated that he attempted to stop the suspect, who immediately shoved him into a store fixture. The suspect reportedly proceeded to run out of the store toward the nearest mall exit, where he entered a black vehicle and fled in an unknown direction. The victim stated that he was able to recover one of the purses during the incident. 
    The victim advised that he sustained minor injuries to his left arm as result of the incident, in which he refused any medical attention. The victim wished to provide a recorded statement to detectives. He was transported to police headquarters where he was turned over to Det. Dogali. The total loss suffered by the establishment for the two purses was approximately $650.00. The store manager (witness) wished to have complaints signed against the suspects if they were able to be identified.
     Suspect 1: Black male, slim build, 5'8", black beanie, black puffer, dark pants, white/blue sneakers
     Suspect 2: Black female, heavy build, 5'8", short hair, black puffer, black leggings, black pocketbook
     Suspect 3: Black female, heavy build, 5'7", long cornrows, gray puffer, light blue jeans</t>
  </si>
  <si>
    <t>levis_r</t>
  </si>
  <si>
    <t>Unknown Suspect Descriptions:
Unknown Suspect 1: Tall white male, crew cut, no clothing description
Unknown Suspects 2-5: 4 males, unknown race, wearing dark colored helmets and dark clothes with padding.
         While in the area, P.O. Maceri and I were flagged down by the victim. Upon speaking with him, he advised that he had been robbed. Sgt. Farhi responded to assist.
          The victim stated that on 02/02/2025 between 17:25 and 18:00 hours, he was walking north on Main Street, near the area of Main Street and Court Street with two acquaintances. He further stated that while walking in that area, a verbal dispute took place between the three of them. The victim reported that at this time, he was approached by five suspects, with four of them carrying bats. He further reported that suspect #1 threatened him, stating that he would beat him up if he didn't hand over his belongings. The victim stated that suspect #1 forcibly retrieved the wallet off his person and removed a debit card and identification card, before throwing the wallet back in his direction. He further stated that the suspect's then told him if they saw him again, they would beat him up. The suspects then fled east on Court Street, before turning left to head north on River Road.
        A New Jersey Victim Notification Form was completed and provided to the victim.
       The detective division was notified and advised that they would follow up with the victim.</t>
  </si>
  <si>
    <t xml:space="preserve">     On February 1, 2025, I responded to the listed location on a report on a stolen motor vehicle. Upon arrival, I met with the registered owner, Mohammed Almowail. The registered owner stated on February 1, 2025 at approximately 0100 hours he parked his vehicle, a 2012 Ford Crown Victoria color grey bearing NJ registration P77UZJ in front of 453 Sutton Avenue facing East. At approximately 0230 hours, while inside of the residence he heard the vehicle being turned on and when he walked out to where he last parked it the vehicle was no longer there. 
     The registered owner stated that he currently has possession of the two keys that belong to the vehicle. The vehicle has two NJ plates(P77UZJ) attached.
     It should be noted the victim was in the process of selling the vehicle today to someone by the alias of Taylor Jacobs via Facebook marketplace. The victim provided the above listed address and videos of where the vehicle was going to be located to the above listed alias of Taylor Jacobs.
     The vehicle also contained a black wallet inside with three Bank of America Credit Cards and 4 Bank of Kuwaitt Credit Cards issued to Abdull Alhajeri. The victim was advised to report and lock all cards.
      The registered owner received a completed victim notification. The vehicle was entered as stolen into NCIC (NIC # V786677145 ) along with a stolen motor vehicle form. The vehicle was also entered as stolen into the  ATTF site. The registered owner does not wish to have the vehicle processed at this time. 
Approximate value for the above vehicle is 3,000.00 USD. The value of the black wallet is approximately $30.00 USD.</t>
  </si>
  <si>
    <t>p77uzj</t>
  </si>
  <si>
    <t>Ford</t>
  </si>
  <si>
    <t xml:space="preserve">                       The victim responded to police headquarters on a report of a motor vehicle theft.  The victim, Clever Asitimbay Mora, reported that he parked the vehicle in the area of 535 Hudson Street in this jurisdiction on 01/31/2025.  The victim reported that on 02/7/2025 at approximately 13:00 hours, he checked the GPS location of his vehicle on his phone and noticed that his vehicle was located at 3945 Frankford Avenue, Philadelphia, PA 19124.  He reported he possessed one (1) key to the vehicle, and the other key was broken.  Both the front and rear license plates were attached to the vehicle.  The victim did not want the vehicle processed if located.  The vehicle is insured by GEICO unknown policy number at this time.  The value of the vehicle is approximately $6,000.00.  A victim notification form was completed, and the vehicle was entered into N.C.I.C and the Auto Theft Task Force (ATTF) as stolen.  I contacted Philadelphia Police Department District 24 and spoke with P.O. Kane and advised him of the location of the vehicle. </t>
  </si>
  <si>
    <t>s70mpz</t>
  </si>
  <si>
    <t>nj</t>
  </si>
  <si>
    <t xml:space="preserve">      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
</t>
  </si>
  <si>
    <t>klosk_j</t>
  </si>
  <si>
    <t xml:space="preserve">         On January 29, 2025, I responded to the listed location on a report on a stolen motor vehicle. Upon arrival, I met with the registered owner, Trina Coley. The registered owner stated on January 28, 2025 during the afternoon hours she parked her vehicle , a 2012 Lexus ES color black bearing NJ registration K84CXU in her residence private parking lot facing East. The registered owner stated that she currently does not have possession of the key fob as it was left inside of the vehicle along with her cell phone. At approximately 0930 hours on January 29, 2025 she responded to her vehicle where she last parked it,and the vehicle was no longer there. 
      The registered owner received a completed victim notification. The vehicle was entered as stolen into NCIC (NIC #V686695547 ) along with a stolen motor vehicle form. The vehicle was also entered as stolen into the ATTF web site. The registered owner does not wish to have the vehicle processed at this time. 
Approximate value for the above vehicle is 7,000.00 USD and the iPhone 15 at $800.00 USD.</t>
  </si>
  <si>
    <t>k84cxu</t>
  </si>
  <si>
    <t>Lexus</t>
  </si>
  <si>
    <t>Swetits_m</t>
  </si>
  <si>
    <t xml:space="preserve">           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
Vehicle Insurance: Geico
Code :365
Policy Number: 6164-87-88-42</t>
  </si>
  <si>
    <t>r97ryw</t>
  </si>
  <si>
    <t>Honda</t>
  </si>
  <si>
    <t>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t>
  </si>
  <si>
    <t>r36gbb</t>
  </si>
  <si>
    <t xml:space="preserve">          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
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
Sgt. Competiello contacted detectives. Detective DeBonis arrived on scene.
The victim requested for the apartment to be processed. Sgt. Competiello contacted Bergen County Sheriff's Office. Detective LaSala #1866 arrived on scene. See BCSO case #2025-0052 for more .
I observed no signs of forced entry. The New Jersey victim notification form was filled out and a copy was provided to the victim for her records.
The crime scene was secured at 14:15 hours.
Crime Scene Log:
14:31: Det. LaSala Enters
14:38: Det. LaSala Exits
14:48: Det. Lasala Enters
14:49: Det. Debonis Enters
15:01: Det. LaSala Exits.
15:04: Det. LaSala Enters.
Crime Scene Terminated: 15:08
</t>
  </si>
  <si>
    <t xml:space="preserve">  On Thursday, 01/23/2025 I was notified by D/Sgt. Dominguez of a possible sexual assault involving a juvenile. I was advised that 10 y/o S.S. disclosed to a school teacher that her mothers boyfriend has been touching her while her mother was sleeping. This reportedly has occurred on multiple occasions. No further information was available at this time. S.S. is a student at Nelly K. Parker school, who already notified DCP&amp;P as per protocol.
   I contacted DCP&amp;P social worker Jennifer Diaz who was assigned to the initial investigation. Ms. Diaz advised me that she was currently enroute to Nelly K. Parker to meet with S.S., and school staff. She advised me that she already contacted BCPO/SVU. I advised her that I will meet her at the school. Upon arrival I met with Ms. Diaz, who advised me that S.S. was set to be picked up from school by another unknown adult possibly the suspect. Due to the circumstances it was determined that S.S. will be transported to BCPO (100 Eisenhower Drive, Paramus NJ) to undergo a forensic interview with SVU. Contact was made to S.S. mother, Ibys Sandoval, who was advised that a police investigation is underway and her presence is required. Ms. Sandoval expressed that she has transportation issues, therefore this agency arranged transport for her.
  Det. Reyes responded to pick up Ms. Sandoval at her residence (176 Berdan Place, Hackensack NJ). Ms. Sandoval was transported to Nelly K. Parker to meet up with her daughter, and ultimately transported to BCPO for the interview.  
 Contact information was limited at the time of this report
 (See Det. Reyes Supplemental report for further details)
  </t>
  </si>
  <si>
    <t>bay_f</t>
  </si>
  <si>
    <t xml:space="preserve">        On January 22, 2025, I responded to the listed location on a report of a stolen motor vehicle. Upon arrival, I met with the victim, Melisssa Williams, also registered owner. The victim stated the vehicle has been lodged at 443 Hudson Street with permission of the resident Jermal Clark. The victim stated upon speaking to Jermal Clark he stated "the vehicle was towed off the property early morning and he got some money for it."
  Sgt. Tovbin and I spoke to Jermal Clark, who stated that he does not know which towing company towed the vehicle. I asked Jermal Clark if he towed the vehicle off the property and he was uncooperative in answering the question. 
      The vehicle, a 2006 Nissan Pathfinder color black bearing NJ registration Y62SRJ, was last seen on January 21, 2025 at approximately 1600 hours parked facing South on the listed property. The victim stated that she currently does not have possession of the key. The victim indicated the one key was last in possession of Jermal Clark. 
      The registered owner received a completed victim notification. The vehicle was entered as stolen into NCIC (NIC # V146697789 ) along with a stolen motor vehicle form. The vehicle was also entered as stolen into the  ATTF website. The registered owner does not wish to have the vehicle processed at this time. 
Approximate value for the above vehicle is 2,500.00 USD.
</t>
  </si>
  <si>
    <t>Nissan</t>
  </si>
  <si>
    <t xml:space="preserve"> On January 22, 2025, I responded to the listed location on a report on a stolen motor vehicle. Upon arrival, I met with the registered owner, Kamil Garcia. The registered owner stated on January 21, 2025 at approximately 1800 hours he parked his vehicle, a 2023 Honda Passport color red bearing NJ registration U22RSV in front of 33 Ross Ave facing West. The registered owner stated that he currently has possession of the two key fobs that belong to the vehicle. At approximately 0309 hours on January 22, 2025 he responded to his vehicle where he last parked it and the vehicle was no longer there. 
      The registered owner received a completed victim notification. The vehicle was entered as stolen into NCIC (NIC #  V956704006) along with a stolen motor vehicle form. The vehicle was also entered as stolen into the  ATTF website. The registered owner does not wish to have the vehicle processed at this time. 
Approximate value for the above vehicle is 46,000.00 USD.</t>
  </si>
  <si>
    <t>tovbin_s</t>
  </si>
  <si>
    <t xml:space="preserve">Suspect 1: Hispanic male, approximately early 30' s in age, approximately 5'10" in height, approximately 180 in weight, wearing a tan hooded sweater, brown "NY" Yankees logo hat, black sweatpants and white sneakers.
Suspect 2: Hispanic female, approximately mid 20's in age, approximately 5'5" in height, approximately 140 in weight, wearing a black jacket, grey hooded sweater, tan pants and cream colored shoes. 
Suspect Vehicle: 4 door Silver in color Hyundai Sonata (unknown registration).
On 1/17/25 P.O. Papanikolaou and I responded to 630 Main Street, Target on a reported shoplifting. While   speaking with Target Loss Prevention they wanted to report an additional incident, which occurred in the past.
Target Loss Prevention / victim, Cheikh Gaye, reported on 1/16/25 at approximately 21:03 hours suspect 1 and suspect 2 entered Target. It was further reported on 1/16/25 at approximately 21:16 hours suspect 1 and 2 passed all points of sale with unpaid merchandise in a shopping cart. The unpaid merchandise (furniture, grocery, health and beauty, home and kitchen products) totaled $452.71. 
Prior to exiting Target Loss Prevention / the victim confronted both suspects. Target Loss Prevention were able to recover all merchandise that both suspects attempted to steal. While recovering the stolen merchandise suspect 1 punched the victim in the head, specifically the top left side, with a closed fist one time. The victim reported having a complaint of pain hours after being assaulted. Both suspect later left the area in the suspect vehicle. 
A Sgt. was requested and Sgt. Competiello responded. Detectives were notified. The victim later responded to headquarters to provide a voluntary statement. The victim refused medical attention at this time.
A receipt of the unpaid merchandise was provided by Target Loss Prevention. The receipt was later secured in the Detective Bureau Mailbox.
</t>
  </si>
  <si>
    <t>Hyundai</t>
  </si>
  <si>
    <t>Sonata</t>
  </si>
  <si>
    <t xml:space="preserve">     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t>
  </si>
  <si>
    <t xml:space="preserve">On 01/15/2025 I responded to 244 First Street on a reported motor vehicle theft. Upon arrival I met with the driver of the stolen vehicle, Jeffrey Mejiamorquecho. He reported he parked his motor vehicle in front of 244 First Street facing north at around 24:00 hours. He further reported his mother left his residence at 05:00 hours on the listed date and noticed the vehicle was gone. The driver also reported he received a notification from EZ Pass with a charge from the George Washington Bridge toll at 04:13 hours on the listed date. The driver then walked out with me to where his vehicle was parked and observed broken glass which he suspected to be from his rear passenger side window. The driver advised me the vehicle had 1 plate in the rear and was worth approximately $50,000.00 as the vehicle was fairly new. He further reported he attempted to track the vehicle as it contains tracking equipment but was unsuccessful as it was not connecting. He believes it was disconnected somehow after the vehicle was stolen.
240 First Street has cameras in the general direction of where the vehicle was parked. It is unknown at this time if they captured the incident occur.
Insurance Information: 
Company: Geico (369)
Policy Number: 6183163036
The driver was provided with a completed New Jersey Victim Notification Form.
The driver wished to have the vehicle processed if located and a Hackensack Police Consent to Search from was completed.
The vehicle was entered into NCIC as stolen by Communications.
The vehicle was entered into ATTF as stolen.
</t>
  </si>
  <si>
    <t>b1</t>
  </si>
  <si>
    <t xml:space="preserve">     On Tuesday, January 14th, 2025, P.O. Conlon. P.O. Voorhis, and I responded to 450 Hackensack Avenue for a report of a trespasser on the premises who had shoplifted in the past and has also been aggressive with staff in the past. 
   Upon my arrival, I observed the arrestee enter a white Volkswagon (NJ-Y82VDS) that was leaving the parking lot. The security officers at Home Depot also pointed out the arrestee as he entered the car. I conducted a motor vehicle stop with the vehicle at the traffic light exiting the parking lot. As I approached the vehicle, the arrestee exited the vehicle and started running West on Hackensack Avenue. P.O. Conlon, P.O. Voorhis, and I began running after the arrestee and announcing ourselves as Hackensack Police. When the arrestee approached the other side of Hackensack Avenue, he stopped, and P.O. Conlon apprehended him. The arrestee was flailing his arms while I was attempting to place him in handcuffs. The arrestee was then put in handcuffs with his hands behind his back. The arrestee was then searched, which yielded negative for contraband. 
  The Loss Prevention Officers stated that the arrestee entered the front door of Home Depot with a black ski covering his face. The loss prevention officers noticed the arrestee from previous shoplifting. The arrestee then concealed several power tools totaling $1,284.00 and placed them in a shopping cart. The arrestee then went past all points of sale and tried to exit the store. Prior to exiting the store, the loss prevention officers approached him and tried to stop him from leaving. The arrestee then pushed the loss prevention officers and fled the store on foot. The loss prevention officer recovered the items. The arrestee then entered the listed vehicle and fled the parking lot for the exit of the mall. A photo copy of the receipt was placed into the BCI mailbox located at the front at the front desk. 
The items that were recovered: 
M18 Jobsite Radio priced at $189.00
Two 20V Atomic BL Combo Kit priced at $149.00 each
M18 Fuel Jig Saw priced at $199.00
MKE M12 Packout Flood Light priced at $149.00
M18 Fuel 10 Miter Saw priced at $449.00
     Totaling at $1,284.00.
The arrestee was placed in radio car 114 and transported to police headquarters for processing. The vehicle was checked before and after the transport for contraband which yielded negative
   The arrestee was processed at police headquarters by P.O. Caero. 
Complaint W-2025-000016 was authored by Lt. Swetits against the arrestee and was signed for 2C:29-2a(1), 2C:29-2a(2), and two counts of 2C:15-1A(1).
  The arrestee also had multiple outstanding warrants from various jurisdictions.
The arrestee was remanded to the Bergen County Jail.</t>
  </si>
  <si>
    <t>y82vds</t>
  </si>
  <si>
    <t>Volks</t>
  </si>
  <si>
    <t>b2</t>
  </si>
  <si>
    <t xml:space="preserve">     On Monday, January 13th, 2025, at approximately 12:07 hours, P.O. Alvarez and I responded to the listed location on a dispute report. Before our arrival, headquarters had advised us that the male suspect, described as wearing a grey hoodie and sweatpants, had fled southbound on First Street. Upon arrival, we met with Maria Romero Peralta, the mother of the juvenile victim, A.R. 
     She reported that the described suspect, later identified as D.T., had punched her in the left eye and her right breast. With the mother's permission and in her presence, we spoke to the victim, a juvenile male, A.R., who reported that the suspect, D.T., had stolen a red electronic moped bike and had dropped it off at his house. He further reported that the suspect asked the victim if he could drop off the stolen moped for a couple of days. The victim also reported giving the stolen moped bike to another friend since he did not know how to operate the bike. A.R. later noted that the suspect, D.T., recovered the stolen moped bike from the said friend they have in common and had the bike confiscated byLaw Enforcement in another jurisdiction. 
     Today, the victim reported that the suspect arrived at his residence demanding $400.00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He also reported that a fight ensued between him and the suspect, and the three (3) witnesses stood by. 
     The victim also reported that his mother, Maria Romero Peralta, heard the commotion and broke up the fight, retreating with the victim and herself back into the residence. A.R. reported that the front entrance door closed and was being held by his mother when the suspect breached the door with physical force and continued to assault the victim while demanding $400.00 for the red moped electric bike.  I then requested a supervisor, and Sgt. Williams responded to assist. 
    Maria Romero Peralta reported that while attempting to break up the fight, she was punched in the left eye and right breast by the suspect, D.T. She also reported that the suspect and the three (3) witnesses fled the scene after she threatened to call the police. Maria Romero Peralta, along with A.R. declined medical attention at the scene. The mother and the victim wanted to provide statements to detectives and were transported to headquarters by P.O. Alvarez as I followed. 
     At headquarters, Detectives Mora and Garrett responded to report room 2 and met with the victim and his mother. Before providing statements to the detectives, Maria Romero Peralta began to have complaints of pain in her left eye and right breast. I observed her left eye to be swollen and red. Maria Romero Peralta then requested to be transported to the hospital for evaluation and treatment. I requested an ambulance, and Hackensack University Medical Center BLS #136 arrived. The mother, now a patient, was transported to the HUMC along with A.R. for treatment. The patient reported that she would respond to headquarters at a later time to provide statements to the detectives. 
I contacted DCP&amp;P Christine #1718 and advised of the incident. She reported that the incident would only be documented. I completed a victim notification form and provided a copy to the victim.
It should be noted that the victim, A.R., reported that he had dropped out of school as of today; therefore, a handle with care was not completed. See Detectives report for additional information. 
</t>
  </si>
  <si>
    <t xml:space="preserve">     On Friday January 10, 2025, I was assigned as the Hackensack High School SRO. I was advised that a student wanted to report a crime and was currently in the main office. Upon arriving to the main office I met the victim, A.R. 
      As I began to speak with the victim she immediately began to cry. She stated that she was inappropriately touched by the suspect who is also student. The suspect was identified as Manuel Martinez Perez. The victim stated that on Tuesday January 7, 2025  she was in her 9th period class ESL 2 in room 276. She shares this class with the suspect and his cousin Esmeralda Perez Martinez who is a potential witness. 
      The victim stated during class the suspect gave her a hug. As he was hugging her he dropped his hand down and grabbed her breast over her clothing. She immediately became angry and told him not to touch her. She then advised Esmeralda Perez Martinez that she was touched inappropriately by the suspect. The victim stated that she reported this incident to her her teacher Mrs. Magdalene Symmonds, but she did not understand her due to a language barrier.  The victim reported that this was not the first time she was inappropriately touched by the suspect. She reported that the prior week a similar incident occurred. I notified assistant Principal Celso King of this report.
      I spoke to Esmeralda Perez Martinez who may have witness the incident. Perez Martinez stated that she sits in a group with the victim and the suspect. The day of the incident she did not observe the suspect touch the victim because she was busy doing her class work. The witness did confirm that the victim mentioned to her that she was inappropriately touched by the suspect. 
      The victim's mother, Raquel Lelio, was notified of the incident and responded to the school. She advised me that she was not sure if she wanted to sign criminal complaints against the suspect. She wants to speak with her daughter and husband before making a decision.
       Det. E. Reyes was advised of the incident and will follow up with the complainant at a later time.</t>
  </si>
  <si>
    <t>Dominguez_l</t>
  </si>
  <si>
    <t>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
2 Boroscope - $5,000.00 USD
8 Redundant Locks - $2,000.00 USD
5 Drills - $5,000.00 USD
1 large box of drill bits - $1,200.00 USD
1 tool bag with several tools - $2,000.00 USD
6 Electronic locks - $1,320.00 USD
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
A victim notification form was completed and a copy was given to the victim.</t>
  </si>
  <si>
    <t xml:space="preserve">    On Saturday, January 4th, 2025, I responded to the listed location on a report of a motor vehicle theft. Upon arrival, I met the registered owner, who reported that his vehicle was parked in the driveway at 21:30 hours on 01/03/2025. He further reported that he left his residence with his friends in his friend's vehicle and returned to his residence on the morning of 01/04/2025. He noticed his vehicle was taken from his driveway. The registered owner reported there was nothing valuable in the car and was uncertain if the spare keys were in the vehicle. Both New Jersey plates are affixed to the vehicle. 
     Communications advised me that the vehicle was located in Clarkstown, NY, and was involved in a motor vehicle hit-and-run accident. The registered owner was also advised of the vehicle's location. I observed no cameras in the area. 
     The victim did not want the vehicle processed or to sign complaints if the suspect(s) are identified. 
    A New Jersey Victim Notification form was completed and provided to the registered owner. 
    An ATTF entry was completed
    A motor vehicle checklist was completed and submitted. 
</t>
  </si>
  <si>
    <t>W46uly</t>
  </si>
  <si>
    <t>2025_02_16_17_04_17_ALL_CRIMES.xlsx</t>
  </si>
  <si>
    <t xml:space="preserve">    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
1-Metro Tech 810 Mark out scope- approximately $3,000.00
1-Heath RMLD- Approximately $8,000.00
1-Heath gas detector- Approximately $5,000.00
                                            Approximate amount stolen: $16,000.00
    I did not observe any cameras in the area and the PSE&amp;G vehicle is self insured. </t>
  </si>
  <si>
    <t>128 Christopher Columbus Drive</t>
  </si>
  <si>
    <t>Victim and suspect were in a dating relationship for approximately 9 months.
    I responded to Police Headquarters on a report of Domestic Violence. Upon arrival I met with the Victim who stated on 02/13/2025 at approximately 0200 hours she was at a bar called "Six26" in Jersey City, NJ (128 Christopher Columbus Drive, Jersey City, NJ 07302.) She stated while she was leaving the bar, the suspect met with her on the sidewalk. The victim stated the suspect wished to get back together, but she refused. He then became angry and proceeded to strangle her, briefly cutting off her ability to breath, however she did not lose consciousness. Right after the suspect strangled her, he stole her Iphone 14 Pro out of her front pocket (Approximate value: $1,000.00) then fled the scene. 
    The victim advised me that she currently has a restraining order against the suspect, but he has not been served. Docket number: FV-BER-002857-24.
A recorded statement was taken by Detective Mora. 
BREATHE services were offered but the victim refused. 
A New Jersey Victim Notification Form was completed.
DVRT Form was completed.
Voluntary Handwritten Statement was completed.
ODARA Form was completed. 
Jersey City Police Department Detective Soto was advised of the incident.
All paperwork was forwarded to him for complaints to be signed.</t>
  </si>
  <si>
    <t>briggs_s</t>
  </si>
  <si>
    <t xml:space="preserve">     The victim and the suspect were prviously in a two year relationship.  The two never resided together and have no children in common.
     P.O. McCarthy and I responded to the listed location on a report of a violation of a court order.  Upon arrival, we met with the victim,  Johnathan Arroyo, who reported hearing a loud bang from the basement door.  After hearing the loud bang, he began to hear his ex-girlfriend, Ashley Celdo Rodriguez, start to scream while standing in the basement.  That's when his brother, David Arroyo, and the victim exit their bedrooms and witness the suspect inside of the house.  Both parties grabbed the suspect and escorted her out of the house.  Once outside, the suspect ran toward the backyard fence and climbed over before our arrival on the scene.  While on the scene, I observed the door frame trim to be damaged.  The victim estimated that the cost to fix the door was $200.00.  P.O. Mcarthy and P.O. Lopez-Amaya arrived to assist and conducted a check of the area.
     While on the scene, I observed several surveillance cameras on the residence's exterior.  They showed me the footage of the suspect entering the rear yard and walking to the basement door of the house.  I provided the victim with my departmental e-mail address so that the video footage could be sent.  
      I contacted police headquarters to see if any active restraining orders were in place.  They advised me that three no-contact orders were in place.  I asked if the victim wanted the scene processed, but he did not want it done.  I asked the victim if he wanted to apply for a restraining order at this time, which he denied.  He also wanted to speak with a DVRT member at a later time.  I provided the victim with the telephone number.  I completed the New Jersey victim notification form and domestic violence supplement were completed.   The victim refused to complete a voluntary handwritten statement.  While at police headquarters, P.O. McCarthy, P.O. Vicale, and P.O. Lopez-Amaya located the suspect. See their supplements for further information.  
     Arrestee was charged with 2C:29-17-3A(1), 2C:33-4A, 2C:18-2A(1), 2C:29-2A(1) and 3 counts of 2C:29-9A(1) on 0223-W-2025-000023
 </t>
  </si>
  <si>
    <t xml:space="preserve">     On Tuesday, 01/14/2025, P.O. Rivera and I responded to 895 Main Street apartment 12A for a Domestic Violence incident report. Mrs. Charmaine Perez (victim) is the mother of Mr. Christopher Pereira (suspect). Mr. Eusebia Perez (witness) is married to the victim and stepfather to the suspect. 
     The victim reported that the suspect has not lived at the apartment for approximately three (3) months. The suspect does not have key access to the apartment. There is a vestibule, which is kept locked, that leads to a first and second floor apartment. The victim's apartment is on the first floor.  
     The victim reported that the suspect broke into the apartment uninvited and continued into her bedroom, where she was located. The suspect was irate, confronted her about money that she was awarded from a lawsuit settlement. The suspect stated, " BITCH, DON'T MESS WITH THE GRANDKIDS, DO YOU KNOW WHO THAT NIGGA IS ON THE COUCH, STAY THE FUCK AWAY FROM ME!" The victim reported at the time her granddaughter, Ms. Keka Ornsby, and her boyfriend were seated on the couch when the suspect entered. The victim reported that the suspect did not engage with Ms. Keka Ornsby. It should be noted, Ms. Ornsby's mother has an active temporary restraining order (Docket #FV-02000101-11 against the suspect. Ms. Ornsby is listed as an additional person in the order. The victim reported that Ms. Ornsby began staying with her for approximately three (3) weeks. Due to the statements the victim made, we did not sign a complaint against suspect for 2C:29-9 (Contempt of court).  
     The victim reported when the suspect exited the bedroom, the granddaughter and her boyfriend left and the witness entered the apartment. The witness reported that he avoided confrontation from the suspect by exiting the apartment. The witness was unaware the suspect was inside and the victim confirmed his reporting. It should be noted, the suspect has a no contact order against the witness (See complaint #W2024-000767-0223). Due to the victim's and witness's statement, we did not sign a complaint against the witness for 2C:29-9 (Contempt of court). 
     Sgt. Williams arrived to assist. The victim believed the suspect used a credit card to gain entry into the apartment. The vestibule door and apartment door had old damage near the doorknob and strike plate. The victim confirmed our observation. Sgt. Detective Bay was notified. The scene was unable to be processed, but was captured by my body worn camera. 
     The victim wanted a temporary restraining order and willing to give a recorded statement. She was transported to headquarters, gave a recorded statement to detectives (See their supplement), and Judge Takvorian granted the TRO in report room #2 @1342 hours. Sgt. Feuilly was sent an e-mail to preserve the recording. The victim was given her copy of the TRO. She did not want to speak with a Domestic Violence Response member, but was provided their phone number. A voluntary handwritten form was not completed because she gave a recorded statement. A New Jersey Victim notification form was completed. 
     Lt. Knapp authored complaint #W-0223-2025-000014 for 2C:33-4C (Harassment), a petty disorderly persons offense, and 2C:18-2A(1) (Burglary), a third degree crime.   
</t>
  </si>
  <si>
    <t>knapp_j</t>
  </si>
  <si>
    <t>2025_02_18_10_24_27_ALL_CRIMES.xlsx</t>
  </si>
  <si>
    <t xml:space="preserve">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
Sgt. Farhi was notified. Detectives were notified by Sgt. Farhi. 
Total value of items taken - $150.00 USD
</t>
  </si>
  <si>
    <t>Suspect(s): Unknown
     The victim, Kimberly Trujillo, responded to Police Headquarters on a report of a Motor Vehicle Theft.  Upon arrival, the victim stated that her 2022 grey 4-door Honda Accord bearing NJ reg: L17PUM had been stolen from her apartment complex's parking lot and had been located in Rochelle Park. The victim further stated the listed vehicle was parked in assigned space number #2 and was last known to be parked there at approximately 2300 hours. The victim advised me she was in possession of the master key and no other party had access to her vehicle. The victim further advised me the spare key to her vehicle was misplaced approximately two (2) years in the past. Both license plates were attached to the vehicle at the time the victim parked the vehicle.
     The victim stated on 02/17/2025 at approximately 0800, she received a phone call from Rochelle Park Police Department Det. Galina #151 advising her the listed vehicle had been located behind a CrossFit gym in Rochelle Park. Det. Gallina #151 further advised the victim, that the listed vehicle was located with all four (4) wheels removed from the vehicle. The victim further stated upon receiving the phone call, they responded to their second vehicle which was also parked in their apartment complex's parking lot. At this time, the victim observed an E-Z Pass and Camera from the stolen vehicle left on the hood of her second vehicle. 
     The victim stated she would like to have the vehicle processed should it be recovered and signed a consent to search form. A victim notification form was completed and a copy was given to the victim. The vehicle's insurance information was unable to be provided due to the paperwork being inside the glove box of the stolen vehicle.
The vehicle registration was given to dispatch and was entered into NCIC. 
A stolen vehicle entry was made into the Auto Theft Task Force website.
The vehicle's estimated value is approximately $22,000 USD.  
See Rochelle Park Case #2025-002492.</t>
  </si>
  <si>
    <t>l17pum</t>
  </si>
  <si>
    <t>On February 17, 2025 I responded to 300 Atlantic Street (HUMC Parking Garage) on a report of a motor vehicle theft. Upon arrival, I met with the victim who is the registered owner of the vehicle and his wife. The victim advised me that his wife parked the vehicle (2020 Honda Accord blue) inside the monthly permit parking section near the entrance of the garage at approximately 2000 hours last night. This morning around 0900 hours they arrived to the garage and discovered that the vehicle was missing. They advised me that they only have one key and checked the area for the vehicle but were met with negative results. 
I advised Headquarters to check if the vehicle was towed from the premises which also yielded negative results. At this time I advised the registered owner the procedure with reporting a stolen vehicle. At this time he stated he wanted the vehicle processed and signed a consent to search form. A victim notification form was also completed and a copy was provided to the victim. Upon completion the vehicle was placed into NCIC and ATTF as stolen.</t>
  </si>
  <si>
    <t>z53rvg</t>
  </si>
  <si>
    <t>2025_02_24_12_53_49_ALL_CRIMES.xlsx</t>
  </si>
  <si>
    <t>25-013527</t>
  </si>
  <si>
    <t>Exceptionally Cleared/Closed, Sexual Assault</t>
  </si>
  <si>
    <t>Exceptionally Cleared/Closed</t>
  </si>
  <si>
    <t>240  Prospect Avenue</t>
  </si>
  <si>
    <t>240  Prospect Avenue, Hackensack, NJ, 07601</t>
  </si>
  <si>
    <t>H4</t>
  </si>
  <si>
    <t xml:space="preserve">  On February 18, 2025, I was advised by Sgt. Tripodi that a female, later identified as Yamini Verma, a victim of sexual assault was going to be seen at Mt. Sinai hospital in New York City.  At approximately 17:00 hours, I received a call from NYPD SVU Detective Woo that Ms. Verma was confirmed a patient at Mt. Sinai Emergency Room and was undergoing the SART Examination.  
  Det. Tanucilli and I responded to Mt. Sinai emergency room to meet with the victim.  Upon our arrival the RN Rachel stated that the victim was still undergoing the SART examination.  Once the examination was completed Det. Tanucilli and I entered the room and spoke with the victim (BWC was activated).  
  The victim told us that she was sexually assaulted by the suspect Akashpreet Riar on February 17, 2025.  The victim stated that the suspect is a teacher's assistant at the New York College of Podiatric Medicine, where she attends.  She stated that she was in communication with the suspect because she was looking for a tutor and he offered to help her.  The suspect picked up the victim in a blue Honda (unknown registration) from her residence in New York City at approximately 1930 hours.  The victim and suspect arrived at the suspect's apartment (240 Prospect Avenue, unknown apartment).  The victim and suspect were studying for approximately 1 hours, before both parties started to have a few drinks of alcohol.  The victim stated that the suspect started to approach her and speak in a sexual manner.  The victim stated that she refused his advancements and told him that she is not interested.  The victim stated that the suspect started to grope her breasts, buttocks and thighs while trying to kiss her neck.  The victim felt scared and again tried to push off the suspect.  The victim stated that she went to the bathroom and when she finished and unlocked the door, the suspect forced his way into the bathroom.  She stated that the suspect forced her to pull down her pants and shoved his hand down the front of her pants.  She stated that her head was pushed into the sink and the suspect began to digitally penetrate the victim's vagina.  The victim stated that she told the suspect to stop but felt like she had no control over the situation.  The victim stated that she was then picked up and placed into the bathtub where the suspect inserted his penis into her vagina against her will.  The victim said she was raped for approximately 2 minutes and the suspect ejaculated next to the victim.  
  The victim stated she was in a daze of confusion and fear.  She stated that the suspect called an UBER for her and she took the ride share back to NYC.  The victim stated that she was in disbelief and called her Dean of the college, Dr. Chusid in the morning (2/18/2025).  The victim stated that she told her dean that she was sexually assaulted, and he then recommended she seek medical attention the the nearest hospital.  At the emergency room,  evidence was collected which included the victim's bra (item #1), shirt (item #2), jeans (item #3) and the SART collection kit (item #4).  The victim stated that she wished to continue with a police investigation.  At that point  I contacted the Bergen County Prosecutor's office and spoke to Det. Chris Miranda.   He instructed me to see if the victim is available to respond to BCPO Headquarters in Paramus for an interview on Wednesday, February  19, 2025 at 1700 hours.  The victim agreed.
  The evidence was turned over to Det. Tanucilli . Back at police headquarters, an evidence report was generated and the evidence was secured in temp. evidence locker #3 and the temp. evidence refrigerator.  
  On February 19, 2025, I responded to the Bergen County Prosecutor's Office to meet with the Special Victim's Unit detectives and the victim.  The victim spoke with Detectives Miranda and Dawson.  After meeting with the BCPO SVU detectives the victim stated that she wanted to apply for a SASPA Protection Order.  She was advised to respond to Hackensack Police Headquarters during business hours to obtain a copy of the police report and then go the Bergen County Superior Court and apply in person for the protection order.  The victim stated that she needs some time before she is ready to proceed with the police investigation.  
  At this point the case will be placed as Ex-Cleared/Closed pending the victim wanting to proceed with the police investigation with the assistance of BCPO.  
  (See BCPO Case #BCP-25-00237)</t>
  </si>
  <si>
    <t>25-014007</t>
  </si>
  <si>
    <t>June</t>
  </si>
  <si>
    <t>360 Union Street</t>
  </si>
  <si>
    <t>360 Union Street, Hackensack, NJ, 07601</t>
  </si>
  <si>
    <t xml:space="preserve">          On February 20, 2025 I responded to 360 Union Street, Hackensack Middle school on a report of sexual assault involving a minor. Det. James was also present at the time as we spoke to the 7th grade Councilor, Mrs. Odumosu, in regard to the incident. Mr. Sass and Mr. Ruiz were also present at this time.
           Mrs. Odumasu stated that she spoke to the victim A.D.(12) and was informed the following. A.D.(12) had stated that she was being sexually assaulted by her older brother A.D. (18) approximately 2-3 times a year since she was in first grade at the approximate age of 5 years old. When asked what type of sexual assault took place, she stated penetration occurred. In one instance she stated that a cousin was present and witness the assault, but did not specify the cousin by name. A.D.(12) stated that the last assault occurred some time in June or September of 2024. When asked if she had ever told anyone she stated she told her mother after every incident to which her mother responded by saying that her and her brother would have to learn to coexist and work past it because she did not want to call the police and have to pick between both her children.
Det. Reyes was advised all investigation turned over to Dete</t>
  </si>
  <si>
    <t>P.O. Angie Tabares 363</t>
  </si>
  <si>
    <t>Cleared - Arrest</t>
  </si>
  <si>
    <t>36A = Incest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</si>
</sst>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F400]h:mm:ss\ AM/PM"/>
    <numFmt numFmtId="165" formatCode="mm/dd/yy"/>
    <numFmt numFmtId="166" formatCode="00"/>
    <numFmt numFmtId="167" formatCode="000"/>
    <numFmt numFmtId="168" formatCode="mm/dd/yy\ hh:mm"/>
    <numFmt numFmtId="169" formatCode="hh:mm"/>
  </numFmts>
  <fonts count="10" x14ac:knownFonts="1">
    <font>
      <sz val="11"/>
      <color theme="1"/>
      <name val="Calibri"/>
      <family val="2"/>
      <scheme val="minor"/>
    </font>
    <font>
      <sz val="12"/>
      <color theme="1"/>
      <name val="Aptos"/>
      <family val="2"/>
    </font>
    <font>
      <sz val="12"/>
      <color theme="1"/>
      <name val="Aptos"/>
      <family val="2"/>
    </font>
    <font>
      <sz val="12"/>
      <color theme="1"/>
      <name val="Aptos"/>
      <family val="2"/>
    </font>
    <font>
      <sz val="11"/>
      <color theme="1"/>
      <name val="Aptos"/>
      <family val="2"/>
    </font>
    <font>
      <sz val="14"/>
      <color theme="1"/>
      <name val="Aptos"/>
      <family val="2"/>
    </font>
    <font>
      <b/>
      <sz val="14"/>
      <color theme="1"/>
      <name val="Aptos"/>
      <family val="2"/>
    </font>
    <font>
      <sz val="8"/>
      <name val="Calibri"/>
      <family val="2"/>
      <scheme val="minor"/>
    </font>
    <font>
      <b/>
      <sz val="16"/>
      <color theme="1"/>
      <name val="Aptos"/>
      <family val="2"/>
    </font>
    <font>
      <sz val="12"/>
      <color theme="1"/>
      <name val="Aptos Narrow"/>
      <family val="2"/>
    </font>
  </fonts>
  <fills count="3">
    <fill>
      <patternFill patternType="none"/>
    </fill>
    <fill>
      <patternFill patternType="gray125"/>
    </fill>
    <fill>
      <patternFill patternType="solid">
        <fgColor rgb="FFFFFF99"/>
        <bgColor indexed="64"/>
      </patternFill>
    </fill>
  </fills>
  <borders count="1">
    <border>
      <left/>
      <right/>
      <top/>
      <bottom/>
      <diagonal/>
    </border>
  </borders>
  <cellStyleXfs count="1">
    <xf numFmtId="0" fontId="0" fillId="0" borderId="0"/>
  </cellStyleXfs>
  <cellXfs count="78">
    <xf numFmtId="0" fontId="0" fillId="0" borderId="0" xfId="0"/>
    <xf numFmtId="14" fontId="0" fillId="0" borderId="0" xfId="0" applyNumberFormat="1"/>
    <xf numFmtId="22" fontId="0" fillId="0" borderId="0" xfId="0" applyNumberFormat="1"/>
    <xf numFmtId="164" fontId="0" fillId="0" borderId="0" xfId="0" applyNumberFormat="1"/>
    <xf numFmtId="0" fontId="4" fillId="0" borderId="0" xfId="0" applyFont="1"/>
    <xf numFmtId="0" fontId="3" fillId="0" borderId="0" xfId="0" applyFont="1"/>
    <xf numFmtId="165" fontId="3" fillId="0" borderId="0" xfId="0" applyNumberFormat="1" applyFont="1"/>
    <xf numFmtId="166" fontId="3" fillId="0" borderId="0" xfId="0" applyNumberFormat="1" applyFont="1"/>
    <xf numFmtId="167" fontId="3" fillId="0" borderId="0" xfId="0" applyNumberFormat="1" applyFont="1"/>
    <xf numFmtId="20" fontId="3" fillId="0" borderId="0" xfId="0" applyNumberFormat="1" applyFont="1"/>
    <xf numFmtId="0" fontId="5" fillId="0" borderId="0" xfId="0" applyFont="1"/>
    <xf numFmtId="165" fontId="5" fillId="0" borderId="0" xfId="0" applyNumberFormat="1" applyFont="1"/>
    <xf numFmtId="166" fontId="5" fillId="0" borderId="0" xfId="0" applyNumberFormat="1" applyFont="1"/>
    <xf numFmtId="167" fontId="5" fillId="0" borderId="0" xfId="0" applyNumberFormat="1" applyFont="1"/>
    <xf numFmtId="20" fontId="5" fillId="0" borderId="0" xfId="0" applyNumberFormat="1" applyFont="1"/>
    <xf numFmtId="168" fontId="5" fillId="0" borderId="0" xfId="0" applyNumberFormat="1" applyFont="1"/>
    <xf numFmtId="165" fontId="0" fillId="0" borderId="0" xfId="0" applyNumberFormat="1"/>
    <xf numFmtId="166" fontId="0" fillId="0" borderId="0" xfId="0" applyNumberFormat="1"/>
    <xf numFmtId="167" fontId="0" fillId="0" borderId="0" xfId="0" applyNumberFormat="1"/>
    <xf numFmtId="20" fontId="0" fillId="0" borderId="0" xfId="0" applyNumberFormat="1"/>
    <xf numFmtId="168"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5" fontId="0" fillId="0" borderId="0" xfId="0" applyNumberFormat="1" applyAlignment="1">
      <alignment horizontal="left"/>
    </xf>
    <xf numFmtId="0" fontId="8" fillId="0" borderId="0" xfId="0" applyFont="1"/>
    <xf numFmtId="0" fontId="3" fillId="0" borderId="0" xfId="0" applyFont="1" applyAlignment="1">
      <alignment horizontal="center"/>
    </xf>
    <xf numFmtId="0" fontId="0" fillId="0" borderId="0" xfId="0" applyAlignment="1">
      <alignment wrapText="1"/>
    </xf>
    <xf numFmtId="0" fontId="2" fillId="0" borderId="0" xfId="0" applyFont="1"/>
    <xf numFmtId="165" fontId="2" fillId="0" borderId="0" xfId="0" applyNumberFormat="1" applyFont="1"/>
    <xf numFmtId="166" fontId="2" fillId="0" borderId="0" xfId="0" applyNumberFormat="1" applyFont="1"/>
    <xf numFmtId="167" fontId="2" fillId="0" borderId="0" xfId="0" applyNumberFormat="1" applyFont="1"/>
    <xf numFmtId="169" fontId="2" fillId="0" borderId="0" xfId="0" applyNumberFormat="1" applyFont="1"/>
    <xf numFmtId="168" fontId="2" fillId="0" borderId="0" xfId="0" applyNumberFormat="1" applyFont="1"/>
    <xf numFmtId="14" fontId="2" fillId="0" borderId="0" xfId="0" applyNumberFormat="1" applyFont="1"/>
    <xf numFmtId="164" fontId="2" fillId="0" borderId="0" xfId="0" applyNumberFormat="1" applyFont="1"/>
    <xf numFmtId="169" fontId="0" fillId="0" borderId="0" xfId="0" applyNumberFormat="1"/>
    <xf numFmtId="0" fontId="2" fillId="2" borderId="0" xfId="0" applyFont="1" applyFill="1"/>
    <xf numFmtId="165" fontId="2" fillId="2" borderId="0" xfId="0" applyNumberFormat="1" applyFont="1" applyFill="1"/>
    <xf numFmtId="166" fontId="2" fillId="2" borderId="0" xfId="0" applyNumberFormat="1" applyFont="1" applyFill="1"/>
    <xf numFmtId="167" fontId="2" fillId="2" borderId="0" xfId="0" applyNumberFormat="1" applyFont="1" applyFill="1"/>
    <xf numFmtId="169" fontId="2" fillId="2" borderId="0" xfId="0" applyNumberFormat="1" applyFont="1" applyFill="1"/>
    <xf numFmtId="0" fontId="0" fillId="2" borderId="0" xfId="0" applyFill="1"/>
    <xf numFmtId="168" fontId="2" fillId="2" borderId="0" xfId="0" applyNumberFormat="1" applyFont="1" applyFill="1"/>
    <xf numFmtId="14" fontId="2" fillId="2" borderId="0" xfId="0" applyNumberFormat="1" applyFont="1" applyFill="1"/>
    <xf numFmtId="164" fontId="2" fillId="2" borderId="0" xfId="0" applyNumberFormat="1" applyFont="1" applyFill="1"/>
    <xf numFmtId="165" fontId="4" fillId="0" borderId="0" xfId="0" applyNumberFormat="1" applyFont="1"/>
    <xf numFmtId="0" fontId="1" fillId="0" borderId="0" xfId="0" applyFont="1"/>
    <xf numFmtId="165" fontId="1" fillId="0" borderId="0" xfId="0" applyNumberFormat="1" applyFont="1"/>
    <xf numFmtId="166" fontId="1" fillId="0" borderId="0" xfId="0" applyNumberFormat="1" applyFont="1"/>
    <xf numFmtId="167" fontId="1" fillId="0" borderId="0" xfId="0" applyNumberFormat="1" applyFont="1"/>
    <xf numFmtId="169" fontId="1" fillId="0" borderId="0" xfId="0" applyNumberFormat="1" applyFont="1"/>
    <xf numFmtId="168" fontId="1" fillId="0" borderId="0" xfId="0" applyNumberFormat="1" applyFont="1"/>
    <xf numFmtId="14" fontId="1" fillId="0" borderId="0" xfId="0" applyNumberFormat="1" applyFont="1"/>
    <xf numFmtId="164" fontId="1" fillId="0" borderId="0" xfId="0" applyNumberFormat="1" applyFont="1"/>
    <xf numFmtId="0" fontId="1" fillId="2" borderId="0" xfId="0" applyFont="1" applyFill="1"/>
    <xf numFmtId="165" fontId="1" fillId="2" borderId="0" xfId="0" applyNumberFormat="1" applyFont="1" applyFill="1"/>
    <xf numFmtId="166" fontId="1" fillId="2" borderId="0" xfId="0" applyNumberFormat="1" applyFont="1" applyFill="1"/>
    <xf numFmtId="167" fontId="1" fillId="2" borderId="0" xfId="0" applyNumberFormat="1" applyFont="1" applyFill="1"/>
    <xf numFmtId="169" fontId="1" fillId="2" borderId="0" xfId="0" applyNumberFormat="1" applyFont="1" applyFill="1"/>
    <xf numFmtId="168" fontId="1" fillId="2" borderId="0" xfId="0" applyNumberFormat="1" applyFont="1" applyFill="1"/>
    <xf numFmtId="14" fontId="1" fillId="2" borderId="0" xfId="0" applyNumberFormat="1" applyFont="1" applyFill="1"/>
    <xf numFmtId="164" fontId="1" fillId="2" borderId="0" xfId="0" applyNumberFormat="1" applyFont="1" applyFill="1"/>
    <xf numFmtId="169" fontId="5" fillId="0" borderId="0" xfId="0" applyNumberFormat="1" applyFont="1"/>
    <xf numFmtId="169" fontId="3" fillId="0" borderId="0" xfId="0" applyNumberFormat="1" applyFont="1"/>
    <xf numFmtId="0" fontId="1" fillId="0" borderId="0" xfId="0" pivotButton="1" applyFont="1"/>
    <xf numFmtId="165" fontId="1" fillId="0" borderId="0" xfId="0" applyNumberFormat="1" applyFont="1" applyAlignment="1">
      <alignment horizontal="left"/>
    </xf>
    <xf numFmtId="0" fontId="1" fillId="0" borderId="0" xfId="0" applyFont="1" applyAlignment="1">
      <alignment horizontal="left"/>
    </xf>
    <xf numFmtId="0" fontId="1" fillId="0" borderId="0" xfId="0" applyFont="1" applyAlignment="1">
      <alignment horizontal="left" indent="1"/>
    </xf>
    <xf numFmtId="0" fontId="9" fillId="0" borderId="0" xfId="0" pivotButton="1" applyFont="1"/>
    <xf numFmtId="0" fontId="9" fillId="0" borderId="0" xfId="0" applyFont="1"/>
    <xf numFmtId="0" fontId="9" fillId="0" borderId="0" xfId="0" applyFont="1" applyAlignment="1">
      <alignment horizontal="left"/>
    </xf>
    <xf numFmtId="169" fontId="9" fillId="0" borderId="0" xfId="0" applyNumberFormat="1" applyFont="1" applyAlignment="1">
      <alignment horizontal="left" indent="1"/>
    </xf>
    <xf numFmtId="165" fontId="9" fillId="0" borderId="0" xfId="0" applyNumberFormat="1" applyFont="1" applyAlignment="1">
      <alignment horizontal="left"/>
    </xf>
    <xf numFmtId="169" fontId="1" fillId="0" borderId="0" xfId="0" applyNumberFormat="1" applyFont="1" applyAlignment="1">
      <alignment horizontal="left" indent="1"/>
    </xf>
    <xf numFmtId="0" fontId="6" fillId="0" borderId="0" xfId="0" applyFont="1" applyAlignment="1">
      <alignment horizontal="center"/>
    </xf>
    <xf numFmtId="0" fontId="8" fillId="0" borderId="0" xfId="0" applyFont="1" applyAlignment="1">
      <alignment horizontal="center"/>
    </xf>
    <xf numFmtId="0" fontId="0" fillId="0" borderId="0" xfId="0" applyNumberFormat="1"/>
  </cellXfs>
  <cellStyles count="1">
    <cellStyle name="Normal" xfId="0" builtinId="0"/>
  </cellStyles>
  <dxfs count="922">
    <dxf>
      <numFmt numFmtId="27" formatCode="m/d/yyyy\ h:mm"/>
    </dxf>
    <dxf>
      <numFmt numFmtId="19" formatCode="m/d/yyyy"/>
    </dxf>
    <dxf>
      <numFmt numFmtId="27" formatCode="m/d/yyyy\ h:mm"/>
    </dxf>
    <dxf>
      <numFmt numFmtId="19" formatCode="m/d/yyyy"/>
    </dxf>
    <dxf>
      <numFmt numFmtId="27" formatCode="m/d/yyyy\ h:m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0" formatCode="General"/>
    </dxf>
    <dxf>
      <numFmt numFmtId="164" formatCode="[$-F400]h:mm:ss\ AM/P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19" formatCode="m/d/yyyy"/>
    </dxf>
    <dxf>
      <numFmt numFmtId="164" formatCode="[$-F400]h:mm:ss\ AM/PM"/>
    </dxf>
    <dxf>
      <numFmt numFmtId="19" formatCode="m/d/yyyy"/>
    </dxf>
    <dxf>
      <numFmt numFmtId="164" formatCode="[$-F400]h:mm:ss\ AM/PM"/>
    </dxf>
    <dxf>
      <numFmt numFmtId="27" formatCode="m/d/yyyy\ h:mm"/>
    </dxf>
    <dxf>
      <numFmt numFmtId="19" formatCode="m/d/yyyy"/>
    </dxf>
    <dxf>
      <numFmt numFmtId="0" formatCode="General"/>
    </dxf>
    <dxf>
      <numFmt numFmtId="19" formatCode="m/d/yyyy"/>
    </dxf>
    <dxf>
      <numFmt numFmtId="169" formatCode="hh:mm"/>
    </dxf>
    <dxf>
      <numFmt numFmtId="165" formatCode="mm/dd/yy"/>
    </dxf>
    <dxf>
      <numFmt numFmtId="169" formatCode="hh:mm"/>
    </dxf>
    <dxf>
      <numFmt numFmtId="165" formatCode="mm/dd/yy"/>
    </dxf>
    <dxf>
      <numFmt numFmtId="169" formatCode="hh:mm"/>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164" formatCode="[$-F400]h:mm:ss\ AM/PM"/>
    </dxf>
    <dxf>
      <numFmt numFmtId="166" formatCode="00"/>
    </dxf>
    <dxf>
      <numFmt numFmtId="167" formatCode="000"/>
    </dxf>
    <dxf>
      <numFmt numFmtId="166" formatCode="00"/>
    </dxf>
    <dxf>
      <numFmt numFmtId="166" formatCode="00"/>
    </dxf>
    <dxf>
      <numFmt numFmtId="166" formatCode="00"/>
    </dxf>
    <dxf>
      <numFmt numFmtId="19" formatCode="m/d/yyyy"/>
    </dxf>
    <dxf>
      <numFmt numFmtId="0" formatCode="General"/>
    </dxf>
    <dxf>
      <font>
        <sz val="12"/>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mm/dd/yy"/>
    </dxf>
    <dxf>
      <font>
        <sz val="12"/>
        <name val="Aptos"/>
        <family val="2"/>
        <scheme val="none"/>
      </font>
      <numFmt numFmtId="164" formatCode="[$-F400]h:mm:ss\ AM/PM"/>
    </dxf>
    <dxf>
      <font>
        <sz val="12"/>
        <name val="Aptos"/>
        <family val="2"/>
        <scheme val="none"/>
      </font>
      <numFmt numFmtId="19" formatCode="m/d/yyyy"/>
    </dxf>
    <dxf>
      <font>
        <sz val="12"/>
        <name val="Aptos"/>
        <family val="2"/>
        <scheme val="none"/>
      </font>
      <numFmt numFmtId="164" formatCode="[$-F400]h:mm:ss\ AM/PM"/>
    </dxf>
    <dxf>
      <font>
        <sz val="12"/>
        <name val="Aptos"/>
        <family val="2"/>
        <scheme val="none"/>
      </font>
      <numFmt numFmtId="19" formatCode="m/d/yyyy"/>
    </dxf>
    <dxf>
      <font>
        <sz val="12"/>
        <name val="Aptos"/>
        <family val="2"/>
        <scheme val="none"/>
      </font>
      <numFmt numFmtId="169" formatCode="hh:mm"/>
    </dxf>
    <dxf>
      <font>
        <sz val="12"/>
        <name val="Aptos"/>
        <family val="2"/>
        <scheme val="none"/>
      </font>
      <numFmt numFmtId="165" formatCode="mm/dd/yy"/>
    </dxf>
    <dxf>
      <font>
        <b val="0"/>
        <i val="0"/>
        <strike val="0"/>
        <condense val="0"/>
        <extend val="0"/>
        <outline val="0"/>
        <shadow val="0"/>
        <u val="none"/>
        <vertAlign val="baseline"/>
        <sz val="12"/>
        <color theme="1"/>
        <name val="Aptos"/>
        <family val="2"/>
        <scheme val="none"/>
      </font>
    </dxf>
    <dxf>
      <font>
        <sz val="12"/>
        <name val="Aptos"/>
        <family val="2"/>
        <scheme val="none"/>
      </font>
      <numFmt numFmtId="168" formatCode="mm/dd/yy\ hh:mm"/>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numFmt numFmtId="164" formatCode="[$-F400]h:mm:ss\ AM/PM"/>
    </dxf>
    <dxf>
      <font>
        <sz val="12"/>
        <name val="Aptos"/>
        <family val="2"/>
        <scheme val="none"/>
      </font>
      <numFmt numFmtId="169" formatCode="hh:mm"/>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7" formatCode="000"/>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name val="Aptos"/>
        <family val="2"/>
        <scheme val="none"/>
      </font>
      <numFmt numFmtId="165" formatCode="mm/dd/yy"/>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4"/>
        <color theme="1"/>
        <name val="Aptos"/>
        <family val="2"/>
        <scheme val="none"/>
      </font>
    </dxf>
    <dxf>
      <alignment horizontal="general" vertical="bottom" textRotation="0" wrapText="1" indent="0" justifyLastLine="0" shrinkToFit="0" readingOrder="0"/>
    </dxf>
    <dxf>
      <numFmt numFmtId="165" formatCode="mm/dd/yy"/>
    </dxf>
    <dxf>
      <font>
        <sz val="12"/>
        <name val="Aptos"/>
        <scheme val="none"/>
      </font>
    </dxf>
    <dxf>
      <font>
        <sz val="12"/>
        <name val="Aptos"/>
        <scheme val="none"/>
      </font>
    </dxf>
    <dxf>
      <numFmt numFmtId="165" formatCode="mm/dd/yy"/>
    </dxf>
    <dxf>
      <font>
        <sz val="12"/>
        <name val="Aptos"/>
        <family val="2"/>
        <scheme val="none"/>
      </font>
      <numFmt numFmtId="164" formatCode="[$-F400]h:mm:ss\ AM/PM"/>
    </dxf>
    <dxf>
      <font>
        <sz val="12"/>
        <name val="Aptos"/>
        <family val="2"/>
        <scheme val="none"/>
      </font>
      <numFmt numFmtId="19" formatCode="m/d/yyyy"/>
    </dxf>
    <dxf>
      <font>
        <sz val="12"/>
        <name val="Aptos"/>
        <family val="2"/>
        <scheme val="none"/>
      </font>
      <numFmt numFmtId="164" formatCode="[$-F400]h:mm:ss\ AM/PM"/>
    </dxf>
    <dxf>
      <font>
        <sz val="12"/>
        <name val="Aptos"/>
        <family val="2"/>
        <scheme val="none"/>
      </font>
      <numFmt numFmtId="19" formatCode="m/d/yyyy"/>
    </dxf>
    <dxf>
      <font>
        <sz val="12"/>
        <name val="Aptos"/>
        <family val="2"/>
        <scheme val="none"/>
      </font>
      <numFmt numFmtId="169" formatCode="hh:mm"/>
    </dxf>
    <dxf>
      <font>
        <sz val="12"/>
        <name val="Aptos"/>
        <family val="2"/>
        <scheme val="none"/>
      </font>
      <numFmt numFmtId="165" formatCode="mm/dd/yy"/>
    </dxf>
    <dxf>
      <font>
        <b val="0"/>
        <i val="0"/>
        <strike val="0"/>
        <condense val="0"/>
        <extend val="0"/>
        <outline val="0"/>
        <shadow val="0"/>
        <u val="none"/>
        <vertAlign val="baseline"/>
        <sz val="12"/>
        <color theme="1"/>
        <name val="Aptos"/>
        <family val="2"/>
        <scheme val="none"/>
      </font>
    </dxf>
    <dxf>
      <font>
        <sz val="12"/>
        <name val="Aptos"/>
        <family val="2"/>
        <scheme val="none"/>
      </font>
      <numFmt numFmtId="168" formatCode="mm/dd/yy\ hh:mm"/>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numFmt numFmtId="164" formatCode="[$-F400]h:mm:ss\ AM/PM"/>
    </dxf>
    <dxf>
      <font>
        <sz val="12"/>
        <name val="Aptos"/>
        <family val="2"/>
        <scheme val="none"/>
      </font>
      <numFmt numFmtId="169" formatCode="hh:mm"/>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7" formatCode="000"/>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name val="Aptos"/>
        <family val="2"/>
        <scheme val="none"/>
      </font>
      <numFmt numFmtId="165" formatCode="mm/dd/yy"/>
    </dxf>
    <dxf>
      <font>
        <sz val="12"/>
        <name val="Aptos"/>
        <family val="2"/>
        <scheme val="none"/>
      </font>
      <numFmt numFmtId="0" formatCode="General"/>
    </dxf>
    <dxf>
      <font>
        <sz val="12"/>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mm/dd/yy"/>
    </dxf>
    <dxf>
      <font>
        <sz val="12"/>
        <name val="Aptos"/>
        <family val="2"/>
        <scheme val="none"/>
      </font>
      <numFmt numFmtId="164" formatCode="[$-F400]h:mm:ss\ AM/PM"/>
    </dxf>
    <dxf>
      <font>
        <sz val="12"/>
        <name val="Aptos"/>
        <family val="2"/>
        <scheme val="none"/>
      </font>
      <numFmt numFmtId="19" formatCode="m/d/yyyy"/>
    </dxf>
    <dxf>
      <font>
        <sz val="12"/>
        <name val="Aptos"/>
        <family val="2"/>
        <scheme val="none"/>
      </font>
      <numFmt numFmtId="164" formatCode="[$-F400]h:mm:ss\ AM/PM"/>
    </dxf>
    <dxf>
      <font>
        <sz val="12"/>
        <name val="Aptos"/>
        <family val="2"/>
        <scheme val="none"/>
      </font>
      <numFmt numFmtId="19" formatCode="m/d/yyyy"/>
    </dxf>
    <dxf>
      <font>
        <sz val="12"/>
        <name val="Aptos"/>
        <family val="2"/>
        <scheme val="none"/>
      </font>
      <numFmt numFmtId="169" formatCode="hh:mm"/>
    </dxf>
    <dxf>
      <font>
        <sz val="12"/>
        <name val="Aptos"/>
        <family val="2"/>
        <scheme val="none"/>
      </font>
      <numFmt numFmtId="165" formatCode="mm/dd/yy"/>
    </dxf>
    <dxf>
      <font>
        <b val="0"/>
        <i val="0"/>
        <strike val="0"/>
        <condense val="0"/>
        <extend val="0"/>
        <outline val="0"/>
        <shadow val="0"/>
        <u val="none"/>
        <vertAlign val="baseline"/>
        <sz val="12"/>
        <color theme="1"/>
        <name val="Aptos"/>
        <family val="2"/>
        <scheme val="none"/>
      </font>
    </dxf>
    <dxf>
      <font>
        <sz val="12"/>
        <name val="Aptos"/>
        <family val="2"/>
        <scheme val="none"/>
      </font>
      <numFmt numFmtId="168" formatCode="mm/dd/yy\ hh:mm"/>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numFmt numFmtId="164" formatCode="[$-F400]h:mm:ss\ AM/PM"/>
    </dxf>
    <dxf>
      <font>
        <sz val="12"/>
        <name val="Aptos"/>
        <family val="2"/>
        <scheme val="none"/>
      </font>
      <numFmt numFmtId="169" formatCode="hh:mm"/>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7" formatCode="000"/>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name val="Aptos"/>
        <family val="2"/>
        <scheme val="none"/>
      </font>
      <numFmt numFmtId="165" formatCode="mm/dd/yy"/>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4"/>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numFmt numFmtId="165" formatCode="mm/dd/yy"/>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mm/dd/yy"/>
    </dxf>
    <dxf>
      <font>
        <strike val="0"/>
        <outline val="0"/>
        <shadow val="0"/>
        <u val="none"/>
        <vertAlign val="baseline"/>
        <sz val="12"/>
        <color theme="1"/>
        <name val="Aptos"/>
        <family val="2"/>
        <scheme val="none"/>
      </font>
      <numFmt numFmtId="164" formatCode="[$-F400]h:mm:ss\ AM/PM"/>
    </dxf>
    <dxf>
      <font>
        <strike val="0"/>
        <outline val="0"/>
        <shadow val="0"/>
        <u val="none"/>
        <vertAlign val="baseline"/>
        <sz val="12"/>
        <color theme="1"/>
        <name val="Aptos"/>
        <family val="2"/>
        <scheme val="none"/>
      </font>
      <numFmt numFmtId="19" formatCode="m/d/yyyy"/>
    </dxf>
    <dxf>
      <font>
        <strike val="0"/>
        <outline val="0"/>
        <shadow val="0"/>
        <u val="none"/>
        <vertAlign val="baseline"/>
        <sz val="12"/>
        <color theme="1"/>
        <name val="Aptos"/>
        <family val="2"/>
        <scheme val="none"/>
      </font>
      <numFmt numFmtId="164" formatCode="[$-F400]h:mm:ss\ AM/PM"/>
    </dxf>
    <dxf>
      <font>
        <strike val="0"/>
        <outline val="0"/>
        <shadow val="0"/>
        <u val="none"/>
        <vertAlign val="baseline"/>
        <sz val="12"/>
        <color theme="1"/>
        <name val="Aptos"/>
        <family val="2"/>
        <scheme val="none"/>
      </font>
      <numFmt numFmtId="19" formatCode="m/d/yyyy"/>
    </dxf>
    <dxf>
      <font>
        <strike val="0"/>
        <outline val="0"/>
        <shadow val="0"/>
        <u val="none"/>
        <vertAlign val="baseline"/>
        <sz val="12"/>
        <color theme="1"/>
        <name val="Aptos"/>
        <family val="2"/>
        <scheme val="none"/>
      </font>
      <numFmt numFmtId="169" formatCode="hh:mm"/>
    </dxf>
    <dxf>
      <font>
        <strike val="0"/>
        <outline val="0"/>
        <shadow val="0"/>
        <u val="none"/>
        <vertAlign val="baseline"/>
        <sz val="12"/>
        <color theme="1"/>
        <name val="Aptos"/>
        <family val="2"/>
        <scheme val="none"/>
      </font>
      <numFmt numFmtId="165" formatCode="mm/dd/yy"/>
    </dxf>
    <dxf>
      <font>
        <b val="0"/>
        <i val="0"/>
        <strike val="0"/>
        <condense val="0"/>
        <extend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168" formatCode="mm/dd/yy\ hh:mm"/>
    </dxf>
    <dxf>
      <font>
        <b val="0"/>
        <i val="0"/>
        <strike val="0"/>
        <condense val="0"/>
        <extend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b val="0"/>
        <i val="0"/>
        <strike val="0"/>
        <condense val="0"/>
        <extend val="0"/>
        <outline val="0"/>
        <shadow val="0"/>
        <u val="none"/>
        <vertAlign val="baseline"/>
        <sz val="12"/>
        <color theme="1"/>
        <name val="Aptos"/>
        <family val="2"/>
        <scheme val="none"/>
      </font>
      <numFmt numFmtId="164" formatCode="[$-F400]h:mm:ss\ AM/PM"/>
    </dxf>
    <dxf>
      <font>
        <strike val="0"/>
        <outline val="0"/>
        <shadow val="0"/>
        <u val="none"/>
        <vertAlign val="baseline"/>
        <sz val="12"/>
        <color theme="1"/>
        <name val="Aptos"/>
        <family val="2"/>
        <scheme val="none"/>
      </font>
      <numFmt numFmtId="169" formatCode="hh:mm"/>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7" formatCode="000"/>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165" formatCode="mm/dd/yy"/>
    </dxf>
    <dxf>
      <font>
        <strike val="0"/>
        <outline val="0"/>
        <shadow val="0"/>
        <u val="none"/>
        <vertAlign val="baseline"/>
        <sz val="12"/>
        <color theme="1"/>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4"/>
        <color theme="1"/>
        <name val="Aptos"/>
        <family val="2"/>
        <scheme val="none"/>
      </font>
    </dxf>
    <dxf>
      <font>
        <b val="0"/>
        <i val="0"/>
        <strike val="0"/>
        <condense val="0"/>
        <extend val="0"/>
        <outline val="0"/>
        <shadow val="0"/>
        <u val="none"/>
        <vertAlign val="baseline"/>
        <sz val="12"/>
        <color theme="1"/>
        <name val="Aptos"/>
        <family val="2"/>
        <scheme val="none"/>
      </font>
    </dxf>
    <dxf>
      <numFmt numFmtId="165" formatCode="mm/dd/yy"/>
    </dxf>
    <dxf>
      <numFmt numFmtId="0" formatCode="General"/>
    </dxf>
    <dxf>
      <font>
        <sz val="12"/>
        <name val="Aptos"/>
        <family val="2"/>
        <scheme val="none"/>
      </font>
      <numFmt numFmtId="164" formatCode="[$-F400]h:mm:ss\ AM/PM"/>
    </dxf>
    <dxf>
      <font>
        <sz val="12"/>
        <name val="Aptos"/>
        <family val="2"/>
        <scheme val="none"/>
      </font>
      <numFmt numFmtId="19" formatCode="m/d/yyyy"/>
    </dxf>
    <dxf>
      <font>
        <sz val="12"/>
        <name val="Aptos"/>
        <family val="2"/>
        <scheme val="none"/>
      </font>
      <numFmt numFmtId="164" formatCode="[$-F400]h:mm:ss\ AM/PM"/>
    </dxf>
    <dxf>
      <font>
        <sz val="12"/>
        <name val="Aptos"/>
        <family val="2"/>
        <scheme val="none"/>
      </font>
      <numFmt numFmtId="19" formatCode="m/d/yyyy"/>
    </dxf>
    <dxf>
      <font>
        <sz val="12"/>
        <name val="Aptos"/>
        <family val="2"/>
        <scheme val="none"/>
      </font>
      <numFmt numFmtId="169" formatCode="hh:mm"/>
    </dxf>
    <dxf>
      <font>
        <sz val="12"/>
        <name val="Aptos"/>
        <family val="2"/>
        <scheme val="none"/>
      </font>
      <numFmt numFmtId="165" formatCode="mm/dd/yy"/>
    </dxf>
    <dxf>
      <font>
        <b val="0"/>
        <i val="0"/>
        <strike val="0"/>
        <condense val="0"/>
        <extend val="0"/>
        <outline val="0"/>
        <shadow val="0"/>
        <u val="none"/>
        <vertAlign val="baseline"/>
        <sz val="12"/>
        <color theme="1"/>
        <name val="Aptos"/>
        <family val="2"/>
        <scheme val="none"/>
      </font>
    </dxf>
    <dxf>
      <font>
        <sz val="12"/>
        <name val="Aptos"/>
        <family val="2"/>
        <scheme val="none"/>
      </font>
      <numFmt numFmtId="168" formatCode="mm/dd/yy\ hh:mm"/>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numFmt numFmtId="164" formatCode="[$-F400]h:mm:ss\ AM/PM"/>
    </dxf>
    <dxf>
      <font>
        <sz val="12"/>
        <name val="Aptos"/>
        <family val="2"/>
        <scheme val="none"/>
      </font>
      <numFmt numFmtId="169" formatCode="hh:mm"/>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7" formatCode="000"/>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name val="Aptos"/>
        <family val="2"/>
        <scheme val="none"/>
      </font>
      <numFmt numFmtId="165" formatCode="mm/dd/yy"/>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4"/>
        <color theme="1"/>
        <name val="Aptos"/>
        <family val="2"/>
        <scheme val="none"/>
      </font>
    </dxf>
    <dxf>
      <font>
        <sz val="12"/>
      </font>
    </dxf>
    <dxf>
      <font>
        <name val="Aptos Narrow"/>
        <scheme val="none"/>
      </font>
    </dxf>
    <dxf>
      <font>
        <sz val="12"/>
      </font>
    </dxf>
    <dxf>
      <font>
        <name val="Aptos Narrow"/>
        <scheme val="none"/>
      </font>
    </dxf>
    <dxf>
      <font>
        <sz val="12"/>
      </font>
    </dxf>
    <dxf>
      <font>
        <name val="Aptos Narrow"/>
        <scheme val="none"/>
      </font>
    </dxf>
    <dxf>
      <font>
        <sz val="12"/>
      </font>
    </dxf>
    <dxf>
      <font>
        <name val="Aptos Narrow"/>
        <scheme val="none"/>
      </font>
    </dxf>
    <dxf>
      <font>
        <b val="0"/>
        <i val="0"/>
        <strike val="0"/>
        <condense val="0"/>
        <extend val="0"/>
        <outline val="0"/>
        <shadow val="0"/>
        <u val="none"/>
        <vertAlign val="baseline"/>
        <sz val="12"/>
        <color theme="1"/>
        <name val="Aptos"/>
        <family val="2"/>
        <scheme val="none"/>
      </font>
    </dxf>
    <dxf>
      <numFmt numFmtId="165" formatCode="mm/dd/yy"/>
    </dxf>
    <dxf>
      <numFmt numFmtId="0" formatCode="General"/>
    </dxf>
    <dxf>
      <font>
        <sz val="12"/>
        <name val="Aptos"/>
        <family val="2"/>
        <scheme val="none"/>
      </font>
      <numFmt numFmtId="164" formatCode="[$-F400]h:mm:ss\ AM/PM"/>
    </dxf>
    <dxf>
      <font>
        <sz val="12"/>
        <name val="Aptos"/>
        <family val="2"/>
        <scheme val="none"/>
      </font>
      <numFmt numFmtId="19" formatCode="m/d/yyyy"/>
    </dxf>
    <dxf>
      <font>
        <sz val="12"/>
        <name val="Aptos"/>
        <family val="2"/>
        <scheme val="none"/>
      </font>
      <numFmt numFmtId="164" formatCode="[$-F400]h:mm:ss\ AM/PM"/>
    </dxf>
    <dxf>
      <font>
        <sz val="12"/>
        <name val="Aptos"/>
        <family val="2"/>
        <scheme val="none"/>
      </font>
      <numFmt numFmtId="19" formatCode="m/d/yyyy"/>
    </dxf>
    <dxf>
      <font>
        <sz val="12"/>
        <name val="Aptos"/>
        <family val="2"/>
        <scheme val="none"/>
      </font>
      <numFmt numFmtId="169" formatCode="hh:mm"/>
    </dxf>
    <dxf>
      <font>
        <sz val="12"/>
        <name val="Aptos"/>
        <family val="2"/>
        <scheme val="none"/>
      </font>
      <numFmt numFmtId="165" formatCode="mm/dd/yy"/>
    </dxf>
    <dxf>
      <font>
        <b val="0"/>
        <i val="0"/>
        <strike val="0"/>
        <condense val="0"/>
        <extend val="0"/>
        <outline val="0"/>
        <shadow val="0"/>
        <u val="none"/>
        <vertAlign val="baseline"/>
        <sz val="12"/>
        <color theme="1"/>
        <name val="Aptos"/>
        <family val="2"/>
        <scheme val="none"/>
      </font>
    </dxf>
    <dxf>
      <font>
        <sz val="12"/>
        <name val="Aptos"/>
        <family val="2"/>
        <scheme val="none"/>
      </font>
      <numFmt numFmtId="168" formatCode="mm/dd/yy\ hh:mm"/>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numFmt numFmtId="164" formatCode="[$-F400]h:mm:ss\ AM/PM"/>
    </dxf>
    <dxf>
      <font>
        <sz val="12"/>
        <name val="Aptos"/>
        <family val="2"/>
        <scheme val="none"/>
      </font>
      <numFmt numFmtId="169" formatCode="hh:mm"/>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7" formatCode="000"/>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name val="Aptos"/>
        <family val="2"/>
        <scheme val="none"/>
      </font>
      <numFmt numFmtId="165" formatCode="mm/dd/yy"/>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4"/>
        <color theme="1"/>
        <name val="Aptos"/>
        <family val="2"/>
        <scheme val="none"/>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strike val="0"/>
        <outline val="0"/>
        <shadow val="0"/>
        <u val="none"/>
        <vertAlign val="baseline"/>
        <sz val="12"/>
        <color theme="1"/>
        <name val="Aptos"/>
        <family val="2"/>
        <scheme val="none"/>
      </font>
    </dxf>
    <dxf>
      <numFmt numFmtId="165" formatCode="mm/dd/yy"/>
    </dxf>
    <dxf>
      <numFmt numFmtId="0" formatCode="General"/>
    </dxf>
    <dxf>
      <font>
        <strike val="0"/>
        <outline val="0"/>
        <shadow val="0"/>
        <u val="none"/>
        <vertAlign val="baseline"/>
        <sz val="12"/>
        <color theme="1"/>
        <name val="Aptos"/>
        <family val="2"/>
        <scheme val="none"/>
      </font>
      <numFmt numFmtId="164" formatCode="[$-F400]h:mm:ss\ AM/PM"/>
    </dxf>
    <dxf>
      <font>
        <strike val="0"/>
        <outline val="0"/>
        <shadow val="0"/>
        <u val="none"/>
        <vertAlign val="baseline"/>
        <sz val="12"/>
        <color theme="1"/>
        <name val="Aptos"/>
        <family val="2"/>
        <scheme val="none"/>
      </font>
      <numFmt numFmtId="19" formatCode="m/d/yyyy"/>
    </dxf>
    <dxf>
      <font>
        <strike val="0"/>
        <outline val="0"/>
        <shadow val="0"/>
        <u val="none"/>
        <vertAlign val="baseline"/>
        <sz val="12"/>
        <color theme="1"/>
        <name val="Aptos"/>
        <family val="2"/>
        <scheme val="none"/>
      </font>
      <numFmt numFmtId="164" formatCode="[$-F400]h:mm:ss\ AM/PM"/>
    </dxf>
    <dxf>
      <font>
        <strike val="0"/>
        <outline val="0"/>
        <shadow val="0"/>
        <u val="none"/>
        <vertAlign val="baseline"/>
        <sz val="12"/>
        <color theme="1"/>
        <name val="Aptos"/>
        <family val="2"/>
        <scheme val="none"/>
      </font>
      <numFmt numFmtId="19" formatCode="m/d/yyyy"/>
    </dxf>
    <dxf>
      <font>
        <strike val="0"/>
        <outline val="0"/>
        <shadow val="0"/>
        <u val="none"/>
        <vertAlign val="baseline"/>
        <sz val="12"/>
        <color theme="1"/>
        <name val="Aptos"/>
        <family val="2"/>
        <scheme val="none"/>
      </font>
      <numFmt numFmtId="169" formatCode="hh:mm"/>
    </dxf>
    <dxf>
      <font>
        <strike val="0"/>
        <outline val="0"/>
        <shadow val="0"/>
        <u val="none"/>
        <vertAlign val="baseline"/>
        <sz val="12"/>
        <color theme="1"/>
        <name val="Aptos"/>
        <family val="2"/>
        <scheme val="none"/>
      </font>
      <numFmt numFmtId="165" formatCode="mm/dd/yy"/>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168" formatCode="mm/dd/yy\ hh:mm"/>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164" formatCode="[$-F400]h:mm:ss\ AM/PM"/>
    </dxf>
    <dxf>
      <font>
        <strike val="0"/>
        <outline val="0"/>
        <shadow val="0"/>
        <u val="none"/>
        <vertAlign val="baseline"/>
        <sz val="12"/>
        <color theme="1"/>
        <name val="Aptos"/>
        <family val="2"/>
        <scheme val="none"/>
      </font>
      <numFmt numFmtId="169" formatCode="hh:mm"/>
    </dxf>
    <dxf>
      <font>
        <strike val="0"/>
        <outline val="0"/>
        <shadow val="0"/>
        <u val="none"/>
        <vertAlign val="baseline"/>
        <sz val="12"/>
        <color theme="1"/>
        <name val="Aptos"/>
        <family val="2"/>
        <scheme val="none"/>
      </font>
      <numFmt numFmtId="166" formatCode="00"/>
    </dxf>
    <dxf>
      <font>
        <strike val="0"/>
        <outline val="0"/>
        <shadow val="0"/>
        <u val="none"/>
        <vertAlign val="baseline"/>
        <sz val="12"/>
        <color theme="1"/>
        <name val="Aptos"/>
        <family val="2"/>
        <scheme val="none"/>
      </font>
      <numFmt numFmtId="167" formatCode="00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166" formatCode="00"/>
    </dxf>
    <dxf>
      <font>
        <strike val="0"/>
        <outline val="0"/>
        <shadow val="0"/>
        <u val="none"/>
        <vertAlign val="baseline"/>
        <sz val="12"/>
        <color theme="1"/>
        <name val="Aptos"/>
        <family val="2"/>
        <scheme val="none"/>
      </font>
      <numFmt numFmtId="166" formatCode="00"/>
    </dxf>
    <dxf>
      <font>
        <strike val="0"/>
        <outline val="0"/>
        <shadow val="0"/>
        <u val="none"/>
        <vertAlign val="baseline"/>
        <sz val="12"/>
        <color theme="1"/>
        <name val="Aptos"/>
        <family val="2"/>
        <scheme val="none"/>
      </font>
      <numFmt numFmtId="166" formatCode="0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165" formatCode="mm/dd/yy"/>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b val="0"/>
        <i val="0"/>
        <strike val="0"/>
        <condense val="0"/>
        <extend val="0"/>
        <outline val="0"/>
        <shadow val="0"/>
        <u val="none"/>
        <vertAlign val="baseline"/>
        <sz val="12"/>
        <color theme="1"/>
        <name val="Aptos"/>
        <family val="2"/>
        <scheme val="none"/>
      </font>
    </dxf>
    <dxf>
      <numFmt numFmtId="165" formatCode="mm/dd/yy"/>
    </dxf>
    <dxf>
      <numFmt numFmtId="0" formatCode="General"/>
    </dxf>
    <dxf>
      <font>
        <sz val="12"/>
        <name val="Aptos"/>
        <family val="2"/>
        <scheme val="none"/>
      </font>
      <numFmt numFmtId="164" formatCode="[$-F400]h:mm:ss\ AM/PM"/>
    </dxf>
    <dxf>
      <font>
        <sz val="12"/>
        <name val="Aptos"/>
        <family val="2"/>
        <scheme val="none"/>
      </font>
      <numFmt numFmtId="19" formatCode="m/d/yyyy"/>
    </dxf>
    <dxf>
      <font>
        <sz val="12"/>
        <name val="Aptos"/>
        <family val="2"/>
        <scheme val="none"/>
      </font>
      <numFmt numFmtId="164" formatCode="[$-F400]h:mm:ss\ AM/PM"/>
    </dxf>
    <dxf>
      <font>
        <sz val="12"/>
        <name val="Aptos"/>
        <family val="2"/>
        <scheme val="none"/>
      </font>
      <numFmt numFmtId="19" formatCode="m/d/yyyy"/>
    </dxf>
    <dxf>
      <font>
        <sz val="12"/>
        <name val="Aptos"/>
        <family val="2"/>
        <scheme val="none"/>
      </font>
      <numFmt numFmtId="169" formatCode="hh:mm"/>
    </dxf>
    <dxf>
      <font>
        <sz val="12"/>
        <name val="Aptos"/>
        <family val="2"/>
        <scheme val="none"/>
      </font>
      <numFmt numFmtId="165" formatCode="mm/dd/yy"/>
    </dxf>
    <dxf>
      <font>
        <b val="0"/>
        <i val="0"/>
        <strike val="0"/>
        <condense val="0"/>
        <extend val="0"/>
        <outline val="0"/>
        <shadow val="0"/>
        <u val="none"/>
        <vertAlign val="baseline"/>
        <sz val="12"/>
        <color theme="1"/>
        <name val="Aptos"/>
        <family val="2"/>
        <scheme val="none"/>
      </font>
    </dxf>
    <dxf>
      <font>
        <sz val="12"/>
        <name val="Aptos"/>
        <family val="2"/>
        <scheme val="none"/>
      </font>
      <numFmt numFmtId="168" formatCode="mm/dd/yy\ hh:mm"/>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sz val="12"/>
        <name val="Aptos"/>
        <family val="2"/>
        <scheme val="none"/>
      </font>
      <numFmt numFmtId="0" formatCode="General"/>
    </dxf>
    <dxf>
      <font>
        <sz val="12"/>
        <name val="Aptos"/>
        <family val="2"/>
        <scheme val="none"/>
      </font>
      <numFmt numFmtId="0" formatCode="General"/>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numFmt numFmtId="164" formatCode="[$-F400]h:mm:ss\ AM/PM"/>
    </dxf>
    <dxf>
      <font>
        <sz val="12"/>
        <name val="Aptos"/>
        <family val="2"/>
        <scheme val="none"/>
      </font>
      <numFmt numFmtId="169" formatCode="hh:mm"/>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7" formatCode="000"/>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numFmt numFmtId="166" formatCode="00"/>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2"/>
        <color theme="1"/>
        <name val="Aptos"/>
        <family val="2"/>
        <scheme val="none"/>
      </font>
    </dxf>
    <dxf>
      <font>
        <sz val="12"/>
        <name val="Aptos"/>
        <family val="2"/>
        <scheme val="none"/>
      </font>
      <numFmt numFmtId="165" formatCode="mm/dd/yy"/>
    </dxf>
    <dxf>
      <font>
        <sz val="12"/>
        <name val="Aptos"/>
        <family val="2"/>
        <scheme val="none"/>
      </font>
      <numFmt numFmtId="0" formatCode="General"/>
    </dxf>
    <dxf>
      <font>
        <b val="0"/>
        <i val="0"/>
        <strike val="0"/>
        <condense val="0"/>
        <extend val="0"/>
        <outline val="0"/>
        <shadow val="0"/>
        <u val="none"/>
        <vertAlign val="baseline"/>
        <sz val="12"/>
        <color theme="1"/>
        <name val="Aptos"/>
        <family val="2"/>
        <scheme val="none"/>
      </font>
    </dxf>
    <dxf>
      <font>
        <b val="0"/>
        <i val="0"/>
        <strike val="0"/>
        <condense val="0"/>
        <extend val="0"/>
        <outline val="0"/>
        <shadow val="0"/>
        <u val="none"/>
        <vertAlign val="baseline"/>
        <sz val="14"/>
        <color theme="1"/>
        <name val="Aptos"/>
        <family val="2"/>
        <scheme val="none"/>
      </font>
    </dxf>
    <dxf>
      <font>
        <strike val="0"/>
        <outline val="0"/>
        <shadow val="0"/>
        <u val="none"/>
        <vertAlign val="baseline"/>
        <sz val="12"/>
        <color theme="1"/>
        <name val="Aptos"/>
        <family val="2"/>
        <scheme val="none"/>
      </font>
    </dxf>
    <dxf>
      <numFmt numFmtId="165" formatCode="mm/dd/yy"/>
    </dxf>
    <dxf>
      <numFmt numFmtId="0" formatCode="General"/>
    </dxf>
    <dxf>
      <font>
        <strike val="0"/>
        <outline val="0"/>
        <shadow val="0"/>
        <u val="none"/>
        <vertAlign val="baseline"/>
        <sz val="12"/>
        <color theme="1"/>
        <name val="Aptos"/>
        <family val="2"/>
        <scheme val="none"/>
      </font>
      <numFmt numFmtId="164" formatCode="[$-F400]h:mm:ss\ AM/PM"/>
    </dxf>
    <dxf>
      <font>
        <strike val="0"/>
        <outline val="0"/>
        <shadow val="0"/>
        <u val="none"/>
        <vertAlign val="baseline"/>
        <sz val="12"/>
        <color theme="1"/>
        <name val="Aptos"/>
        <family val="2"/>
        <scheme val="none"/>
      </font>
      <numFmt numFmtId="19" formatCode="m/d/yyyy"/>
    </dxf>
    <dxf>
      <font>
        <strike val="0"/>
        <outline val="0"/>
        <shadow val="0"/>
        <u val="none"/>
        <vertAlign val="baseline"/>
        <sz val="12"/>
        <color theme="1"/>
        <name val="Aptos"/>
        <family val="2"/>
        <scheme val="none"/>
      </font>
      <numFmt numFmtId="164" formatCode="[$-F400]h:mm:ss\ AM/PM"/>
    </dxf>
    <dxf>
      <font>
        <strike val="0"/>
        <outline val="0"/>
        <shadow val="0"/>
        <u val="none"/>
        <vertAlign val="baseline"/>
        <sz val="12"/>
        <color theme="1"/>
        <name val="Aptos"/>
        <family val="2"/>
        <scheme val="none"/>
      </font>
      <numFmt numFmtId="19" formatCode="m/d/yyyy"/>
    </dxf>
    <dxf>
      <font>
        <strike val="0"/>
        <outline val="0"/>
        <shadow val="0"/>
        <u val="none"/>
        <vertAlign val="baseline"/>
        <sz val="12"/>
        <color theme="1"/>
        <name val="Aptos"/>
        <family val="2"/>
        <scheme val="none"/>
      </font>
      <numFmt numFmtId="169" formatCode="hh:mm"/>
    </dxf>
    <dxf>
      <font>
        <strike val="0"/>
        <outline val="0"/>
        <shadow val="0"/>
        <u val="none"/>
        <vertAlign val="baseline"/>
        <sz val="12"/>
        <color theme="1"/>
        <name val="Aptos"/>
        <family val="2"/>
        <scheme val="none"/>
      </font>
      <numFmt numFmtId="165" formatCode="mm/dd/yy"/>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168" formatCode="mm/dd/yy\ hh:mm"/>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169" formatCode="hh:mm"/>
    </dxf>
    <dxf>
      <font>
        <strike val="0"/>
        <outline val="0"/>
        <shadow val="0"/>
        <u val="none"/>
        <vertAlign val="baseline"/>
        <sz val="12"/>
        <color theme="1"/>
        <name val="Aptos"/>
        <family val="2"/>
        <scheme val="none"/>
      </font>
      <numFmt numFmtId="169" formatCode="hh:mm"/>
    </dxf>
    <dxf>
      <font>
        <strike val="0"/>
        <outline val="0"/>
        <shadow val="0"/>
        <u val="none"/>
        <vertAlign val="baseline"/>
        <sz val="12"/>
        <color theme="1"/>
        <name val="Aptos"/>
        <family val="2"/>
        <scheme val="none"/>
      </font>
      <numFmt numFmtId="166" formatCode="00"/>
    </dxf>
    <dxf>
      <font>
        <strike val="0"/>
        <outline val="0"/>
        <shadow val="0"/>
        <u val="none"/>
        <vertAlign val="baseline"/>
        <sz val="12"/>
        <color theme="1"/>
        <name val="Aptos"/>
        <family val="2"/>
        <scheme val="none"/>
      </font>
      <numFmt numFmtId="167" formatCode="00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166" formatCode="00"/>
    </dxf>
    <dxf>
      <font>
        <strike val="0"/>
        <outline val="0"/>
        <shadow val="0"/>
        <u val="none"/>
        <vertAlign val="baseline"/>
        <sz val="12"/>
        <color theme="1"/>
        <name val="Aptos"/>
        <family val="2"/>
        <scheme val="none"/>
      </font>
      <numFmt numFmtId="166" formatCode="00"/>
    </dxf>
    <dxf>
      <font>
        <strike val="0"/>
        <outline val="0"/>
        <shadow val="0"/>
        <u val="none"/>
        <vertAlign val="baseline"/>
        <sz val="12"/>
        <color theme="1"/>
        <name val="Aptos"/>
        <family val="2"/>
        <scheme val="none"/>
      </font>
      <numFmt numFmtId="166" formatCode="00"/>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165" formatCode="mm/dd/yy"/>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dxf>
    <dxf>
      <font>
        <strike val="0"/>
        <outline val="0"/>
        <shadow val="0"/>
        <u val="none"/>
        <vertAlign val="baseline"/>
        <sz val="14"/>
        <color theme="1"/>
        <name val="Aptos"/>
        <family val="2"/>
        <scheme val="none"/>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sz val="12"/>
      </font>
    </dxf>
    <dxf>
      <font>
        <sz val="12"/>
      </font>
    </dxf>
    <dxf>
      <font>
        <sz val="12"/>
      </font>
    </dxf>
    <dxf>
      <font>
        <sz val="12"/>
      </font>
    </dxf>
    <dxf>
      <font>
        <sz val="12"/>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dxf>
    <dxf>
      <font>
        <b/>
        <color theme="1"/>
      </font>
      <border>
        <top style="double">
          <color theme="1"/>
        </top>
      </border>
    </dxf>
    <dxf>
      <font>
        <b/>
        <i val="0"/>
        <color theme="1"/>
      </font>
      <border diagonalUp="0" diagonalDown="0">
        <left/>
        <right/>
        <top/>
        <bottom style="medium">
          <color theme="1"/>
        </bottom>
        <vertical/>
        <horizontal/>
      </border>
    </dxf>
    <dxf>
      <font>
        <color theme="1"/>
      </font>
      <border>
        <left style="medium">
          <color theme="1"/>
        </left>
        <right style="medium">
          <color theme="1"/>
        </right>
        <top style="medium">
          <color theme="1"/>
        </top>
        <bottom style="medium">
          <color theme="1"/>
        </bottom>
        <vertical style="thin">
          <color theme="1"/>
        </vertical>
        <horizontal style="thin">
          <color theme="1"/>
        </horizontal>
      </border>
    </dxf>
    <dxf>
      <fill>
        <patternFill patternType="solid">
          <fgColor rgb="FFAA72D4"/>
          <bgColor rgb="FFAA72D4"/>
        </patternFill>
      </fill>
      <border>
        <bottom style="thin">
          <color rgb="FF7030A0"/>
        </bottom>
      </border>
    </dxf>
    <dxf>
      <fill>
        <patternFill patternType="solid">
          <fgColor rgb="FFAA72D4"/>
          <bgColor rgb="FFAA72D4"/>
        </patternFill>
      </fill>
      <border>
        <bottom style="thin">
          <color rgb="FF7030A0"/>
        </bottom>
      </border>
    </dxf>
    <dxf>
      <font>
        <b/>
        <color theme="1"/>
      </font>
      <fill>
        <patternFill>
          <fgColor rgb="FFAA72D4"/>
        </patternFill>
      </fill>
    </dxf>
    <dxf>
      <font>
        <b/>
        <color theme="1"/>
      </font>
      <fill>
        <patternFill>
          <fgColor rgb="FFAA72D4"/>
        </patternFill>
      </fill>
      <border>
        <bottom style="thin">
          <color rgb="FF7030A0"/>
        </bottom>
      </border>
    </dxf>
    <dxf>
      <font>
        <b/>
        <color theme="1"/>
      </font>
    </dxf>
    <dxf>
      <font>
        <b/>
        <color theme="1"/>
      </font>
      <border>
        <top style="thin">
          <color rgb="FF7030A0"/>
        </top>
        <bottom style="thin">
          <color rgb="FF7030A0"/>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color theme="1"/>
      </font>
      <fill>
        <patternFill patternType="solid">
          <fgColor rgb="FFAA72D4"/>
          <bgColor rgb="FFAA72D4"/>
        </patternFill>
      </fill>
      <border>
        <left style="medium">
          <color rgb="FF7030A0"/>
        </left>
        <right style="medium">
          <color rgb="FF7030A0"/>
        </right>
        <top style="medium">
          <color rgb="FF7030A0"/>
        </top>
        <bottom style="medium">
          <color rgb="FF7030A0"/>
        </bottom>
        <vertical style="thin">
          <color rgb="FF7030A0"/>
        </vertical>
      </border>
    </dxf>
    <dxf>
      <font>
        <b/>
        <color theme="1"/>
      </font>
      <fill>
        <patternFill patternType="solid">
          <fgColor rgb="FFAA72D4"/>
          <bgColor rgb="FFAA72D4"/>
        </patternFill>
      </fill>
      <border>
        <bottom style="medium">
          <color rgb="FF7030A0"/>
        </bottom>
      </border>
    </dxf>
  </dxfs>
  <tableStyles count="3" defaultTableStyle="TableStyleMedium2" defaultPivotStyle="PivotStyleLight16">
    <tableStyle name="Invisible" pivot="0" table="0" count="0" xr9:uid="{1E9C23AD-771B-41B5-BCEF-FE54B3DE94E1}"/>
    <tableStyle name="PivotStyleLight17 2" table="0" count="11" xr9:uid="{06BFD3E5-CC72-49A8-90F4-90FED47BB183}">
      <tableStyleElement type="headerRow" dxfId="921"/>
      <tableStyleElement type="totalRow" dxfId="920"/>
      <tableStyleElement type="firstRowStripe" dxfId="919"/>
      <tableStyleElement type="firstColumnStripe" dxfId="918"/>
      <tableStyleElement type="firstSubtotalColumn" dxfId="917"/>
      <tableStyleElement type="firstSubtotalRow" dxfId="916"/>
      <tableStyleElement type="secondSubtotalRow" dxfId="915"/>
      <tableStyleElement type="firstRowSubheading" dxfId="914"/>
      <tableStyleElement type="secondRowSubheading" dxfId="913"/>
      <tableStyleElement type="pageFieldLabels" dxfId="912"/>
      <tableStyleElement type="pageFieldValues" dxfId="911"/>
    </tableStyle>
    <tableStyle name="TableStyleLight15 2" pivot="0" count="7" xr9:uid="{C85A42B9-5CF1-4006-9848-E1B8AB501950}">
      <tableStyleElement type="wholeTable" dxfId="910"/>
      <tableStyleElement type="headerRow" dxfId="909"/>
      <tableStyleElement type="totalRow" dxfId="908"/>
      <tableStyleElement type="firstColumn" dxfId="907"/>
      <tableStyleElement type="lastColumn" dxfId="906"/>
      <tableStyleElement type="firstRowStripe" dxfId="905"/>
      <tableStyleElement type="firstColumnStripe" dxfId="904"/>
    </tableStyle>
  </tableStyles>
  <colors>
    <mruColors>
      <color rgb="FFCE58C6"/>
      <color rgb="FFFFFF99"/>
      <color rgb="FF05EDFE"/>
      <color rgb="FF513E80"/>
      <color rgb="FF404040"/>
      <color rgb="FFFF4343"/>
      <color rgb="FFFEB391"/>
      <color rgb="FFAA72D4"/>
      <color rgb="FFB195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[RMS_Master_Place_Based.xlsm]7PT!PivotTable31</c:name>
    <c:fmtId val="10"/>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latin typeface="Aptos Narrow" panose="020B0004020202020204" pitchFamily="34" charset="0"/>
              </a:rPr>
              <a:t>28-DAY</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'7PT'!$E$4</c:f>
              <c:strCache>
                <c:ptCount val="1"/>
                <c:pt idx="0">
                  <c:v>Total</c:v>
                </c:pt>
              </c:strCache>
            </c:strRef>
          </c:tx>
          <c:spPr>
            <a:solidFill>
              <a:srgbClr val="FEB391"/>
            </a:solidFill>
            <a:ln w="19050">
              <a:solidFill>
                <a:srgbClr val="CE58C6"/>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'7PT'!$D$5:$D$7</c:f>
              <c:multiLvlStrCache>
                <c:ptCount val="1"/>
                <c:lvl>
                  <c:pt idx="0">
                    <c:v>Hackensack Ave, 400 Block</c:v>
                  </c:pt>
                </c:lvl>
                <c:lvl>
                  <c:pt idx="0">
                    <c:v>Robbery</c:v>
                  </c:pt>
                </c:lvl>
              </c:multiLvlStrCache>
            </c:multiLvlStrRef>
          </c:cat>
          <c:val>
            <c:numRef>
              <c:f>'7PT'!$E$5:$E$7</c:f>
              <c:numCache>
                <c:formatCode>General</c:formatCode>
                <c:ptCount val="1"/>
                <c:pt idx="0">
                  <c:v>1</c:v>
                </c:pt>
              </c:numCache>
            </c:numRef>
          </c:val>
          <c:extLst>
            <c:ext xmlns:c16="http://schemas.microsoft.com/office/drawing/2014/chart" uri="{C3380CC4-5D6E-409C-BE32-E72D297353CC}">
              <c16:uniqueId val="{00000000-30F0-44E4-9C03-97BEBF5B6645}"/>
            </c:ext>
          </c:extLst>
        </c:ser>
        <c:dLbls>
          <c:showLegendKey val="0"/>
          <c:showVal val="0"/>
          <c:showCatName val="0"/>
          <c:showSerName val="0"/>
          <c:showPercent val="0"/>
          <c:showBubbleSize val="0"/>
        </c:dLbls>
        <c:gapWidth val="388"/>
        <c:overlap val="3"/>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l"/>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[RMS_Master_Place_Based.xlsm]C_RPT!PivotTable1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b="1">
                <a:latin typeface="Aptos Narrow" panose="020B0004020202020204" pitchFamily="34" charset="0"/>
              </a:rPr>
              <a:t>YTD</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C_RPT!$B$5</c:f>
              <c:strCache>
                <c:ptCount val="1"/>
                <c:pt idx="0">
                  <c:v>Total</c:v>
                </c:pt>
              </c:strCache>
            </c:strRef>
          </c:tx>
          <c:spPr>
            <a:solidFill>
              <a:srgbClr val="513E80"/>
            </a:solidFill>
            <a:ln w="15875">
              <a:solidFill>
                <a:srgbClr val="05EDFE"/>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C_RPT!$A$6:$A$17</c:f>
              <c:multiLvlStrCache>
                <c:ptCount val="6"/>
                <c:lvl>
                  <c:pt idx="0">
                    <c:v>12:00</c:v>
                  </c:pt>
                  <c:pt idx="1">
                    <c:v>02:00</c:v>
                  </c:pt>
                  <c:pt idx="2">
                    <c:v>12:00</c:v>
                  </c:pt>
                  <c:pt idx="3">
                    <c:v>20:00</c:v>
                  </c:pt>
                  <c:pt idx="4">
                    <c:v>11:00</c:v>
                  </c:pt>
                  <c:pt idx="5">
                    <c:v>11:00</c:v>
                  </c:pt>
                </c:lvl>
                <c:lvl>
                  <c:pt idx="0">
                    <c:v>Monday</c:v>
                  </c:pt>
                  <c:pt idx="1">
                    <c:v>Wednesday</c:v>
                  </c:pt>
                  <c:pt idx="2">
                    <c:v>Thursday</c:v>
                  </c:pt>
                  <c:pt idx="4">
                    <c:v>Friday</c:v>
                  </c:pt>
                  <c:pt idx="5">
                    <c:v>Saturday</c:v>
                  </c:pt>
                </c:lvl>
              </c:multiLvlStrCache>
            </c:multiLvlStrRef>
          </c:cat>
          <c:val>
            <c:numRef>
              <c:f>C_RPT!$B$6:$B$17</c:f>
              <c:numCache>
                <c:formatCode>General</c:formatCode>
                <c:ptCount val="6"/>
                <c:pt idx="0">
                  <c:v>1</c:v>
                </c:pt>
                <c:pt idx="1">
                  <c:v>1</c:v>
                </c:pt>
                <c:pt idx="2">
                  <c:v>1</c:v>
                </c:pt>
                <c:pt idx="3">
                  <c:v>1</c:v>
                </c:pt>
                <c:pt idx="4">
                  <c:v>1</c:v>
                </c:pt>
                <c:pt idx="5">
                  <c:v>1</c:v>
                </c:pt>
              </c:numCache>
            </c:numRef>
          </c:val>
          <c:extLst>
            <c:ext xmlns:c16="http://schemas.microsoft.com/office/drawing/2014/chart" uri="{C3380CC4-5D6E-409C-BE32-E72D297353CC}">
              <c16:uniqueId val="{00000005-8032-4044-8DE0-8334F05C7447}"/>
            </c:ext>
          </c:extLst>
        </c:ser>
        <c:dLbls>
          <c:showLegendKey val="0"/>
          <c:showVal val="0"/>
          <c:showCatName val="0"/>
          <c:showSerName val="0"/>
          <c:showPercent val="0"/>
          <c:showBubbleSize val="0"/>
        </c:dLbls>
        <c:gapWidth val="219"/>
        <c:overlap val="-27"/>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l"/>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[RMS_Master_Place_Based.xlsm]C_RPT!PivotTable3</c:name>
    <c:fmtId val="0"/>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latin typeface="Aptos Narrow" panose="020B0004020202020204" pitchFamily="34" charset="0"/>
              </a:rPr>
              <a:t>28-DAY</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C_RPT!$E$5</c:f>
              <c:strCache>
                <c:ptCount val="1"/>
                <c:pt idx="0">
                  <c:v>Total</c:v>
                </c:pt>
              </c:strCache>
            </c:strRef>
          </c:tx>
          <c:spPr>
            <a:solidFill>
              <a:srgbClr val="FEB391"/>
            </a:solidFill>
            <a:ln w="19050">
              <a:solidFill>
                <a:srgbClr val="CE58C6"/>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C_RPT!$D$6:$D$12</c:f>
              <c:multiLvlStrCache>
                <c:ptCount val="3"/>
                <c:lvl>
                  <c:pt idx="0">
                    <c:v>12:00</c:v>
                  </c:pt>
                  <c:pt idx="1">
                    <c:v>02:00</c:v>
                  </c:pt>
                  <c:pt idx="2">
                    <c:v>11:00</c:v>
                  </c:pt>
                </c:lvl>
                <c:lvl>
                  <c:pt idx="0">
                    <c:v>Monday</c:v>
                  </c:pt>
                  <c:pt idx="1">
                    <c:v>Wednesday</c:v>
                  </c:pt>
                  <c:pt idx="2">
                    <c:v>Friday</c:v>
                  </c:pt>
                </c:lvl>
              </c:multiLvlStrCache>
            </c:multiLvlStrRef>
          </c:cat>
          <c:val>
            <c:numRef>
              <c:f>C_RPT!$E$6:$E$12</c:f>
              <c:numCache>
                <c:formatCode>General</c:formatCode>
                <c:ptCount val="3"/>
                <c:pt idx="0">
                  <c:v>1</c:v>
                </c:pt>
                <c:pt idx="1">
                  <c:v>1</c:v>
                </c:pt>
                <c:pt idx="2">
                  <c:v>1</c:v>
                </c:pt>
              </c:numCache>
            </c:numRef>
          </c:val>
          <c:extLst>
            <c:ext xmlns:c16="http://schemas.microsoft.com/office/drawing/2014/chart" uri="{C3380CC4-5D6E-409C-BE32-E72D297353CC}">
              <c16:uniqueId val="{00000003-DB46-4405-9E49-E50973AADD0F}"/>
            </c:ext>
          </c:extLst>
        </c:ser>
        <c:dLbls>
          <c:showLegendKey val="0"/>
          <c:showVal val="0"/>
          <c:showCatName val="0"/>
          <c:showSerName val="0"/>
          <c:showPercent val="0"/>
          <c:showBubbleSize val="0"/>
        </c:dLbls>
        <c:gapWidth val="388"/>
        <c:overlap val="3"/>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l"/>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[RMS_Master_Place_Based.xlsm]C_RPT!PivotTable5</c:name>
    <c:fmtId val="0"/>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latin typeface="Aptos Narrow" panose="020B0004020202020204" pitchFamily="34" charset="0"/>
              </a:rPr>
              <a:t>7-DAY</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C_RPT!$H$5</c:f>
              <c:strCache>
                <c:ptCount val="1"/>
                <c:pt idx="0">
                  <c:v>Total</c:v>
                </c:pt>
              </c:strCache>
            </c:strRef>
          </c:tx>
          <c:spPr>
            <a:solidFill>
              <a:srgbClr val="FF4343"/>
            </a:solidFill>
            <a:ln w="19050">
              <a:solidFill>
                <a:srgbClr val="C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C_RPT!$G$6:$G$8</c:f>
              <c:multiLvlStrCache>
                <c:ptCount val="1"/>
                <c:lvl>
                  <c:pt idx="0">
                    <c:v>12:00</c:v>
                  </c:pt>
                </c:lvl>
                <c:lvl>
                  <c:pt idx="0">
                    <c:v>Monday</c:v>
                  </c:pt>
                </c:lvl>
              </c:multiLvlStrCache>
            </c:multiLvlStrRef>
          </c:cat>
          <c:val>
            <c:numRef>
              <c:f>C_RPT!$H$6:$H$8</c:f>
              <c:numCache>
                <c:formatCode>General</c:formatCode>
                <c:ptCount val="1"/>
                <c:pt idx="0">
                  <c:v>1</c:v>
                </c:pt>
              </c:numCache>
            </c:numRef>
          </c:val>
          <c:extLst>
            <c:ext xmlns:c16="http://schemas.microsoft.com/office/drawing/2014/chart" uri="{C3380CC4-5D6E-409C-BE32-E72D297353CC}">
              <c16:uniqueId val="{00000003-860F-4A29-9CF0-6E09C921B59B}"/>
            </c:ext>
          </c:extLst>
        </c:ser>
        <c:dLbls>
          <c:showLegendKey val="0"/>
          <c:showVal val="0"/>
          <c:showCatName val="0"/>
          <c:showSerName val="0"/>
          <c:showPercent val="0"/>
          <c:showBubbleSize val="0"/>
        </c:dLbls>
        <c:gapWidth val="388"/>
        <c:overlap val="3"/>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l"/>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[RMS_Master_Place_Based.xlsm]MV_BPT!PivotTable6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b="1">
                <a:latin typeface="Aptos Narrow" panose="020B0004020202020204" pitchFamily="34" charset="0"/>
              </a:rPr>
              <a:t>YTD</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MV_BPT!$B$4</c:f>
              <c:strCache>
                <c:ptCount val="1"/>
                <c:pt idx="0">
                  <c:v>Total</c:v>
                </c:pt>
              </c:strCache>
            </c:strRef>
          </c:tx>
          <c:spPr>
            <a:solidFill>
              <a:srgbClr val="513E80"/>
            </a:solidFill>
            <a:ln w="15875">
              <a:solidFill>
                <a:srgbClr val="05EDFE"/>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MV_BPT!$A$5:$A$13</c:f>
              <c:multiLvlStrCache>
                <c:ptCount val="4"/>
                <c:lvl>
                  <c:pt idx="0">
                    <c:v>20:00</c:v>
                  </c:pt>
                  <c:pt idx="1">
                    <c:v>15:00</c:v>
                  </c:pt>
                  <c:pt idx="2">
                    <c:v>16:00</c:v>
                  </c:pt>
                  <c:pt idx="3">
                    <c:v>18:00</c:v>
                  </c:pt>
                </c:lvl>
                <c:lvl>
                  <c:pt idx="0">
                    <c:v>Sunday</c:v>
                  </c:pt>
                  <c:pt idx="1">
                    <c:v>Monday</c:v>
                  </c:pt>
                  <c:pt idx="2">
                    <c:v>Thursday</c:v>
                  </c:pt>
                  <c:pt idx="3">
                    <c:v>Saturday</c:v>
                  </c:pt>
                </c:lvl>
              </c:multiLvlStrCache>
            </c:multiLvlStrRef>
          </c:cat>
          <c:val>
            <c:numRef>
              <c:f>MV_BPT!$B$5:$B$13</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3-E339-4E68-8BE2-16EFA1E45D37}"/>
            </c:ext>
          </c:extLst>
        </c:ser>
        <c:dLbls>
          <c:showLegendKey val="0"/>
          <c:showVal val="0"/>
          <c:showCatName val="0"/>
          <c:showSerName val="0"/>
          <c:showPercent val="0"/>
          <c:showBubbleSize val="0"/>
        </c:dLbls>
        <c:gapWidth val="219"/>
        <c:overlap val="-27"/>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[RMS_Master_Place_Based.xlsm]MV_BPT!PivotTable7</c:name>
    <c:fmtId val="0"/>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latin typeface="Aptos Narrow" panose="020B0004020202020204" pitchFamily="34" charset="0"/>
              </a:rPr>
              <a:t>28-DAY</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MV_BPT!$E$4</c:f>
              <c:strCache>
                <c:ptCount val="1"/>
                <c:pt idx="0">
                  <c:v>Total</c:v>
                </c:pt>
              </c:strCache>
            </c:strRef>
          </c:tx>
          <c:spPr>
            <a:solidFill>
              <a:srgbClr val="FEB391"/>
            </a:solidFill>
            <a:ln w="19050">
              <a:solidFill>
                <a:srgbClr val="CE58C6"/>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MV_BPT!$D$5:$D$7</c:f>
              <c:multiLvlStrCache>
                <c:ptCount val="1"/>
                <c:lvl>
                  <c:pt idx="0">
                    <c:v>16:00</c:v>
                  </c:pt>
                </c:lvl>
                <c:lvl>
                  <c:pt idx="0">
                    <c:v>Thursday</c:v>
                  </c:pt>
                </c:lvl>
              </c:multiLvlStrCache>
            </c:multiLvlStrRef>
          </c:cat>
          <c:val>
            <c:numRef>
              <c:f>MV_BPT!$E$5:$E$7</c:f>
              <c:numCache>
                <c:formatCode>General</c:formatCode>
                <c:ptCount val="1"/>
                <c:pt idx="0">
                  <c:v>1</c:v>
                </c:pt>
              </c:numCache>
            </c:numRef>
          </c:val>
          <c:extLst>
            <c:ext xmlns:c16="http://schemas.microsoft.com/office/drawing/2014/chart" uri="{C3380CC4-5D6E-409C-BE32-E72D297353CC}">
              <c16:uniqueId val="{00000003-51B2-4E93-B72B-914CC8D8570E}"/>
            </c:ext>
          </c:extLst>
        </c:ser>
        <c:dLbls>
          <c:showLegendKey val="0"/>
          <c:showVal val="0"/>
          <c:showCatName val="0"/>
          <c:showSerName val="0"/>
          <c:showPercent val="0"/>
          <c:showBubbleSize val="0"/>
        </c:dLbls>
        <c:gapWidth val="388"/>
        <c:overlap val="3"/>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[RMS_Master_Place_Based.xlsm]MV_BPT!PivotTable7</c:name>
    <c:fmtId val="5"/>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latin typeface="Aptos Narrow" panose="020B0004020202020204" pitchFamily="34" charset="0"/>
              </a:rPr>
              <a:t>7-DAY</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MV_BPT!$E$4</c:f>
              <c:strCache>
                <c:ptCount val="1"/>
                <c:pt idx="0">
                  <c:v>Total</c:v>
                </c:pt>
              </c:strCache>
            </c:strRef>
          </c:tx>
          <c:spPr>
            <a:solidFill>
              <a:srgbClr val="FF4343"/>
            </a:solidFill>
            <a:ln w="19050">
              <a:solidFill>
                <a:srgbClr val="C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MV_BPT!$D$5:$D$7</c:f>
              <c:multiLvlStrCache>
                <c:ptCount val="1"/>
                <c:lvl>
                  <c:pt idx="0">
                    <c:v>16:00</c:v>
                  </c:pt>
                </c:lvl>
                <c:lvl>
                  <c:pt idx="0">
                    <c:v>Thursday</c:v>
                  </c:pt>
                </c:lvl>
              </c:multiLvlStrCache>
            </c:multiLvlStrRef>
          </c:cat>
          <c:val>
            <c:numRef>
              <c:f>MV_BPT!$E$5:$E$7</c:f>
              <c:numCache>
                <c:formatCode>General</c:formatCode>
                <c:ptCount val="1"/>
                <c:pt idx="0">
                  <c:v>1</c:v>
                </c:pt>
              </c:numCache>
            </c:numRef>
          </c:val>
          <c:extLst>
            <c:ext xmlns:c16="http://schemas.microsoft.com/office/drawing/2014/chart" uri="{C3380CC4-5D6E-409C-BE32-E72D297353CC}">
              <c16:uniqueId val="{00000004-5313-4149-9AC3-50069582D7A9}"/>
            </c:ext>
          </c:extLst>
        </c:ser>
        <c:dLbls>
          <c:showLegendKey val="0"/>
          <c:showVal val="0"/>
          <c:showCatName val="0"/>
          <c:showSerName val="0"/>
          <c:showPercent val="0"/>
          <c:showBubbleSize val="0"/>
        </c:dLbls>
        <c:gapWidth val="388"/>
        <c:overlap val="3"/>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[RMS_Master_Place_Based.xlsm]MV_TPT!PivotTable9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b="1">
                <a:latin typeface="Aptos Narrow" panose="020B0004020202020204" pitchFamily="34" charset="0"/>
              </a:rPr>
              <a:t>YTD</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MV_TPT!$B$4</c:f>
              <c:strCache>
                <c:ptCount val="1"/>
                <c:pt idx="0">
                  <c:v>Total</c:v>
                </c:pt>
              </c:strCache>
            </c:strRef>
          </c:tx>
          <c:spPr>
            <a:solidFill>
              <a:srgbClr val="513E80"/>
            </a:solidFill>
            <a:ln w="15875">
              <a:solidFill>
                <a:srgbClr val="05EDFE"/>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MV_TPT!$A$5:$A$21</c:f>
              <c:multiLvlStrCache>
                <c:ptCount val="11"/>
                <c:lvl>
                  <c:pt idx="0">
                    <c:v>08:00</c:v>
                  </c:pt>
                  <c:pt idx="1">
                    <c:v>09:00</c:v>
                  </c:pt>
                  <c:pt idx="2">
                    <c:v>18:00</c:v>
                  </c:pt>
                  <c:pt idx="3">
                    <c:v>15:00</c:v>
                  </c:pt>
                  <c:pt idx="4">
                    <c:v>19:00</c:v>
                  </c:pt>
                  <c:pt idx="5">
                    <c:v>08:00</c:v>
                  </c:pt>
                  <c:pt idx="6">
                    <c:v>12:00</c:v>
                  </c:pt>
                  <c:pt idx="7">
                    <c:v>06:00</c:v>
                  </c:pt>
                  <c:pt idx="8">
                    <c:v>12:00</c:v>
                  </c:pt>
                  <c:pt idx="9">
                    <c:v>21:00</c:v>
                  </c:pt>
                  <c:pt idx="10">
                    <c:v>01:00</c:v>
                  </c:pt>
                </c:lvl>
                <c:lvl>
                  <c:pt idx="0">
                    <c:v>Monday</c:v>
                  </c:pt>
                  <c:pt idx="3">
                    <c:v>Tuesday</c:v>
                  </c:pt>
                  <c:pt idx="5">
                    <c:v>Wednesday</c:v>
                  </c:pt>
                  <c:pt idx="7">
                    <c:v>Friday</c:v>
                  </c:pt>
                  <c:pt idx="10">
                    <c:v>Saturday</c:v>
                  </c:pt>
                </c:lvl>
              </c:multiLvlStrCache>
            </c:multiLvlStrRef>
          </c:cat>
          <c:val>
            <c:numRef>
              <c:f>MV_TPT!$B$5:$B$21</c:f>
              <c:numCache>
                <c:formatCode>General</c:formatCode>
                <c:ptCount val="11"/>
                <c:pt idx="0">
                  <c:v>1</c:v>
                </c:pt>
                <c:pt idx="1">
                  <c:v>1</c:v>
                </c:pt>
                <c:pt idx="2">
                  <c:v>1</c:v>
                </c:pt>
                <c:pt idx="3">
                  <c:v>1</c:v>
                </c:pt>
                <c:pt idx="4">
                  <c:v>1</c:v>
                </c:pt>
                <c:pt idx="5">
                  <c:v>1</c:v>
                </c:pt>
                <c:pt idx="6">
                  <c:v>1</c:v>
                </c:pt>
                <c:pt idx="7">
                  <c:v>1</c:v>
                </c:pt>
                <c:pt idx="8">
                  <c:v>1</c:v>
                </c:pt>
                <c:pt idx="9">
                  <c:v>1</c:v>
                </c:pt>
                <c:pt idx="10">
                  <c:v>1</c:v>
                </c:pt>
              </c:numCache>
            </c:numRef>
          </c:val>
          <c:extLst>
            <c:ext xmlns:c16="http://schemas.microsoft.com/office/drawing/2014/chart" uri="{C3380CC4-5D6E-409C-BE32-E72D297353CC}">
              <c16:uniqueId val="{00000003-BFBE-4283-8138-0CABD17EC2DD}"/>
            </c:ext>
          </c:extLst>
        </c:ser>
        <c:dLbls>
          <c:showLegendKey val="0"/>
          <c:showVal val="0"/>
          <c:showCatName val="0"/>
          <c:showSerName val="0"/>
          <c:showPercent val="0"/>
          <c:showBubbleSize val="0"/>
        </c:dLbls>
        <c:gapWidth val="219"/>
        <c:overlap val="-27"/>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[RMS_Master_Place_Based.xlsm]MV_TPT!PivotTable10</c:name>
    <c:fmtId val="0"/>
  </c:pivotSource>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US" sz="2800" b="1">
                <a:latin typeface="Aptos Narrow" panose="020B0004020202020204" pitchFamily="34" charset="0"/>
              </a:rPr>
              <a:t>28-DAY</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CE58C6"/>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CE58C6"/>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CE58C6"/>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CE58C6"/>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MV_TPT!$E$4</c:f>
              <c:strCache>
                <c:ptCount val="1"/>
                <c:pt idx="0">
                  <c:v>Total</c:v>
                </c:pt>
              </c:strCache>
            </c:strRef>
          </c:tx>
          <c:spPr>
            <a:solidFill>
              <a:srgbClr val="FEB391"/>
            </a:solidFill>
            <a:ln w="19050">
              <a:solidFill>
                <a:srgbClr val="CE58C6"/>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CE58C6"/>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MV_TPT!$D$5:$D$16</c:f>
              <c:multiLvlStrCache>
                <c:ptCount val="7"/>
                <c:lvl>
                  <c:pt idx="0">
                    <c:v>08:00</c:v>
                  </c:pt>
                  <c:pt idx="1">
                    <c:v>09:00</c:v>
                  </c:pt>
                  <c:pt idx="2">
                    <c:v>18:00</c:v>
                  </c:pt>
                  <c:pt idx="3">
                    <c:v>15:00</c:v>
                  </c:pt>
                  <c:pt idx="4">
                    <c:v>06:00</c:v>
                  </c:pt>
                  <c:pt idx="5">
                    <c:v>12:00</c:v>
                  </c:pt>
                  <c:pt idx="6">
                    <c:v>01:00</c:v>
                  </c:pt>
                </c:lvl>
                <c:lvl>
                  <c:pt idx="0">
                    <c:v>Monday</c:v>
                  </c:pt>
                  <c:pt idx="3">
                    <c:v>Tuesday</c:v>
                  </c:pt>
                  <c:pt idx="4">
                    <c:v>Friday</c:v>
                  </c:pt>
                  <c:pt idx="6">
                    <c:v>Saturday</c:v>
                  </c:pt>
                </c:lvl>
              </c:multiLvlStrCache>
            </c:multiLvlStrRef>
          </c:cat>
          <c:val>
            <c:numRef>
              <c:f>MV_TPT!$E$5:$E$16</c:f>
              <c:numCache>
                <c:formatCode>General</c:formatCode>
                <c:ptCount val="7"/>
                <c:pt idx="0">
                  <c:v>1</c:v>
                </c:pt>
                <c:pt idx="1">
                  <c:v>1</c:v>
                </c:pt>
                <c:pt idx="2">
                  <c:v>1</c:v>
                </c:pt>
                <c:pt idx="3">
                  <c:v>1</c:v>
                </c:pt>
                <c:pt idx="4">
                  <c:v>1</c:v>
                </c:pt>
                <c:pt idx="5">
                  <c:v>1</c:v>
                </c:pt>
                <c:pt idx="6">
                  <c:v>1</c:v>
                </c:pt>
              </c:numCache>
            </c:numRef>
          </c:val>
          <c:extLst>
            <c:ext xmlns:c16="http://schemas.microsoft.com/office/drawing/2014/chart" uri="{C3380CC4-5D6E-409C-BE32-E72D297353CC}">
              <c16:uniqueId val="{00000005-4483-4AB1-B023-A8B33D35FB1D}"/>
            </c:ext>
          </c:extLst>
        </c:ser>
        <c:dLbls>
          <c:showLegendKey val="0"/>
          <c:showVal val="0"/>
          <c:showCatName val="0"/>
          <c:showSerName val="0"/>
          <c:showPercent val="0"/>
          <c:showBubbleSize val="0"/>
        </c:dLbls>
        <c:gapWidth val="388"/>
        <c:overlap val="3"/>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[RMS_Master_Place_Based.xlsm]MV_TPT!PivotTable11</c:name>
    <c:fmtId val="0"/>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latin typeface="Aptos Narrow" panose="020B0004020202020204" pitchFamily="34" charset="0"/>
              </a:rPr>
              <a:t>7-DAY</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MV_TPT!$H$4</c:f>
              <c:strCache>
                <c:ptCount val="1"/>
                <c:pt idx="0">
                  <c:v>Total</c:v>
                </c:pt>
              </c:strCache>
            </c:strRef>
          </c:tx>
          <c:spPr>
            <a:solidFill>
              <a:srgbClr val="FF4343"/>
            </a:solidFill>
            <a:ln w="19050">
              <a:solidFill>
                <a:srgbClr val="C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MV_TPT!$G$5:$G$8</c:f>
              <c:multiLvlStrCache>
                <c:ptCount val="2"/>
                <c:lvl>
                  <c:pt idx="0">
                    <c:v>08:00</c:v>
                  </c:pt>
                  <c:pt idx="1">
                    <c:v>09:00</c:v>
                  </c:pt>
                </c:lvl>
                <c:lvl>
                  <c:pt idx="0">
                    <c:v>Monday</c:v>
                  </c:pt>
                </c:lvl>
              </c:multiLvlStrCache>
            </c:multiLvlStrRef>
          </c:cat>
          <c:val>
            <c:numRef>
              <c:f>MV_TPT!$H$5:$H$8</c:f>
              <c:numCache>
                <c:formatCode>General</c:formatCode>
                <c:ptCount val="2"/>
                <c:pt idx="0">
                  <c:v>1</c:v>
                </c:pt>
                <c:pt idx="1">
                  <c:v>1</c:v>
                </c:pt>
              </c:numCache>
            </c:numRef>
          </c:val>
          <c:extLst>
            <c:ext xmlns:c16="http://schemas.microsoft.com/office/drawing/2014/chart" uri="{C3380CC4-5D6E-409C-BE32-E72D297353CC}">
              <c16:uniqueId val="{00000003-408D-4EB7-8165-2828E9A3F70F}"/>
            </c:ext>
          </c:extLst>
        </c:ser>
        <c:dLbls>
          <c:showLegendKey val="0"/>
          <c:showVal val="0"/>
          <c:showCatName val="0"/>
          <c:showSerName val="0"/>
          <c:showPercent val="0"/>
          <c:showBubbleSize val="0"/>
        </c:dLbls>
        <c:gapWidth val="388"/>
        <c:overlap val="3"/>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[RMS_Master_Place_Based.xlsm]RobPT!PivotTable12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b="1">
                <a:latin typeface="Aptos Narrow" panose="020B0004020202020204" pitchFamily="34" charset="0"/>
              </a:rPr>
              <a:t>YTD</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RobPT!$B$4</c:f>
              <c:strCache>
                <c:ptCount val="1"/>
                <c:pt idx="0">
                  <c:v>Total</c:v>
                </c:pt>
              </c:strCache>
            </c:strRef>
          </c:tx>
          <c:spPr>
            <a:solidFill>
              <a:srgbClr val="513E80"/>
            </a:solidFill>
            <a:ln w="15875">
              <a:solidFill>
                <a:srgbClr val="05EDFE"/>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RobPT!$A$5:$A$14</c:f>
              <c:multiLvlStrCache>
                <c:ptCount val="5"/>
                <c:lvl>
                  <c:pt idx="0">
                    <c:v>17:00</c:v>
                  </c:pt>
                  <c:pt idx="1">
                    <c:v>12:00</c:v>
                  </c:pt>
                  <c:pt idx="2">
                    <c:v>16:00</c:v>
                  </c:pt>
                  <c:pt idx="3">
                    <c:v>15:00</c:v>
                  </c:pt>
                  <c:pt idx="4">
                    <c:v>21:00</c:v>
                  </c:pt>
                </c:lvl>
                <c:lvl>
                  <c:pt idx="0">
                    <c:v>Sunday</c:v>
                  </c:pt>
                  <c:pt idx="1">
                    <c:v>Monday</c:v>
                  </c:pt>
                  <c:pt idx="3">
                    <c:v>Tuesday</c:v>
                  </c:pt>
                  <c:pt idx="4">
                    <c:v>Thursday</c:v>
                  </c:pt>
                </c:lvl>
              </c:multiLvlStrCache>
            </c:multiLvlStrRef>
          </c:cat>
          <c:val>
            <c:numRef>
              <c:f>RobPT!$B$5:$B$14</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3-28D6-4F76-A8DA-86B857B87883}"/>
            </c:ext>
          </c:extLst>
        </c:ser>
        <c:dLbls>
          <c:showLegendKey val="0"/>
          <c:showVal val="0"/>
          <c:showCatName val="0"/>
          <c:showSerName val="0"/>
          <c:showPercent val="0"/>
          <c:showBubbleSize val="0"/>
        </c:dLbls>
        <c:gapWidth val="219"/>
        <c:overlap val="-27"/>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l"/>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[RMS_Master_Place_Based.xlsm]RobPT!PivotTable13</c:name>
    <c:fmtId val="0"/>
  </c:pivotSource>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US" sz="2800" b="1">
                <a:latin typeface="Aptos Narrow" panose="020B0004020202020204" pitchFamily="34" charset="0"/>
              </a:rPr>
              <a:t>28-DAY</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CE58C6"/>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CE58C6"/>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CE58C6"/>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CE58C6"/>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RobPT!$E$4</c:f>
              <c:strCache>
                <c:ptCount val="1"/>
                <c:pt idx="0">
                  <c:v>Total</c:v>
                </c:pt>
              </c:strCache>
            </c:strRef>
          </c:tx>
          <c:spPr>
            <a:solidFill>
              <a:srgbClr val="FEB391"/>
            </a:solidFill>
            <a:ln w="19050">
              <a:solidFill>
                <a:srgbClr val="CE58C6"/>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CE58C6"/>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RobPT!$D$5:$D$9</c:f>
              <c:multiLvlStrCache>
                <c:ptCount val="2"/>
                <c:lvl>
                  <c:pt idx="0">
                    <c:v>17:00</c:v>
                  </c:pt>
                  <c:pt idx="1">
                    <c:v>16:00</c:v>
                  </c:pt>
                </c:lvl>
                <c:lvl>
                  <c:pt idx="0">
                    <c:v>Sunday</c:v>
                  </c:pt>
                  <c:pt idx="1">
                    <c:v>Monday</c:v>
                  </c:pt>
                </c:lvl>
              </c:multiLvlStrCache>
            </c:multiLvlStrRef>
          </c:cat>
          <c:val>
            <c:numRef>
              <c:f>RobPT!$E$5:$E$9</c:f>
              <c:numCache>
                <c:formatCode>General</c:formatCode>
                <c:ptCount val="2"/>
                <c:pt idx="0">
                  <c:v>1</c:v>
                </c:pt>
                <c:pt idx="1">
                  <c:v>1</c:v>
                </c:pt>
              </c:numCache>
            </c:numRef>
          </c:val>
          <c:extLst>
            <c:ext xmlns:c16="http://schemas.microsoft.com/office/drawing/2014/chart" uri="{C3380CC4-5D6E-409C-BE32-E72D297353CC}">
              <c16:uniqueId val="{00000003-6518-4056-AC32-5DD42D68E385}"/>
            </c:ext>
          </c:extLst>
        </c:ser>
        <c:dLbls>
          <c:showLegendKey val="0"/>
          <c:showVal val="0"/>
          <c:showCatName val="0"/>
          <c:showSerName val="0"/>
          <c:showPercent val="0"/>
          <c:showBubbleSize val="0"/>
        </c:dLbls>
        <c:gapWidth val="388"/>
        <c:overlap val="3"/>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l"/>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[RMS_Master_Place_Based.xlsm]Sheet5!PivotTable15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b="1">
                <a:latin typeface="Aptos Narrow" panose="020B0004020202020204" pitchFamily="34" charset="0"/>
              </a:rPr>
              <a:t>YTD</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Sheet5!$B$4</c:f>
              <c:strCache>
                <c:ptCount val="1"/>
                <c:pt idx="0">
                  <c:v>Total</c:v>
                </c:pt>
              </c:strCache>
            </c:strRef>
          </c:tx>
          <c:spPr>
            <a:solidFill>
              <a:srgbClr val="513E80"/>
            </a:solidFill>
            <a:ln w="15875">
              <a:solidFill>
                <a:srgbClr val="05EDFE"/>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Sheet5!$A$5:$A$9</c:f>
              <c:multiLvlStrCache>
                <c:ptCount val="2"/>
                <c:lvl>
                  <c:pt idx="0">
                    <c:v>14:00</c:v>
                  </c:pt>
                  <c:pt idx="1">
                    <c:v>15:00</c:v>
                  </c:pt>
                </c:lvl>
                <c:lvl>
                  <c:pt idx="0">
                    <c:v>Tuesday</c:v>
                  </c:pt>
                  <c:pt idx="1">
                    <c:v>Thursday</c:v>
                  </c:pt>
                </c:lvl>
              </c:multiLvlStrCache>
            </c:multiLvlStrRef>
          </c:cat>
          <c:val>
            <c:numRef>
              <c:f>Sheet5!$B$5:$B$9</c:f>
              <c:numCache>
                <c:formatCode>General</c:formatCode>
                <c:ptCount val="2"/>
                <c:pt idx="0">
                  <c:v>1</c:v>
                </c:pt>
                <c:pt idx="1">
                  <c:v>1</c:v>
                </c:pt>
              </c:numCache>
            </c:numRef>
          </c:val>
          <c:extLst>
            <c:ext xmlns:c16="http://schemas.microsoft.com/office/drawing/2014/chart" uri="{C3380CC4-5D6E-409C-BE32-E72D297353CC}">
              <c16:uniqueId val="{00000003-EC1B-420D-958F-A0B4C12CDD27}"/>
            </c:ext>
          </c:extLst>
        </c:ser>
        <c:dLbls>
          <c:showLegendKey val="0"/>
          <c:showVal val="0"/>
          <c:showCatName val="0"/>
          <c:showSerName val="0"/>
          <c:showPercent val="0"/>
          <c:showBubbleSize val="0"/>
        </c:dLbls>
        <c:gapWidth val="219"/>
        <c:overlap val="-27"/>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l"/>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[RMS_Master_Place_Based.xlsm]5_6PT!PivotTable33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b="1">
                <a:latin typeface="Aptos Narrow" panose="020B0004020202020204" pitchFamily="34" charset="0"/>
              </a:rPr>
              <a:t>YTD</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'5_6PT'!$B$4</c:f>
              <c:strCache>
                <c:ptCount val="1"/>
                <c:pt idx="0">
                  <c:v>Total</c:v>
                </c:pt>
              </c:strCache>
            </c:strRef>
          </c:tx>
          <c:spPr>
            <a:solidFill>
              <a:srgbClr val="513E80"/>
            </a:solidFill>
            <a:ln w="15875">
              <a:solidFill>
                <a:srgbClr val="05EDFE"/>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'5_6PT'!$A$5:$A$18</c:f>
              <c:multiLvlStrCache>
                <c:ptCount val="9"/>
                <c:lvl>
                  <c:pt idx="0">
                    <c:v>Kansas St, 0 Block</c:v>
                  </c:pt>
                  <c:pt idx="1">
                    <c:v>Bonhomme St, 100 Block</c:v>
                  </c:pt>
                  <c:pt idx="2">
                    <c:v>Essex St, 100 Block</c:v>
                  </c:pt>
                  <c:pt idx="3">
                    <c:v>Hudson St, 100 Block</c:v>
                  </c:pt>
                  <c:pt idx="4">
                    <c:v>Hudson St, 400 Block</c:v>
                  </c:pt>
                  <c:pt idx="5">
                    <c:v>Hudson St, 500 Block</c:v>
                  </c:pt>
                  <c:pt idx="6">
                    <c:v>Sutton Ave, 400 Block</c:v>
                  </c:pt>
                  <c:pt idx="7">
                    <c:v>Hudson St, 100 Block</c:v>
                  </c:pt>
                  <c:pt idx="8">
                    <c:v>(blank)</c:v>
                  </c:pt>
                </c:lvl>
                <c:lvl>
                  <c:pt idx="0">
                    <c:v>Burglary - Residence</c:v>
                  </c:pt>
                  <c:pt idx="2">
                    <c:v>Motor Vehicle Theft</c:v>
                  </c:pt>
                  <c:pt idx="7">
                    <c:v>Robbery</c:v>
                  </c:pt>
                  <c:pt idx="8">
                    <c:v>Burglary - Auto</c:v>
                  </c:pt>
                </c:lvl>
              </c:multiLvlStrCache>
            </c:multiLvlStrRef>
          </c:cat>
          <c:val>
            <c:numRef>
              <c:f>'5_6PT'!$B$5:$B$18</c:f>
              <c:numCache>
                <c:formatCode>General</c:formatCode>
                <c:ptCount val="9"/>
                <c:pt idx="0">
                  <c:v>1</c:v>
                </c:pt>
                <c:pt idx="1">
                  <c:v>1</c:v>
                </c:pt>
                <c:pt idx="2">
                  <c:v>1</c:v>
                </c:pt>
                <c:pt idx="3">
                  <c:v>1</c:v>
                </c:pt>
                <c:pt idx="4">
                  <c:v>1</c:v>
                </c:pt>
                <c:pt idx="5">
                  <c:v>1</c:v>
                </c:pt>
                <c:pt idx="6">
                  <c:v>1</c:v>
                </c:pt>
                <c:pt idx="7">
                  <c:v>1</c:v>
                </c:pt>
                <c:pt idx="8">
                  <c:v>1</c:v>
                </c:pt>
              </c:numCache>
            </c:numRef>
          </c:val>
          <c:extLst>
            <c:ext xmlns:c16="http://schemas.microsoft.com/office/drawing/2014/chart" uri="{C3380CC4-5D6E-409C-BE32-E72D297353CC}">
              <c16:uniqueId val="{00000003-A264-49C6-AA96-2FA22930B8B0}"/>
            </c:ext>
          </c:extLst>
        </c:ser>
        <c:dLbls>
          <c:showLegendKey val="0"/>
          <c:showVal val="0"/>
          <c:showCatName val="0"/>
          <c:showSerName val="0"/>
          <c:showPercent val="0"/>
          <c:showBubbleSize val="0"/>
        </c:dLbls>
        <c:gapWidth val="219"/>
        <c:overlap val="-27"/>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l"/>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[RMS_Master_Place_Based.xlsm]5_6PT!PivotTable34</c:name>
    <c:fmtId val="0"/>
  </c:pivotSource>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US" sz="2800" b="1">
                <a:latin typeface="Aptos Narrow" panose="020B0004020202020204" pitchFamily="34" charset="0"/>
              </a:rPr>
              <a:t>28-DAY</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'5_6PT'!$E$4</c:f>
              <c:strCache>
                <c:ptCount val="1"/>
                <c:pt idx="0">
                  <c:v>Total</c:v>
                </c:pt>
              </c:strCache>
            </c:strRef>
          </c:tx>
          <c:spPr>
            <a:solidFill>
              <a:srgbClr val="FEB391"/>
            </a:solidFill>
            <a:ln w="19050">
              <a:solidFill>
                <a:srgbClr val="CE58C6"/>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'5_6PT'!$D$5:$D$12</c:f>
              <c:multiLvlStrCache>
                <c:ptCount val="5"/>
                <c:lvl>
                  <c:pt idx="0">
                    <c:v>Essex St, 100 Block</c:v>
                  </c:pt>
                  <c:pt idx="1">
                    <c:v>Hudson St, 100 Block</c:v>
                  </c:pt>
                  <c:pt idx="2">
                    <c:v>Hudson St, 500 Block</c:v>
                  </c:pt>
                  <c:pt idx="3">
                    <c:v>Sutton Ave, 400 Block</c:v>
                  </c:pt>
                  <c:pt idx="4">
                    <c:v>Hudson St, 100 Block</c:v>
                  </c:pt>
                </c:lvl>
                <c:lvl>
                  <c:pt idx="0">
                    <c:v>Motor Vehicle Theft</c:v>
                  </c:pt>
                  <c:pt idx="4">
                    <c:v>Robbery</c:v>
                  </c:pt>
                </c:lvl>
              </c:multiLvlStrCache>
            </c:multiLvlStrRef>
          </c:cat>
          <c:val>
            <c:numRef>
              <c:f>'5_6PT'!$E$5:$E$12</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3-1F25-404A-8995-55ABEE809E0B}"/>
            </c:ext>
          </c:extLst>
        </c:ser>
        <c:dLbls>
          <c:showLegendKey val="0"/>
          <c:showVal val="0"/>
          <c:showCatName val="0"/>
          <c:showSerName val="0"/>
          <c:showPercent val="0"/>
          <c:showBubbleSize val="0"/>
        </c:dLbls>
        <c:gapWidth val="388"/>
        <c:overlap val="3"/>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l"/>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[RMS_Master_Place_Based.xlsm]5_6PT!PivotTable35</c:name>
    <c:fmtId val="0"/>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latin typeface="Aptos Narrow" panose="020B0004020202020204" pitchFamily="34" charset="0"/>
              </a:rPr>
              <a:t>7-DAY</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'5_6PT'!$H$4</c:f>
              <c:strCache>
                <c:ptCount val="1"/>
                <c:pt idx="0">
                  <c:v>Total</c:v>
                </c:pt>
              </c:strCache>
            </c:strRef>
          </c:tx>
          <c:spPr>
            <a:solidFill>
              <a:srgbClr val="FF4343"/>
            </a:solidFill>
            <a:ln w="19050">
              <a:solidFill>
                <a:srgbClr val="C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'5_6PT'!$G$5:$G$7</c:f>
              <c:multiLvlStrCache>
                <c:ptCount val="1"/>
                <c:lvl>
                  <c:pt idx="0">
                    <c:v>Hudson St, 100 Block</c:v>
                  </c:pt>
                </c:lvl>
                <c:lvl>
                  <c:pt idx="0">
                    <c:v>Motor Vehicle Theft</c:v>
                  </c:pt>
                </c:lvl>
              </c:multiLvlStrCache>
            </c:multiLvlStrRef>
          </c:cat>
          <c:val>
            <c:numRef>
              <c:f>'5_6PT'!$H$5:$H$7</c:f>
              <c:numCache>
                <c:formatCode>General</c:formatCode>
                <c:ptCount val="1"/>
                <c:pt idx="0">
                  <c:v>1</c:v>
                </c:pt>
              </c:numCache>
            </c:numRef>
          </c:val>
          <c:extLst>
            <c:ext xmlns:c16="http://schemas.microsoft.com/office/drawing/2014/chart" uri="{C3380CC4-5D6E-409C-BE32-E72D297353CC}">
              <c16:uniqueId val="{00000003-AEEF-42BD-814C-28D1894593BC}"/>
            </c:ext>
          </c:extLst>
        </c:ser>
        <c:dLbls>
          <c:showLegendKey val="0"/>
          <c:showVal val="0"/>
          <c:showCatName val="0"/>
          <c:showSerName val="0"/>
          <c:showPercent val="0"/>
          <c:showBubbleSize val="0"/>
        </c:dLbls>
        <c:gapWidth val="388"/>
        <c:overlap val="3"/>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l"/>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[RMS_Master_Place_Based.xlsm]7PT!PivotTable30</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b="1">
                <a:latin typeface="Aptos Narrow" panose="020B0004020202020204" pitchFamily="34" charset="0"/>
              </a:rPr>
              <a:t>YTD</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'7PT'!$B$4</c:f>
              <c:strCache>
                <c:ptCount val="1"/>
                <c:pt idx="0">
                  <c:v>Total</c:v>
                </c:pt>
              </c:strCache>
            </c:strRef>
          </c:tx>
          <c:spPr>
            <a:solidFill>
              <a:srgbClr val="513E80"/>
            </a:solidFill>
            <a:ln w="15875">
              <a:solidFill>
                <a:srgbClr val="05EDFE"/>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'7PT'!$A$5:$A$18</c:f>
              <c:multiLvlStrCache>
                <c:ptCount val="8"/>
                <c:lvl>
                  <c:pt idx="0">
                    <c:v>Pangborn Pl, 0 Block</c:v>
                  </c:pt>
                  <c:pt idx="1">
                    <c:v>Lookout Ave, 300 Block</c:v>
                  </c:pt>
                  <c:pt idx="2">
                    <c:v>Ross Ave, 0 Block</c:v>
                  </c:pt>
                  <c:pt idx="3">
                    <c:v>Hackensack Ave, 400 Block</c:v>
                  </c:pt>
                  <c:pt idx="4">
                    <c:v>Main St, 600 Block</c:v>
                  </c:pt>
                  <c:pt idx="5">
                    <c:v>Christopher Columbus Drive, Jersey City, NJ 07302, 100 Block</c:v>
                  </c:pt>
                  <c:pt idx="6">
                    <c:v>Main St, 800 Block</c:v>
                  </c:pt>
                  <c:pt idx="7">
                    <c:v>Pangborn Pl, 0 Block</c:v>
                  </c:pt>
                </c:lvl>
                <c:lvl>
                  <c:pt idx="0">
                    <c:v>Burglary - Auto</c:v>
                  </c:pt>
                  <c:pt idx="1">
                    <c:v>Motor Vehicle Theft</c:v>
                  </c:pt>
                  <c:pt idx="3">
                    <c:v>Robbery</c:v>
                  </c:pt>
                  <c:pt idx="6">
                    <c:v>Burglary - Residence</c:v>
                  </c:pt>
                  <c:pt idx="7">
                    <c:v>Burglary - Commercial</c:v>
                  </c:pt>
                </c:lvl>
              </c:multiLvlStrCache>
            </c:multiLvlStrRef>
          </c:cat>
          <c:val>
            <c:numRef>
              <c:f>'7PT'!$B$5:$B$18</c:f>
              <c:numCache>
                <c:formatCode>General</c:formatCode>
                <c:ptCount val="8"/>
                <c:pt idx="0">
                  <c:v>1</c:v>
                </c:pt>
                <c:pt idx="1">
                  <c:v>1</c:v>
                </c:pt>
                <c:pt idx="2">
                  <c:v>1</c:v>
                </c:pt>
                <c:pt idx="3">
                  <c:v>2</c:v>
                </c:pt>
                <c:pt idx="4">
                  <c:v>1</c:v>
                </c:pt>
                <c:pt idx="5">
                  <c:v>1</c:v>
                </c:pt>
                <c:pt idx="6">
                  <c:v>1</c:v>
                </c:pt>
                <c:pt idx="7">
                  <c:v>1</c:v>
                </c:pt>
              </c:numCache>
            </c:numRef>
          </c:val>
          <c:extLst>
            <c:ext xmlns:c16="http://schemas.microsoft.com/office/drawing/2014/chart" uri="{C3380CC4-5D6E-409C-BE32-E72D297353CC}">
              <c16:uniqueId val="{00000003-B5AE-4CBC-A3C9-5671A1AC5E4B}"/>
            </c:ext>
          </c:extLst>
        </c:ser>
        <c:dLbls>
          <c:showLegendKey val="0"/>
          <c:showVal val="0"/>
          <c:showCatName val="0"/>
          <c:showSerName val="0"/>
          <c:showPercent val="0"/>
          <c:showBubbleSize val="0"/>
        </c:dLbls>
        <c:gapWidth val="219"/>
        <c:overlap val="-27"/>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l"/>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[RMS_Master_Place_Based.xlsm]7PT!PivotTable31</c:name>
    <c:fmtId val="1"/>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latin typeface="Aptos Narrow" panose="020B0004020202020204" pitchFamily="34" charset="0"/>
              </a:rPr>
              <a:t>28-DAY</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'7PT'!$E$4</c:f>
              <c:strCache>
                <c:ptCount val="1"/>
                <c:pt idx="0">
                  <c:v>Total</c:v>
                </c:pt>
              </c:strCache>
            </c:strRef>
          </c:tx>
          <c:spPr>
            <a:solidFill>
              <a:srgbClr val="FEB391"/>
            </a:solidFill>
            <a:ln w="19050">
              <a:solidFill>
                <a:srgbClr val="CE58C6"/>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404040"/>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'7PT'!$D$5:$D$7</c:f>
              <c:multiLvlStrCache>
                <c:ptCount val="1"/>
                <c:lvl>
                  <c:pt idx="0">
                    <c:v>Hackensack Ave, 400 Block</c:v>
                  </c:pt>
                </c:lvl>
                <c:lvl>
                  <c:pt idx="0">
                    <c:v>Robbery</c:v>
                  </c:pt>
                </c:lvl>
              </c:multiLvlStrCache>
            </c:multiLvlStrRef>
          </c:cat>
          <c:val>
            <c:numRef>
              <c:f>'7PT'!$E$5:$E$7</c:f>
              <c:numCache>
                <c:formatCode>General</c:formatCode>
                <c:ptCount val="1"/>
                <c:pt idx="0">
                  <c:v>1</c:v>
                </c:pt>
              </c:numCache>
            </c:numRef>
          </c:val>
          <c:extLst>
            <c:ext xmlns:c16="http://schemas.microsoft.com/office/drawing/2014/chart" uri="{C3380CC4-5D6E-409C-BE32-E72D297353CC}">
              <c16:uniqueId val="{0000000B-32DD-4E04-9BB6-395E51AFEBCD}"/>
            </c:ext>
          </c:extLst>
        </c:ser>
        <c:dLbls>
          <c:showLegendKey val="0"/>
          <c:showVal val="0"/>
          <c:showCatName val="0"/>
          <c:showSerName val="0"/>
          <c:showPercent val="0"/>
          <c:showBubbleSize val="0"/>
        </c:dLbls>
        <c:gapWidth val="388"/>
        <c:overlap val="3"/>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l"/>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[RMS_Master_Place_Based.xlsm]8pt!PivotTable24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b="1">
                <a:latin typeface="Aptos Narrow" panose="020B0004020202020204" pitchFamily="34" charset="0"/>
              </a:rPr>
              <a:t>YTD</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'8pt'!$B$4</c:f>
              <c:strCache>
                <c:ptCount val="1"/>
                <c:pt idx="0">
                  <c:v>Total</c:v>
                </c:pt>
              </c:strCache>
            </c:strRef>
          </c:tx>
          <c:spPr>
            <a:solidFill>
              <a:srgbClr val="513E80"/>
            </a:solidFill>
            <a:ln w="15875">
              <a:solidFill>
                <a:srgbClr val="05EDFE"/>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'8pt'!$A$5:$A$18</c:f>
              <c:multiLvlStrCache>
                <c:ptCount val="7"/>
                <c:lvl>
                  <c:pt idx="0">
                    <c:v>Stanley Pl, 200 Block</c:v>
                  </c:pt>
                  <c:pt idx="1">
                    <c:v>Passaic St, 400 Block</c:v>
                  </c:pt>
                  <c:pt idx="2">
                    <c:v>The Esplanade, 200 Block</c:v>
                  </c:pt>
                  <c:pt idx="3">
                    <c:v>First St, 200 Block</c:v>
                  </c:pt>
                  <c:pt idx="4">
                    <c:v>Midtown Bridge Approach, 0 Block</c:v>
                  </c:pt>
                  <c:pt idx="5">
                    <c:v>Clay St, 200 Block</c:v>
                  </c:pt>
                  <c:pt idx="6">
                    <c:v>Berdan Pl, 100 Block</c:v>
                  </c:pt>
                </c:lvl>
                <c:lvl>
                  <c:pt idx="0">
                    <c:v>Burglary - Auto</c:v>
                  </c:pt>
                  <c:pt idx="1">
                    <c:v>Burglary - Commercial</c:v>
                  </c:pt>
                  <c:pt idx="2">
                    <c:v>Burglary - Residence</c:v>
                  </c:pt>
                  <c:pt idx="3">
                    <c:v>Motor Vehicle Theft</c:v>
                  </c:pt>
                  <c:pt idx="5">
                    <c:v>Robbery</c:v>
                  </c:pt>
                  <c:pt idx="6">
                    <c:v>Sexual Assault</c:v>
                  </c:pt>
                </c:lvl>
              </c:multiLvlStrCache>
            </c:multiLvlStrRef>
          </c:cat>
          <c:val>
            <c:numRef>
              <c:f>'8pt'!$B$5:$B$18</c:f>
              <c:numCache>
                <c:formatCode>General</c:formatCode>
                <c:ptCount val="7"/>
                <c:pt idx="0">
                  <c:v>1</c:v>
                </c:pt>
                <c:pt idx="1">
                  <c:v>1</c:v>
                </c:pt>
                <c:pt idx="2">
                  <c:v>1</c:v>
                </c:pt>
                <c:pt idx="3">
                  <c:v>1</c:v>
                </c:pt>
                <c:pt idx="4">
                  <c:v>1</c:v>
                </c:pt>
                <c:pt idx="5">
                  <c:v>1</c:v>
                </c:pt>
                <c:pt idx="6">
                  <c:v>1</c:v>
                </c:pt>
              </c:numCache>
            </c:numRef>
          </c:val>
          <c:extLst>
            <c:ext xmlns:c16="http://schemas.microsoft.com/office/drawing/2014/chart" uri="{C3380CC4-5D6E-409C-BE32-E72D297353CC}">
              <c16:uniqueId val="{00000001-C7EE-4419-8A3A-303B0DD0A2AD}"/>
            </c:ext>
          </c:extLst>
        </c:ser>
        <c:dLbls>
          <c:showLegendKey val="0"/>
          <c:showVal val="0"/>
          <c:showCatName val="0"/>
          <c:showSerName val="0"/>
          <c:showPercent val="0"/>
          <c:showBubbleSize val="0"/>
        </c:dLbls>
        <c:gapWidth val="219"/>
        <c:overlap val="-27"/>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l"/>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[RMS_Master_Place_Based.xlsm]8pt!PivotTable25</c:name>
    <c:fmtId val="0"/>
  </c:pivotSource>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US" sz="2800" b="1">
                <a:latin typeface="Aptos Narrow" panose="020B0004020202020204" pitchFamily="34" charset="0"/>
              </a:rPr>
              <a:t>28-DAY</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CE58C6"/>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'8pt'!$E$4</c:f>
              <c:strCache>
                <c:ptCount val="1"/>
                <c:pt idx="0">
                  <c:v>Total</c:v>
                </c:pt>
              </c:strCache>
            </c:strRef>
          </c:tx>
          <c:spPr>
            <a:solidFill>
              <a:srgbClr val="FEB391"/>
            </a:solidFill>
            <a:ln w="19050">
              <a:solidFill>
                <a:srgbClr val="CE58C6"/>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CE58C6"/>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'8pt'!$D$5:$D$11</c:f>
              <c:multiLvlStrCache>
                <c:ptCount val="3"/>
                <c:lvl>
                  <c:pt idx="0">
                    <c:v>Passaic St, 400 Block</c:v>
                  </c:pt>
                  <c:pt idx="1">
                    <c:v>The Esplanade, 200 Block</c:v>
                  </c:pt>
                  <c:pt idx="2">
                    <c:v>Midtown Bridge Approach, 0 Block</c:v>
                  </c:pt>
                </c:lvl>
                <c:lvl>
                  <c:pt idx="0">
                    <c:v>Burglary - Commercial</c:v>
                  </c:pt>
                  <c:pt idx="1">
                    <c:v>Burglary - Residence</c:v>
                  </c:pt>
                  <c:pt idx="2">
                    <c:v>Motor Vehicle Theft</c:v>
                  </c:pt>
                </c:lvl>
              </c:multiLvlStrCache>
            </c:multiLvlStrRef>
          </c:cat>
          <c:val>
            <c:numRef>
              <c:f>'8pt'!$E$5:$E$11</c:f>
              <c:numCache>
                <c:formatCode>General</c:formatCode>
                <c:ptCount val="3"/>
                <c:pt idx="0">
                  <c:v>1</c:v>
                </c:pt>
                <c:pt idx="1">
                  <c:v>1</c:v>
                </c:pt>
                <c:pt idx="2">
                  <c:v>1</c:v>
                </c:pt>
              </c:numCache>
            </c:numRef>
          </c:val>
          <c:extLst>
            <c:ext xmlns:c16="http://schemas.microsoft.com/office/drawing/2014/chart" uri="{C3380CC4-5D6E-409C-BE32-E72D297353CC}">
              <c16:uniqueId val="{00000003-1B2D-4B2B-9031-69ECCEFD4759}"/>
            </c:ext>
          </c:extLst>
        </c:ser>
        <c:dLbls>
          <c:showLegendKey val="0"/>
          <c:showVal val="0"/>
          <c:showCatName val="0"/>
          <c:showSerName val="0"/>
          <c:showPercent val="0"/>
          <c:showBubbleSize val="0"/>
        </c:dLbls>
        <c:gapWidth val="388"/>
        <c:overlap val="3"/>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l"/>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[RMS_Master_Place_Based.xlsm]8pt!PivotTable26</c:name>
    <c:fmtId val="0"/>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latin typeface="Aptos Narrow" panose="020B0004020202020204" pitchFamily="34" charset="0"/>
              </a:rPr>
              <a:t>7-DAY</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F4343"/>
          </a:solidFill>
          <a:ln w="19050">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'8pt'!$H$4</c:f>
              <c:strCache>
                <c:ptCount val="1"/>
                <c:pt idx="0">
                  <c:v>Total</c:v>
                </c:pt>
              </c:strCache>
            </c:strRef>
          </c:tx>
          <c:spPr>
            <a:solidFill>
              <a:srgbClr val="FF4343"/>
            </a:solidFill>
            <a:ln w="19050">
              <a:solidFill>
                <a:srgbClr val="C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'8pt'!$G$5:$G$7</c:f>
              <c:multiLvlStrCache>
                <c:ptCount val="1"/>
                <c:lvl>
                  <c:pt idx="0">
                    <c:v>Passaic St, 400 Block</c:v>
                  </c:pt>
                </c:lvl>
                <c:lvl>
                  <c:pt idx="0">
                    <c:v>Burglary - Commercial</c:v>
                  </c:pt>
                </c:lvl>
              </c:multiLvlStrCache>
            </c:multiLvlStrRef>
          </c:cat>
          <c:val>
            <c:numRef>
              <c:f>'8pt'!$H$5:$H$7</c:f>
              <c:numCache>
                <c:formatCode>General</c:formatCode>
                <c:ptCount val="1"/>
                <c:pt idx="0">
                  <c:v>1</c:v>
                </c:pt>
              </c:numCache>
            </c:numRef>
          </c:val>
          <c:extLst>
            <c:ext xmlns:c16="http://schemas.microsoft.com/office/drawing/2014/chart" uri="{C3380CC4-5D6E-409C-BE32-E72D297353CC}">
              <c16:uniqueId val="{00000003-35A2-4E87-9385-7C08AC71B00A}"/>
            </c:ext>
          </c:extLst>
        </c:ser>
        <c:dLbls>
          <c:showLegendKey val="0"/>
          <c:showVal val="0"/>
          <c:showCatName val="0"/>
          <c:showSerName val="0"/>
          <c:showPercent val="0"/>
          <c:showBubbleSize val="0"/>
        </c:dLbls>
        <c:gapWidth val="388"/>
        <c:overlap val="3"/>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l"/>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[RMS_Master_Place_Based.xlsm]9PT!PivotTable21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b="1">
                <a:latin typeface="Aptos Narrow" panose="020B0004020202020204" pitchFamily="34" charset="0"/>
              </a:rPr>
              <a:t>YTD</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513E80"/>
          </a:solidFill>
          <a:ln w="15875">
            <a:solidFill>
              <a:srgbClr val="05EDF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5EDFE"/>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'9PT'!$B$4</c:f>
              <c:strCache>
                <c:ptCount val="1"/>
                <c:pt idx="0">
                  <c:v>Total</c:v>
                </c:pt>
              </c:strCache>
            </c:strRef>
          </c:tx>
          <c:invertIfNegative val="0"/>
          <c:cat>
            <c:multiLvlStrRef>
              <c:f>'9PT'!$A$5:$A$18</c:f>
              <c:multiLvlStrCache>
                <c:ptCount val="8"/>
                <c:lvl>
                  <c:pt idx="0">
                    <c:v>Pangborn Pl, 0 Block</c:v>
                  </c:pt>
                  <c:pt idx="1">
                    <c:v>Lookout Ave, 300 Block</c:v>
                  </c:pt>
                  <c:pt idx="2">
                    <c:v>Ross Ave, 0 Block</c:v>
                  </c:pt>
                  <c:pt idx="3">
                    <c:v>Hackensack Ave, 400 Block</c:v>
                  </c:pt>
                  <c:pt idx="4">
                    <c:v>Main St, 600 Block</c:v>
                  </c:pt>
                  <c:pt idx="5">
                    <c:v>Christopher Columbus Drive, Jersey City, NJ 07302, 100 Block</c:v>
                  </c:pt>
                  <c:pt idx="6">
                    <c:v>Main St, 800 Block</c:v>
                  </c:pt>
                  <c:pt idx="7">
                    <c:v>Pangborn Pl, 0 Block</c:v>
                  </c:pt>
                </c:lvl>
                <c:lvl>
                  <c:pt idx="0">
                    <c:v>Burglary - Auto</c:v>
                  </c:pt>
                  <c:pt idx="1">
                    <c:v>Motor Vehicle Theft</c:v>
                  </c:pt>
                  <c:pt idx="3">
                    <c:v>Robbery</c:v>
                  </c:pt>
                  <c:pt idx="6">
                    <c:v>Burglary - Residence</c:v>
                  </c:pt>
                  <c:pt idx="7">
                    <c:v>Burglary - Commercial</c:v>
                  </c:pt>
                </c:lvl>
              </c:multiLvlStrCache>
            </c:multiLvlStrRef>
          </c:cat>
          <c:val>
            <c:numRef>
              <c:f>'9PT'!$B$5:$B$18</c:f>
              <c:numCache>
                <c:formatCode>General</c:formatCode>
                <c:ptCount val="8"/>
                <c:pt idx="0">
                  <c:v>1</c:v>
                </c:pt>
                <c:pt idx="1">
                  <c:v>1</c:v>
                </c:pt>
                <c:pt idx="2">
                  <c:v>1</c:v>
                </c:pt>
                <c:pt idx="3">
                  <c:v>2</c:v>
                </c:pt>
                <c:pt idx="4">
                  <c:v>1</c:v>
                </c:pt>
                <c:pt idx="5">
                  <c:v>1</c:v>
                </c:pt>
                <c:pt idx="6">
                  <c:v>1</c:v>
                </c:pt>
                <c:pt idx="7">
                  <c:v>1</c:v>
                </c:pt>
              </c:numCache>
            </c:numRef>
          </c:val>
          <c:extLst>
            <c:ext xmlns:c16="http://schemas.microsoft.com/office/drawing/2014/chart" uri="{C3380CC4-5D6E-409C-BE32-E72D297353CC}">
              <c16:uniqueId val="{00000001-4A47-40B1-A72D-FD75CB3C678E}"/>
            </c:ext>
          </c:extLst>
        </c:ser>
        <c:dLbls>
          <c:showLegendKey val="0"/>
          <c:showVal val="0"/>
          <c:showCatName val="0"/>
          <c:showSerName val="0"/>
          <c:showPercent val="0"/>
          <c:showBubbleSize val="0"/>
        </c:dLbls>
        <c:gapWidth val="219"/>
        <c:overlap val="-27"/>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l"/>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[RMS_Master_Place_Based.xlsm]9PT!PivotTable22</c:name>
    <c:fmtId val="0"/>
  </c:pivotSource>
  <c:chart>
    <c:title>
      <c:tx>
        <c:rich>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r>
              <a:rPr lang="en-US" sz="2800" b="1">
                <a:latin typeface="Aptos Narrow" panose="020B0004020202020204" pitchFamily="34" charset="0"/>
              </a:rPr>
              <a:t>28-DAY</a:t>
            </a:r>
          </a:p>
        </c:rich>
      </c:tx>
      <c:layout>
        <c:manualLayout>
          <c:xMode val="edge"/>
          <c:yMode val="edge"/>
          <c:x val="0.45241002626136423"/>
          <c:y val="1.148187626515359E-2"/>
        </c:manualLayout>
      </c:layout>
      <c:overlay val="0"/>
      <c:spPr>
        <a:noFill/>
        <a:ln w="12700">
          <a:noFill/>
        </a:ln>
        <a:effectLst/>
      </c:sp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CE58C6"/>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CE58C6"/>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CE58C6"/>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EB391"/>
          </a:solidFill>
          <a:ln w="19050">
            <a:solidFill>
              <a:srgbClr val="CE58C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CE58C6"/>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'9PT'!$E$4</c:f>
              <c:strCache>
                <c:ptCount val="1"/>
                <c:pt idx="0">
                  <c:v>Total</c:v>
                </c:pt>
              </c:strCache>
            </c:strRef>
          </c:tx>
          <c:spPr>
            <a:solidFill>
              <a:srgbClr val="FEB391"/>
            </a:solidFill>
            <a:ln w="19050">
              <a:solidFill>
                <a:srgbClr val="CE58C6"/>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CE58C6"/>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'9PT'!$D$5:$D$7</c:f>
              <c:multiLvlStrCache>
                <c:ptCount val="1"/>
                <c:lvl>
                  <c:pt idx="0">
                    <c:v>Hackensack Ave, 400 Block</c:v>
                  </c:pt>
                </c:lvl>
                <c:lvl>
                  <c:pt idx="0">
                    <c:v>Robbery</c:v>
                  </c:pt>
                </c:lvl>
              </c:multiLvlStrCache>
            </c:multiLvlStrRef>
          </c:cat>
          <c:val>
            <c:numRef>
              <c:f>'9PT'!$E$5:$E$7</c:f>
              <c:numCache>
                <c:formatCode>General</c:formatCode>
                <c:ptCount val="1"/>
                <c:pt idx="0">
                  <c:v>1</c:v>
                </c:pt>
              </c:numCache>
            </c:numRef>
          </c:val>
          <c:extLst>
            <c:ext xmlns:c16="http://schemas.microsoft.com/office/drawing/2014/chart" uri="{C3380CC4-5D6E-409C-BE32-E72D297353CC}">
              <c16:uniqueId val="{00000003-C227-494D-8E36-4FD12B2A069C}"/>
            </c:ext>
          </c:extLst>
        </c:ser>
        <c:dLbls>
          <c:showLegendKey val="0"/>
          <c:showVal val="0"/>
          <c:showCatName val="0"/>
          <c:showSerName val="0"/>
          <c:showPercent val="0"/>
          <c:showBubbleSize val="0"/>
        </c:dLbls>
        <c:gapWidth val="388"/>
        <c:overlap val="3"/>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c:spPr>
    </c:plotArea>
    <c:legend>
      <c:legendPos val="l"/>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b="1">
                <a:latin typeface="Aptos Narrow" panose="020B0004020202020204" pitchFamily="34" charset="0"/>
              </a:rPr>
              <a:t>YTD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195D7"/>
          </a:solidFill>
          <a:ln w="15875">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rgbClr val="B195D7"/>
            </a:solidFill>
            <a:ln w="15875">
              <a:solidFill>
                <a:srgbClr val="7030A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Aptos Narrow" panose="020B000402020202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6"/>
              <c:pt idx="0">
                <c:v>Burglary - Auto, Theft Sunday</c:v>
              </c:pt>
              <c:pt idx="1">
                <c:v>Motor Vehicle Theft Tuesday</c:v>
              </c:pt>
              <c:pt idx="2">
                <c:v>Motor Vehicle Theft Friday</c:v>
              </c:pt>
              <c:pt idx="3">
                <c:v>Robbery Monday</c:v>
              </c:pt>
              <c:pt idx="4">
                <c:v>Robbery Thursday</c:v>
              </c:pt>
              <c:pt idx="5">
                <c:v>Robbery, Resisting Arrest/Eluding, Suspicious Person Tuesday</c:v>
              </c:pt>
            </c:strLit>
          </c:cat>
          <c:val>
            <c:numLit>
              <c:formatCode>General</c:formatCode>
              <c:ptCount val="6"/>
              <c:pt idx="0">
                <c:v>1</c:v>
              </c:pt>
              <c:pt idx="1">
                <c:v>1</c:v>
              </c:pt>
              <c:pt idx="2">
                <c:v>1</c:v>
              </c:pt>
              <c:pt idx="3">
                <c:v>1</c:v>
              </c:pt>
              <c:pt idx="4">
                <c:v>1</c:v>
              </c:pt>
              <c:pt idx="5">
                <c:v>1</c:v>
              </c:pt>
            </c:numLit>
          </c:val>
          <c:extLst>
            <c:ext xmlns:c16="http://schemas.microsoft.com/office/drawing/2014/chart" uri="{C3380CC4-5D6E-409C-BE32-E72D297353CC}">
              <c16:uniqueId val="{00000000-63C3-4F21-A2F2-0F632D6DEBB1}"/>
            </c:ext>
          </c:extLst>
        </c:ser>
        <c:dLbls>
          <c:showLegendKey val="0"/>
          <c:showVal val="0"/>
          <c:showCatName val="0"/>
          <c:showSerName val="0"/>
          <c:showPercent val="0"/>
          <c:showBubbleSize val="0"/>
        </c:dLbls>
        <c:gapWidth val="219"/>
        <c:overlap val="-27"/>
        <c:axId val="403686479"/>
        <c:axId val="489988959"/>
      </c:barChart>
      <c:catAx>
        <c:axId val="403686479"/>
        <c:scaling>
          <c:orientation val="minMax"/>
        </c:scaling>
        <c:delete val="0"/>
        <c:axPos val="b"/>
        <c:numFmt formatCode="General" sourceLinked="1"/>
        <c:majorTickMark val="none"/>
        <c:minorTickMark val="none"/>
        <c:tickLblPos val="nextTo"/>
        <c:spPr>
          <a:noFill/>
          <a:ln w="12700" cap="flat" cmpd="sng" algn="ctr">
            <a:solidFill>
              <a:schemeClr val="bg2">
                <a:lumMod val="75000"/>
                <a:alpha val="91000"/>
              </a:schemeClr>
            </a:solidFill>
            <a:round/>
          </a:ln>
          <a:effectLst/>
        </c:spPr>
        <c:txPr>
          <a:bodyPr rot="-60000000" spcFirstLastPara="1" vertOverflow="ellipsis" vert="horz" wrap="square" anchor="ctr" anchorCtr="1"/>
          <a:lstStyle/>
          <a:p>
            <a:pPr>
              <a:defRPr sz="1200" b="1"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crossAx val="489988959"/>
        <c:crosses val="autoZero"/>
        <c:auto val="1"/>
        <c:lblAlgn val="ctr"/>
        <c:lblOffset val="100"/>
        <c:noMultiLvlLbl val="0"/>
      </c:catAx>
      <c:valAx>
        <c:axId val="489988959"/>
        <c:scaling>
          <c:orientation val="minMax"/>
        </c:scaling>
        <c:delete val="1"/>
        <c:axPos val="l"/>
        <c:numFmt formatCode="General" sourceLinked="1"/>
        <c:majorTickMark val="none"/>
        <c:minorTickMark val="none"/>
        <c:tickLblPos val="nextTo"/>
        <c:crossAx val="4036864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4.xml"/></Relationships>
</file>

<file path=xl/drawings/drawing1.xml><?xml version="1.0" encoding="utf-8"?>
<xdr:wsDr xmlns:xdr="http://schemas.openxmlformats.org/drawingml/2006/spreadsheetDrawing" xmlns:a="http://schemas.openxmlformats.org/drawingml/2006/main">
  <xdr:twoCellAnchor>
    <xdr:from>
      <xdr:col>16</xdr:col>
      <xdr:colOff>314326</xdr:colOff>
      <xdr:row>11</xdr:row>
      <xdr:rowOff>66675</xdr:rowOff>
    </xdr:from>
    <xdr:to>
      <xdr:col>29</xdr:col>
      <xdr:colOff>300039</xdr:colOff>
      <xdr:row>30</xdr:row>
      <xdr:rowOff>100014</xdr:rowOff>
    </xdr:to>
    <xdr:graphicFrame macro="">
      <xdr:nvGraphicFramePr>
        <xdr:cNvPr id="3" name="Chart 2">
          <a:extLst>
            <a:ext uri="{FF2B5EF4-FFF2-40B4-BE49-F238E27FC236}">
              <a16:creationId xmlns:a16="http://schemas.microsoft.com/office/drawing/2014/main" id="{49D01B58-955F-4838-AF38-BCB7AD4804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19</xdr:row>
      <xdr:rowOff>71436</xdr:rowOff>
    </xdr:from>
    <xdr:to>
      <xdr:col>8</xdr:col>
      <xdr:colOff>19050</xdr:colOff>
      <xdr:row>39</xdr:row>
      <xdr:rowOff>185736</xdr:rowOff>
    </xdr:to>
    <xdr:graphicFrame macro="">
      <xdr:nvGraphicFramePr>
        <xdr:cNvPr id="4" name="Chart 3">
          <a:extLst>
            <a:ext uri="{FF2B5EF4-FFF2-40B4-BE49-F238E27FC236}">
              <a16:creationId xmlns:a16="http://schemas.microsoft.com/office/drawing/2014/main" id="{38D193C9-DCFA-D3B1-7E49-C9188E3484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9526</xdr:colOff>
      <xdr:row>46</xdr:row>
      <xdr:rowOff>176212</xdr:rowOff>
    </xdr:from>
    <xdr:to>
      <xdr:col>7</xdr:col>
      <xdr:colOff>1466850</xdr:colOff>
      <xdr:row>67</xdr:row>
      <xdr:rowOff>90487</xdr:rowOff>
    </xdr:to>
    <xdr:graphicFrame macro="">
      <xdr:nvGraphicFramePr>
        <xdr:cNvPr id="5" name="Chart 4">
          <a:extLst>
            <a:ext uri="{FF2B5EF4-FFF2-40B4-BE49-F238E27FC236}">
              <a16:creationId xmlns:a16="http://schemas.microsoft.com/office/drawing/2014/main" id="{EA948E35-0048-8480-E302-6DE7752642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895350</xdr:colOff>
      <xdr:row>67</xdr:row>
      <xdr:rowOff>0</xdr:rowOff>
    </xdr:from>
    <xdr:to>
      <xdr:col>8</xdr:col>
      <xdr:colOff>0</xdr:colOff>
      <xdr:row>87</xdr:row>
      <xdr:rowOff>114300</xdr:rowOff>
    </xdr:to>
    <xdr:graphicFrame macro="">
      <xdr:nvGraphicFramePr>
        <xdr:cNvPr id="6" name="Chart 5">
          <a:extLst>
            <a:ext uri="{FF2B5EF4-FFF2-40B4-BE49-F238E27FC236}">
              <a16:creationId xmlns:a16="http://schemas.microsoft.com/office/drawing/2014/main" id="{181D9072-6E39-F165-1298-153B42BDA3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1019174</xdr:colOff>
      <xdr:row>19</xdr:row>
      <xdr:rowOff>0</xdr:rowOff>
    </xdr:from>
    <xdr:to>
      <xdr:col>5</xdr:col>
      <xdr:colOff>609599</xdr:colOff>
      <xdr:row>35</xdr:row>
      <xdr:rowOff>0</xdr:rowOff>
    </xdr:to>
    <xdr:graphicFrame macro="">
      <xdr:nvGraphicFramePr>
        <xdr:cNvPr id="2" name="Chart 1">
          <a:extLst>
            <a:ext uri="{FF2B5EF4-FFF2-40B4-BE49-F238E27FC236}">
              <a16:creationId xmlns:a16="http://schemas.microsoft.com/office/drawing/2014/main" id="{C90A1F2B-1F9F-9B1F-45BE-81723FBB1A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1019174</xdr:colOff>
      <xdr:row>40</xdr:row>
      <xdr:rowOff>0</xdr:rowOff>
    </xdr:from>
    <xdr:to>
      <xdr:col>5</xdr:col>
      <xdr:colOff>609599</xdr:colOff>
      <xdr:row>56</xdr:row>
      <xdr:rowOff>0</xdr:rowOff>
    </xdr:to>
    <xdr:graphicFrame macro="">
      <xdr:nvGraphicFramePr>
        <xdr:cNvPr id="3" name="Chart 2">
          <a:extLst>
            <a:ext uri="{FF2B5EF4-FFF2-40B4-BE49-F238E27FC236}">
              <a16:creationId xmlns:a16="http://schemas.microsoft.com/office/drawing/2014/main" id="{74E34037-65C9-CA85-DEAC-2C3588EF13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44</xdr:row>
      <xdr:rowOff>0</xdr:rowOff>
    </xdr:from>
    <xdr:to>
      <xdr:col>14</xdr:col>
      <xdr:colOff>247650</xdr:colOff>
      <xdr:row>60</xdr:row>
      <xdr:rowOff>0</xdr:rowOff>
    </xdr:to>
    <xdr:graphicFrame macro="">
      <xdr:nvGraphicFramePr>
        <xdr:cNvPr id="6" name="Chart 5">
          <a:extLst>
            <a:ext uri="{FF2B5EF4-FFF2-40B4-BE49-F238E27FC236}">
              <a16:creationId xmlns:a16="http://schemas.microsoft.com/office/drawing/2014/main" id="{C89D29A8-EEEA-48DE-87A1-EE328B1354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25</xdr:row>
      <xdr:rowOff>57149</xdr:rowOff>
    </xdr:from>
    <xdr:to>
      <xdr:col>8</xdr:col>
      <xdr:colOff>0</xdr:colOff>
      <xdr:row>42</xdr:row>
      <xdr:rowOff>0</xdr:rowOff>
    </xdr:to>
    <xdr:graphicFrame macro="">
      <xdr:nvGraphicFramePr>
        <xdr:cNvPr id="2" name="Chart 1">
          <a:extLst>
            <a:ext uri="{FF2B5EF4-FFF2-40B4-BE49-F238E27FC236}">
              <a16:creationId xmlns:a16="http://schemas.microsoft.com/office/drawing/2014/main" id="{6FAD10AC-CC90-12B1-8D45-345A292CF4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43</xdr:row>
      <xdr:rowOff>57149</xdr:rowOff>
    </xdr:from>
    <xdr:to>
      <xdr:col>8</xdr:col>
      <xdr:colOff>0</xdr:colOff>
      <xdr:row>60</xdr:row>
      <xdr:rowOff>0</xdr:rowOff>
    </xdr:to>
    <xdr:graphicFrame macro="">
      <xdr:nvGraphicFramePr>
        <xdr:cNvPr id="3" name="Chart 2">
          <a:extLst>
            <a:ext uri="{FF2B5EF4-FFF2-40B4-BE49-F238E27FC236}">
              <a16:creationId xmlns:a16="http://schemas.microsoft.com/office/drawing/2014/main" id="{E3282A0A-3C5B-5399-C38F-5182A62AE0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63</xdr:row>
      <xdr:rowOff>57149</xdr:rowOff>
    </xdr:from>
    <xdr:to>
      <xdr:col>7</xdr:col>
      <xdr:colOff>0</xdr:colOff>
      <xdr:row>79</xdr:row>
      <xdr:rowOff>0</xdr:rowOff>
    </xdr:to>
    <xdr:graphicFrame macro="">
      <xdr:nvGraphicFramePr>
        <xdr:cNvPr id="4" name="Chart 3">
          <a:extLst>
            <a:ext uri="{FF2B5EF4-FFF2-40B4-BE49-F238E27FC236}">
              <a16:creationId xmlns:a16="http://schemas.microsoft.com/office/drawing/2014/main" id="{A92A263C-B47E-CF5C-F552-FEDF6E0CEB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20</xdr:row>
      <xdr:rowOff>19050</xdr:rowOff>
    </xdr:from>
    <xdr:to>
      <xdr:col>6</xdr:col>
      <xdr:colOff>0</xdr:colOff>
      <xdr:row>34</xdr:row>
      <xdr:rowOff>163068</xdr:rowOff>
    </xdr:to>
    <xdr:graphicFrame macro="">
      <xdr:nvGraphicFramePr>
        <xdr:cNvPr id="2" name="Chart 1">
          <a:extLst>
            <a:ext uri="{FF2B5EF4-FFF2-40B4-BE49-F238E27FC236}">
              <a16:creationId xmlns:a16="http://schemas.microsoft.com/office/drawing/2014/main" id="{CEF81419-AED1-267E-A7BC-73E929A66A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57149</xdr:rowOff>
    </xdr:from>
    <xdr:to>
      <xdr:col>6</xdr:col>
      <xdr:colOff>0</xdr:colOff>
      <xdr:row>49</xdr:row>
      <xdr:rowOff>200024</xdr:rowOff>
    </xdr:to>
    <xdr:graphicFrame macro="">
      <xdr:nvGraphicFramePr>
        <xdr:cNvPr id="3" name="Chart 2">
          <a:extLst>
            <a:ext uri="{FF2B5EF4-FFF2-40B4-BE49-F238E27FC236}">
              <a16:creationId xmlns:a16="http://schemas.microsoft.com/office/drawing/2014/main" id="{AE23C766-E45D-17E3-FF2F-5418F7DFC6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857250</xdr:colOff>
      <xdr:row>18</xdr:row>
      <xdr:rowOff>119062</xdr:rowOff>
    </xdr:from>
    <xdr:to>
      <xdr:col>9</xdr:col>
      <xdr:colOff>0</xdr:colOff>
      <xdr:row>34</xdr:row>
      <xdr:rowOff>0</xdr:rowOff>
    </xdr:to>
    <xdr:graphicFrame macro="">
      <xdr:nvGraphicFramePr>
        <xdr:cNvPr id="2" name="Chart 1">
          <a:extLst>
            <a:ext uri="{FF2B5EF4-FFF2-40B4-BE49-F238E27FC236}">
              <a16:creationId xmlns:a16="http://schemas.microsoft.com/office/drawing/2014/main" id="{7AB7015A-13AC-A6AF-CCEF-F0C2876A0A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700086</xdr:colOff>
      <xdr:row>20</xdr:row>
      <xdr:rowOff>90486</xdr:rowOff>
    </xdr:from>
    <xdr:to>
      <xdr:col>4</xdr:col>
      <xdr:colOff>1171574</xdr:colOff>
      <xdr:row>41</xdr:row>
      <xdr:rowOff>66674</xdr:rowOff>
    </xdr:to>
    <xdr:graphicFrame macro="">
      <xdr:nvGraphicFramePr>
        <xdr:cNvPr id="2" name="Chart 1">
          <a:extLst>
            <a:ext uri="{FF2B5EF4-FFF2-40B4-BE49-F238E27FC236}">
              <a16:creationId xmlns:a16="http://schemas.microsoft.com/office/drawing/2014/main" id="{9FFB32E7-5D29-D0C7-5485-B5B02B687C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1385887</xdr:colOff>
      <xdr:row>40</xdr:row>
      <xdr:rowOff>157161</xdr:rowOff>
    </xdr:from>
    <xdr:to>
      <xdr:col>4</xdr:col>
      <xdr:colOff>895350</xdr:colOff>
      <xdr:row>59</xdr:row>
      <xdr:rowOff>28575</xdr:rowOff>
    </xdr:to>
    <xdr:graphicFrame macro="">
      <xdr:nvGraphicFramePr>
        <xdr:cNvPr id="3" name="Chart 2">
          <a:extLst>
            <a:ext uri="{FF2B5EF4-FFF2-40B4-BE49-F238E27FC236}">
              <a16:creationId xmlns:a16="http://schemas.microsoft.com/office/drawing/2014/main" id="{12C6599F-802D-A684-599A-BC84A6E34C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33337</xdr:colOff>
      <xdr:row>61</xdr:row>
      <xdr:rowOff>166687</xdr:rowOff>
    </xdr:from>
    <xdr:to>
      <xdr:col>4</xdr:col>
      <xdr:colOff>519112</xdr:colOff>
      <xdr:row>75</xdr:row>
      <xdr:rowOff>109537</xdr:rowOff>
    </xdr:to>
    <xdr:graphicFrame macro="">
      <xdr:nvGraphicFramePr>
        <xdr:cNvPr id="4" name="Chart 3">
          <a:extLst>
            <a:ext uri="{FF2B5EF4-FFF2-40B4-BE49-F238E27FC236}">
              <a16:creationId xmlns:a16="http://schemas.microsoft.com/office/drawing/2014/main" id="{B86D49D9-5710-4C34-25C1-D70BAE8E29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719135</xdr:colOff>
      <xdr:row>18</xdr:row>
      <xdr:rowOff>33336</xdr:rowOff>
    </xdr:from>
    <xdr:to>
      <xdr:col>6</xdr:col>
      <xdr:colOff>1038224</xdr:colOff>
      <xdr:row>43</xdr:row>
      <xdr:rowOff>95249</xdr:rowOff>
    </xdr:to>
    <xdr:graphicFrame macro="">
      <xdr:nvGraphicFramePr>
        <xdr:cNvPr id="2" name="Chart 1">
          <a:extLst>
            <a:ext uri="{FF2B5EF4-FFF2-40B4-BE49-F238E27FC236}">
              <a16:creationId xmlns:a16="http://schemas.microsoft.com/office/drawing/2014/main" id="{14438D1B-363E-D1B9-3184-E1D9597629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71436</xdr:colOff>
      <xdr:row>24</xdr:row>
      <xdr:rowOff>90486</xdr:rowOff>
    </xdr:from>
    <xdr:to>
      <xdr:col>18</xdr:col>
      <xdr:colOff>219074</xdr:colOff>
      <xdr:row>44</xdr:row>
      <xdr:rowOff>114300</xdr:rowOff>
    </xdr:to>
    <xdr:graphicFrame macro="">
      <xdr:nvGraphicFramePr>
        <xdr:cNvPr id="3" name="Chart 2">
          <a:extLst>
            <a:ext uri="{FF2B5EF4-FFF2-40B4-BE49-F238E27FC236}">
              <a16:creationId xmlns:a16="http://schemas.microsoft.com/office/drawing/2014/main" id="{10C51393-8731-1D4E-11B5-A35C0EBD45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1512016</xdr:colOff>
      <xdr:row>87</xdr:row>
      <xdr:rowOff>64645</xdr:rowOff>
    </xdr:from>
    <xdr:to>
      <xdr:col>13</xdr:col>
      <xdr:colOff>655616</xdr:colOff>
      <xdr:row>109</xdr:row>
      <xdr:rowOff>170733</xdr:rowOff>
    </xdr:to>
    <xdr:graphicFrame macro="">
      <xdr:nvGraphicFramePr>
        <xdr:cNvPr id="2" name="Chart 1">
          <a:extLst>
            <a:ext uri="{FF2B5EF4-FFF2-40B4-BE49-F238E27FC236}">
              <a16:creationId xmlns:a16="http://schemas.microsoft.com/office/drawing/2014/main" id="{8724DE40-B29F-465C-D9EE-0FD667FCD8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942975</xdr:colOff>
      <xdr:row>46</xdr:row>
      <xdr:rowOff>119062</xdr:rowOff>
    </xdr:from>
    <xdr:to>
      <xdr:col>6</xdr:col>
      <xdr:colOff>419100</xdr:colOff>
      <xdr:row>69</xdr:row>
      <xdr:rowOff>35242</xdr:rowOff>
    </xdr:to>
    <xdr:graphicFrame macro="">
      <xdr:nvGraphicFramePr>
        <xdr:cNvPr id="3" name="Chart 2">
          <a:extLst>
            <a:ext uri="{FF2B5EF4-FFF2-40B4-BE49-F238E27FC236}">
              <a16:creationId xmlns:a16="http://schemas.microsoft.com/office/drawing/2014/main" id="{71FFF7D4-ECDE-EE48-4A56-A4A48FCB0A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2190750</xdr:colOff>
      <xdr:row>74</xdr:row>
      <xdr:rowOff>185737</xdr:rowOff>
    </xdr:from>
    <xdr:to>
      <xdr:col>7</xdr:col>
      <xdr:colOff>161925</xdr:colOff>
      <xdr:row>97</xdr:row>
      <xdr:rowOff>101917</xdr:rowOff>
    </xdr:to>
    <xdr:graphicFrame macro="">
      <xdr:nvGraphicFramePr>
        <xdr:cNvPr id="4" name="Chart 3">
          <a:extLst>
            <a:ext uri="{FF2B5EF4-FFF2-40B4-BE49-F238E27FC236}">
              <a16:creationId xmlns:a16="http://schemas.microsoft.com/office/drawing/2014/main" id="{96985236-64A3-F554-5B66-7BF26A4D8F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195261</xdr:colOff>
      <xdr:row>20</xdr:row>
      <xdr:rowOff>176211</xdr:rowOff>
    </xdr:from>
    <xdr:to>
      <xdr:col>7</xdr:col>
      <xdr:colOff>438150</xdr:colOff>
      <xdr:row>43</xdr:row>
      <xdr:rowOff>0</xdr:rowOff>
    </xdr:to>
    <xdr:graphicFrame macro="">
      <xdr:nvGraphicFramePr>
        <xdr:cNvPr id="2" name="Chart 1">
          <a:extLst>
            <a:ext uri="{FF2B5EF4-FFF2-40B4-BE49-F238E27FC236}">
              <a16:creationId xmlns:a16="http://schemas.microsoft.com/office/drawing/2014/main" id="{64917CD8-6E1F-83B2-79E5-0CAC55B8BD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1088572</xdr:colOff>
      <xdr:row>46</xdr:row>
      <xdr:rowOff>68036</xdr:rowOff>
    </xdr:from>
    <xdr:to>
      <xdr:col>7</xdr:col>
      <xdr:colOff>489858</xdr:colOff>
      <xdr:row>62</xdr:row>
      <xdr:rowOff>180974</xdr:rowOff>
    </xdr:to>
    <xdr:graphicFrame macro="">
      <xdr:nvGraphicFramePr>
        <xdr:cNvPr id="3" name="Chart 2">
          <a:extLst>
            <a:ext uri="{FF2B5EF4-FFF2-40B4-BE49-F238E27FC236}">
              <a16:creationId xmlns:a16="http://schemas.microsoft.com/office/drawing/2014/main" id="{BA431F20-0ED5-D03B-491F-413876F0A0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32</xdr:row>
      <xdr:rowOff>0</xdr:rowOff>
    </xdr:from>
    <xdr:to>
      <xdr:col>21</xdr:col>
      <xdr:colOff>371477</xdr:colOff>
      <xdr:row>60</xdr:row>
      <xdr:rowOff>133350</xdr:rowOff>
    </xdr:to>
    <xdr:graphicFrame macro="">
      <xdr:nvGraphicFramePr>
        <xdr:cNvPr id="3" name="Chart 2">
          <a:extLst>
            <a:ext uri="{FF2B5EF4-FFF2-40B4-BE49-F238E27FC236}">
              <a16:creationId xmlns:a16="http://schemas.microsoft.com/office/drawing/2014/main" id="{C94D65E2-E77D-4E4F-BD88-FAEA2D9D9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06.463252083333" createdVersion="8" refreshedVersion="8" minRefreshableVersion="3" recordCount="6" xr:uid="{89F73A5E-A159-4874-9FE4-7E6A63F4AFD5}">
  <cacheSource type="worksheet">
    <worksheetSource name="C_R_Burg"/>
  </cacheSource>
  <cacheFields count="58">
    <cacheField name="Case Number" numFmtId="0">
      <sharedItems/>
    </cacheField>
    <cacheField name="INC_Date" numFmtId="165">
      <sharedItems containsSemiMixedTypes="0" containsNonDate="0" containsDate="1" containsString="0" minDate="2025-01-16T00:00:00" maxDate="2025-02-18T00:00:00" count="5">
        <d v="2025-01-16T00:00:00"/>
        <d v="2025-01-25T00:00:00"/>
        <d v="2025-01-31T00:00:00"/>
        <d v="2025-02-05T00:00:00"/>
        <d v="2025-02-17T00:00:00"/>
      </sharedItems>
    </cacheField>
    <cacheField name="Year" numFmtId="0">
      <sharedItems containsSemiMixedTypes="0" containsString="0" containsNumber="1" containsInteger="1" minValue="2025" maxValue="2025"/>
    </cacheField>
    <cacheField name="Month Name" numFmtId="0">
      <sharedItems/>
    </cacheField>
    <cacheField name="Quarter" numFmtId="166">
      <sharedItems containsSemiMixedTypes="0" containsString="0" containsNumber="1" containsInteger="1" minValue="1" maxValue="1"/>
    </cacheField>
    <cacheField name="Week of Year" numFmtId="166">
      <sharedItems containsSemiMixedTypes="0" containsString="0" containsNumber="1" containsInteger="1" minValue="3" maxValue="8"/>
    </cacheField>
    <cacheField name="Week of Month" numFmtId="166">
      <sharedItems containsSemiMixedTypes="0" containsString="0" containsNumber="1" containsInteger="1" minValue="2" maxValue="5"/>
    </cacheField>
    <cacheField name="Day Name" numFmtId="0">
      <sharedItems count="5">
        <s v="Thursday"/>
        <s v="Saturday"/>
        <s v="Friday"/>
        <s v="Wednesday"/>
        <s v="Monday"/>
      </sharedItems>
    </cacheField>
    <cacheField name="Day of Year" numFmtId="167">
      <sharedItems containsSemiMixedTypes="0" containsString="0" containsNumber="1" containsInteger="1" minValue="16" maxValue="48"/>
    </cacheField>
    <cacheField name="Day" numFmtId="166">
      <sharedItems containsSemiMixedTypes="0" containsString="0" containsNumber="1" containsInteger="1" minValue="5" maxValue="31"/>
    </cacheField>
    <cacheField name="Start of Hour" numFmtId="169">
      <sharedItems containsSemiMixedTypes="0" containsNonDate="0" containsDate="1" containsString="0" minDate="1899-12-30T02:00:00" maxDate="1899-12-30T20:00:00" count="4">
        <d v="1899-12-30T12:00:00"/>
        <d v="1899-12-30T20:00:00"/>
        <d v="1899-12-30T11:00:00"/>
        <d v="1899-12-30T02:00:00"/>
      </sharedItems>
      <fieldGroup par="57"/>
    </cacheField>
    <cacheField name="INC_Time" numFmtId="169">
      <sharedItems containsSemiMixedTypes="0" containsNonDate="0" containsDate="1" containsString="0" minDate="1899-12-30T02:57:00" maxDate="1899-12-30T20:00:00"/>
    </cacheField>
    <cacheField name="Target_Incidents" numFmtId="0">
      <sharedItems/>
    </cacheField>
    <cacheField name="Incident Type_1" numFmtId="0">
      <sharedItems/>
    </cacheField>
    <cacheField name="Incident Type_2" numFmtId="0">
      <sharedItems/>
    </cacheField>
    <cacheField name="Incident Type_3" numFmtId="0">
      <sharedItems/>
    </cacheField>
    <cacheField name="All_Incident_Types" numFmtId="0">
      <sharedItems/>
    </cacheField>
    <cacheField name="Block" numFmtId="0">
      <sharedItems/>
    </cacheField>
    <cacheField name="Location" numFmtId="0">
      <sharedItems/>
    </cacheField>
    <cacheField name="FullAddress" numFmtId="0">
      <sharedItems/>
    </cacheField>
    <cacheField name="Grid" numFmtId="0">
      <sharedItems/>
    </cacheField>
    <cacheField name="Zone" numFmtId="0">
      <sharedItems containsSemiMixedTypes="0" containsString="0" containsNumber="1" containsInteger="1" minValue="5" maxValue="9"/>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VEHICLE1" numFmtId="0">
      <sharedItems containsNonDate="0" containsString="0" containsBlank="1"/>
    </cacheField>
    <cacheField name="VEHICLE2" numFmtId="0">
      <sharedItems containsNonDate="0" containsString="0" containsBlank="1"/>
    </cacheField>
    <cacheField name="Registration 1" numFmtId="0">
      <sharedItems containsNonDate="0" containsString="0" containsBlank="1"/>
    </cacheField>
    <cacheField name="Make1" numFmtId="0">
      <sharedItems containsNonDate="0" containsString="0" containsBlank="1"/>
    </cacheField>
    <cacheField name="Model1" numFmtId="0">
      <sharedItems containsNonDate="0" containsString="0" containsBlank="1"/>
    </cacheField>
    <cacheField name="Reg State 1" numFmtId="0">
      <sharedItems containsNonDate="0" containsString="0" containsBlank="1"/>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ontainsBlank="1"/>
    </cacheField>
    <cacheField name="Case_Status" numFmtId="0">
      <sharedItems containsBlank="1"/>
    </cacheField>
    <cacheField name="NIBRS Classification" numFmtId="0">
      <sharedItems containsBlank="1"/>
    </cacheField>
    <cacheField name="OCA_Length" numFmtId="0">
      <sharedItems containsSemiMixedTypes="0" containsString="0" containsNumber="1" containsInteger="1" minValue="9" maxValue="9"/>
    </cacheField>
    <cacheField name="INC_Date_and_Time" numFmtId="168">
      <sharedItems containsSemiMixedTypes="0" containsNonDate="0" containsDate="1" containsString="0" minDate="2025-01-16T12:00:00" maxDate="2025-02-17T12:35:00"/>
    </cacheField>
    <cacheField name="Narrative - Copy" numFmtId="0">
      <sharedItems longText="1"/>
    </cacheField>
    <cacheField name="Text Before Delimiter" numFmtId="0">
      <sharedItems containsSemiMixedTypes="0" containsString="0" containsNumber="1" containsInteger="1" minValue="30" maxValue="441"/>
    </cacheField>
    <cacheField name="Incident Date" numFmtId="165">
      <sharedItems containsSemiMixedTypes="0" containsNonDate="0" containsDate="1" containsString="0" minDate="2025-01-16T00:00:00" maxDate="2025-02-18T00:00:00"/>
    </cacheField>
    <cacheField name="Incident Time" numFmtId="169">
      <sharedItems containsSemiMixedTypes="0" containsNonDate="0" containsDate="1" containsString="0" minDate="1899-12-30T02:57:00" maxDate="1899-12-30T20:00:00"/>
    </cacheField>
    <cacheField name="Incident Date_Between" numFmtId="14">
      <sharedItems containsNonDate="0" containsDate="1" containsString="0" containsBlank="1" minDate="2025-01-16T00:00:00" maxDate="2025-01-26T00:00:00"/>
    </cacheField>
    <cacheField name="Incident Time_Between" numFmtId="164">
      <sharedItems containsNonDate="0" containsDate="1" containsString="0" containsBlank="1" minDate="1899-12-30T14:00:00" maxDate="1899-12-30T18:00:00"/>
    </cacheField>
    <cacheField name="Report Date" numFmtId="14">
      <sharedItems containsSemiMixedTypes="0" containsNonDate="0" containsDate="1" containsString="0" minDate="2025-01-16T00:00:00" maxDate="2025-02-18T00:00:00"/>
    </cacheField>
    <cacheField name="Report Time" numFmtId="164">
      <sharedItems containsSemiMixedTypes="0" containsNonDate="0" containsDate="1" containsString="0" minDate="1899-12-30T02:09:41" maxDate="1899-12-30T19:34:52"/>
    </cacheField>
    <cacheField name="SEASON" numFmtId="0">
      <sharedItems/>
    </cacheField>
    <cacheField name="TIMEOFDAY" numFmtId="0">
      <sharedItems/>
    </cacheField>
    <cacheField name="CYCLE" numFmtId="0">
      <sharedItems/>
    </cacheField>
    <cacheField name="DUE_DATE" numFmtId="165">
      <sharedItems containsSemiMixedTypes="0" containsNonDate="0" containsDate="1" containsString="0" minDate="2025-01-21T00:00:00" maxDate="2025-02-19T00:00:00" count="5">
        <d v="2025-01-21T00:00:00"/>
        <d v="2025-01-28T00:00:00"/>
        <d v="2025-02-04T00:00:00"/>
        <d v="2025-02-11T00:00:00"/>
        <d v="2025-02-18T00:00:00"/>
      </sharedItems>
    </cacheField>
    <cacheField name="Logic" numFmtId="0">
      <sharedItems/>
    </cacheField>
    <cacheField name="Hours (Start of Hour)" numFmtId="0" databaseField="0">
      <fieldGroup base="10">
        <rangePr groupBy="hours" startDate="1899-12-30T02:00:00" endDate="1899-12-30T20:00:00"/>
        <groupItems count="26">
          <s v="&lt;1/0/1900"/>
          <s v="12 AM"/>
          <s v="1 AM"/>
          <s v="2 AM"/>
          <s v="3 AM"/>
          <s v="4 AM"/>
          <s v="5 AM"/>
          <s v="6 AM"/>
          <s v="7 AM"/>
          <s v="8 AM"/>
          <s v="9 AM"/>
          <s v="10 AM"/>
          <s v="11 AM"/>
          <s v="12 PM"/>
          <s v="1 PM"/>
          <s v="2 PM"/>
          <s v="3 PM"/>
          <s v="4 PM"/>
          <s v="5 PM"/>
          <s v="6 PM"/>
          <s v="7 PM"/>
          <s v="8 PM"/>
          <s v="9 PM"/>
          <s v="10 PM"/>
          <s v="11 PM"/>
          <s v="&gt;1/0/1900"/>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06.463252546295" createdVersion="8" refreshedVersion="8" minRefreshableVersion="3" recordCount="5" xr:uid="{63D6BD9E-6884-4B93-839C-35AD389F306E}">
  <cacheSource type="worksheet">
    <worksheetSource name="_7"/>
  </cacheSource>
  <cacheFields count="56">
    <cacheField name="Case Number" numFmtId="0">
      <sharedItems/>
    </cacheField>
    <cacheField name="INC_Date" numFmtId="165">
      <sharedItems containsSemiMixedTypes="0" containsNonDate="0" containsDate="1" containsString="0" minDate="2025-01-06T00:00:00" maxDate="2025-02-18T00:00:00" count="4">
        <d v="2025-01-06T00:00:00"/>
        <d v="2025-01-07T00:00:00"/>
        <d v="2025-01-16T00:00:00"/>
        <d v="2025-02-17T00:00:00"/>
      </sharedItems>
    </cacheField>
    <cacheField name="Year" numFmtId="0">
      <sharedItems containsSemiMixedTypes="0" containsString="0" containsNumber="1" containsInteger="1" minValue="2025" maxValue="2025"/>
    </cacheField>
    <cacheField name="Month Name" numFmtId="0">
      <sharedItems/>
    </cacheField>
    <cacheField name="Quarter" numFmtId="166">
      <sharedItems containsSemiMixedTypes="0" containsString="0" containsNumber="1" containsInteger="1" minValue="1" maxValue="1"/>
    </cacheField>
    <cacheField name="Week of Year" numFmtId="166">
      <sharedItems containsSemiMixedTypes="0" containsString="0" containsNumber="1" containsInteger="1" minValue="2" maxValue="8"/>
    </cacheField>
    <cacheField name="Week of Month" numFmtId="166">
      <sharedItems containsSemiMixedTypes="0" containsString="0" containsNumber="1" containsInteger="1" minValue="2" maxValue="4"/>
    </cacheField>
    <cacheField name="Day Name" numFmtId="0">
      <sharedItems count="3">
        <s v="Monday"/>
        <s v="Tuesday"/>
        <s v="Thursday"/>
      </sharedItems>
    </cacheField>
    <cacheField name="Day of Year" numFmtId="167">
      <sharedItems containsSemiMixedTypes="0" containsString="0" containsNumber="1" containsInteger="1" minValue="6" maxValue="48"/>
    </cacheField>
    <cacheField name="Day" numFmtId="166">
      <sharedItems containsSemiMixedTypes="0" containsString="0" containsNumber="1" containsInteger="1" minValue="6" maxValue="17"/>
    </cacheField>
    <cacheField name="Start of Hour" numFmtId="169">
      <sharedItems containsSemiMixedTypes="0" containsNonDate="0" containsDate="1" containsString="0" minDate="1899-12-30T08:00:00" maxDate="1899-12-30T15:00:00"/>
    </cacheField>
    <cacheField name="INC_Time" numFmtId="164">
      <sharedItems containsSemiMixedTypes="0" containsNonDate="0" containsDate="1" containsString="0" minDate="1899-12-30T08:22:14" maxDate="1899-12-30T15:30:00"/>
    </cacheField>
    <cacheField name="Target_Incidents" numFmtId="0">
      <sharedItems/>
    </cacheField>
    <cacheField name="Incident Type_1" numFmtId="0">
      <sharedItems/>
    </cacheField>
    <cacheField name="Incident Type_2" numFmtId="0">
      <sharedItems/>
    </cacheField>
    <cacheField name="Incident Type_3" numFmtId="0">
      <sharedItems/>
    </cacheField>
    <cacheField name="All_Incident_Types" numFmtId="0">
      <sharedItems count="5">
        <s v="Burglary - Auto"/>
        <s v="Criminal Sexual Contact, Juvenile Investigation"/>
        <s v="Burglary - Residence"/>
        <s v="Motor Vehicle Theft, Recovered Stolen Vehicle"/>
        <s v="Motor Vehicle Theft"/>
      </sharedItems>
    </cacheField>
    <cacheField name="Block" numFmtId="0">
      <sharedItems/>
    </cacheField>
    <cacheField name="Location" numFmtId="0">
      <sharedItems/>
    </cacheField>
    <cacheField name="FullAddress" numFmtId="0">
      <sharedItems/>
    </cacheField>
    <cacheField name="Grid" numFmtId="0">
      <sharedItems containsBlank="1"/>
    </cacheField>
    <cacheField name="Zone" numFmtId="0">
      <sharedItems containsSemiMixedTypes="0" containsString="0" containsNumber="1" containsInteger="1" minValue="7" maxValue="7"/>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VEHICLE1" numFmtId="0">
      <sharedItems containsBlank="1"/>
    </cacheField>
    <cacheField name="VEHICLE2" numFmtId="0">
      <sharedItems containsNonDate="0" containsString="0" containsBlank="1"/>
    </cacheField>
    <cacheField name="Registration 1" numFmtId="0">
      <sharedItems containsBlank="1"/>
    </cacheField>
    <cacheField name="Make1" numFmtId="0">
      <sharedItems containsBlank="1"/>
    </cacheField>
    <cacheField name="Model1" numFmtId="0">
      <sharedItems containsBlank="1"/>
    </cacheField>
    <cacheField name="Reg State 1" numFmtId="0">
      <sharedItems containsBlank="1"/>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acheField>
    <cacheField name="Case_Status" numFmtId="0">
      <sharedItems/>
    </cacheField>
    <cacheField name="NIBRS Classification" numFmtId="0">
      <sharedItems containsBlank="1"/>
    </cacheField>
    <cacheField name="OCA_Length" numFmtId="0">
      <sharedItems containsSemiMixedTypes="0" containsString="0" containsNumber="1" containsInteger="1" minValue="9" maxValue="9"/>
    </cacheField>
    <cacheField name="INC_Date_and_Time" numFmtId="168">
      <sharedItems containsSemiMixedTypes="0" containsNonDate="0" containsDate="1" containsString="0" minDate="2025-01-06T15:30:00" maxDate="2025-02-17T09:31:00"/>
    </cacheField>
    <cacheField name="Narrative - Copy" numFmtId="0">
      <sharedItems longText="1"/>
    </cacheField>
    <cacheField name="Text Before Delimiter" numFmtId="0">
      <sharedItems containsSemiMixedTypes="0" containsString="0" containsNumber="1" containsInteger="1" minValue="30" maxValue="135"/>
    </cacheField>
    <cacheField name="Incident Date" numFmtId="165">
      <sharedItems containsSemiMixedTypes="0" containsNonDate="0" containsDate="1" containsString="0" minDate="2025-01-06T00:00:00" maxDate="2025-02-18T00:00:00"/>
    </cacheField>
    <cacheField name="Incident Time" numFmtId="169">
      <sharedItems containsSemiMixedTypes="0" containsNonDate="0" containsDate="1" containsString="0" minDate="1899-12-30T08:22:14" maxDate="1899-12-30T15:30:00"/>
    </cacheField>
    <cacheField name="Incident Date_Between" numFmtId="14">
      <sharedItems containsNonDate="0" containsDate="1" containsString="0" containsBlank="1" minDate="2025-01-10T00:00:00" maxDate="2025-01-17T00:00:00"/>
    </cacheField>
    <cacheField name="Incident Time_Between" numFmtId="164">
      <sharedItems containsNonDate="0" containsDate="1" containsString="0" containsBlank="1" minDate="1899-12-30T18:00:00" maxDate="1899-12-30T18:00:00"/>
    </cacheField>
    <cacheField name="Report Date" numFmtId="14">
      <sharedItems containsSemiMixedTypes="0" containsNonDate="0" containsDate="1" containsString="0" minDate="2025-01-10T00:00:00" maxDate="2025-02-18T00:00:00"/>
    </cacheField>
    <cacheField name="Report Time" numFmtId="164">
      <sharedItems containsSemiMixedTypes="0" containsNonDate="0" containsDate="1" containsString="0" minDate="1899-12-30T08:22:14" maxDate="1899-12-30T19:49:52"/>
    </cacheField>
    <cacheField name="SEASON" numFmtId="0">
      <sharedItems/>
    </cacheField>
    <cacheField name="TIMEOFDAY" numFmtId="0">
      <sharedItems/>
    </cacheField>
    <cacheField name="CYCLE" numFmtId="0">
      <sharedItems/>
    </cacheField>
    <cacheField name="DUE_DATE" numFmtId="165">
      <sharedItems containsSemiMixedTypes="0" containsNonDate="0" containsDate="1" containsString="0" minDate="2025-01-07T00:00:00" maxDate="2025-02-19T00:0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06.463252893518" createdVersion="8" refreshedVersion="8" minRefreshableVersion="3" recordCount="9" xr:uid="{75C8E9E2-4B4D-4D28-A322-148D7AFA546A}">
  <cacheSource type="worksheet">
    <worksheetSource name="_9"/>
  </cacheSource>
  <cacheFields count="56">
    <cacheField name="Case Number" numFmtId="0">
      <sharedItems/>
    </cacheField>
    <cacheField name="INC_Date" numFmtId="165">
      <sharedItems containsSemiMixedTypes="0" containsNonDate="0" containsDate="1" containsString="0" minDate="2025-01-03T00:00:00" maxDate="2025-02-18T00:00:00" count="21">
        <d v="2025-01-03T00:00:00"/>
        <d v="2025-01-14T00:00:00"/>
        <d v="2025-01-16T00:00:00"/>
        <d v="2025-01-21T00:00:00"/>
        <d v="2025-01-26T00:00:00"/>
        <d v="2025-02-03T00:00:00"/>
        <d v="2025-02-13T00:00:00"/>
        <d v="2025-02-17T00:00:00"/>
        <d v="2025-01-06T00:00:00" u="1"/>
        <d v="2025-01-07T00:00:00" u="1"/>
        <d v="2025-01-13T00:00:00" u="1"/>
        <d v="2025-01-15T00:00:00" u="1"/>
        <d v="2025-01-22T00:00:00" u="1"/>
        <d v="2025-01-23T00:00:00" u="1"/>
        <d v="2025-01-25T00:00:00" u="1"/>
        <d v="2025-01-28T00:00:00" u="1"/>
        <d v="2025-01-31T00:00:00" u="1"/>
        <d v="2025-02-01T00:00:00" u="1"/>
        <d v="2025-02-02T00:00:00" u="1"/>
        <d v="2025-02-05T00:00:00" u="1"/>
        <d v="2025-02-07T00:00:00" u="1"/>
      </sharedItems>
    </cacheField>
    <cacheField name="Year" numFmtId="0">
      <sharedItems containsSemiMixedTypes="0" containsString="0" containsNumber="1" containsInteger="1" minValue="2025" maxValue="2025"/>
    </cacheField>
    <cacheField name="Month Name" numFmtId="0">
      <sharedItems/>
    </cacheField>
    <cacheField name="Quarter" numFmtId="166">
      <sharedItems containsSemiMixedTypes="0" containsString="0" containsNumber="1" containsInteger="1" minValue="1" maxValue="1"/>
    </cacheField>
    <cacheField name="Week of Year" numFmtId="166">
      <sharedItems containsSemiMixedTypes="0" containsString="0" containsNumber="1" containsInteger="1" minValue="1" maxValue="8"/>
    </cacheField>
    <cacheField name="Week of Month" numFmtId="166">
      <sharedItems containsSemiMixedTypes="0" containsString="0" containsNumber="1" containsInteger="1" minValue="1" maxValue="5"/>
    </cacheField>
    <cacheField name="Day Name" numFmtId="0">
      <sharedItems/>
    </cacheField>
    <cacheField name="Day of Year" numFmtId="167">
      <sharedItems containsSemiMixedTypes="0" containsString="0" containsNumber="1" containsInteger="1" minValue="3" maxValue="48"/>
    </cacheField>
    <cacheField name="Day" numFmtId="166">
      <sharedItems containsSemiMixedTypes="0" containsString="0" containsNumber="1" containsInteger="1" minValue="3" maxValue="26"/>
    </cacheField>
    <cacheField name="Start of Hour" numFmtId="169">
      <sharedItems containsSemiMixedTypes="0" containsNonDate="0" containsDate="1" containsString="0" minDate="1899-12-30T02:00:00" maxDate="1899-12-30T21:00:00"/>
    </cacheField>
    <cacheField name="INC_Time" numFmtId="164">
      <sharedItems containsSemiMixedTypes="0" containsNonDate="0" containsDate="1" containsString="0" minDate="1899-12-30T02:00:00" maxDate="1899-12-30T21:30:00"/>
    </cacheField>
    <cacheField name="Target_Incidents" numFmtId="0">
      <sharedItems count="5">
        <s v="Motor Vehicle Theft"/>
        <s v="Robbery"/>
        <s v="Burglary - Residence"/>
        <s v="Burglary - Auto"/>
        <s v="Burglary - Commercial"/>
      </sharedItems>
    </cacheField>
    <cacheField name="Incident Type_1" numFmtId="0">
      <sharedItems/>
    </cacheField>
    <cacheField name="Incident Type_2" numFmtId="0">
      <sharedItems/>
    </cacheField>
    <cacheField name="Incident Type_3" numFmtId="0">
      <sharedItems/>
    </cacheField>
    <cacheField name="All_Incident_Types" numFmtId="0">
      <sharedItems/>
    </cacheField>
    <cacheField name="Block" numFmtId="0">
      <sharedItems count="24">
        <s v="Lookout Ave, 300 Block"/>
        <s v="Hackensack Ave, 400 Block"/>
        <s v="Main St, 800 Block"/>
        <s v="Main St, 600 Block"/>
        <s v="Ross Ave, 0 Block"/>
        <s v="Pangborn Pl, 0 Block"/>
        <s v="Christopher Columbus Drive, Jersey City, NJ 07302, 100 Block"/>
        <s v="Prospect Ave, 0 Block" u="1"/>
        <s v="First St, 100 Block" u="1"/>
        <s v="Clay St, 200 Block" u="1"/>
        <s v="First St, 200 Block" u="1"/>
        <s v="Second St, 0 Block" u="1"/>
        <s v="Hudson St, 400 Block" u="1"/>
        <s v="Berdan Pl, 100 Block" u="1"/>
        <s v="Kansas St, 0 Block" u="1"/>
        <s v="Stanley Pl, 200 Block" u="1"/>
        <s v="Essex St, 100 Block" u="1"/>
        <s v="The Esplanade, 200 Block" u="1"/>
        <s v="Hudson St, 500 Block" u="1"/>
        <s v="Sutton Ave, 400 Block" u="1"/>
        <s v="Hudson St, 100 Block" u="1"/>
        <s v="Midtown Bridge Approach, 0 Block" u="1"/>
        <s v="Passaic St, 400 Block" u="1"/>
        <s v=" Berdan Pl, 100 Block" u="1"/>
      </sharedItems>
    </cacheField>
    <cacheField name="Location" numFmtId="0">
      <sharedItems/>
    </cacheField>
    <cacheField name="FullAddress" numFmtId="0">
      <sharedItems/>
    </cacheField>
    <cacheField name="Grid" numFmtId="0">
      <sharedItems/>
    </cacheField>
    <cacheField name="Zone" numFmtId="0">
      <sharedItems containsSemiMixedTypes="0" containsString="0" containsNumber="1" containsInteger="1" minValue="9" maxValue="9"/>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VEHICLE1" numFmtId="0">
      <sharedItems containsBlank="1"/>
    </cacheField>
    <cacheField name="VEHICLE2" numFmtId="0">
      <sharedItems containsNonDate="0" containsString="0" containsBlank="1"/>
    </cacheField>
    <cacheField name="Registration 1" numFmtId="0">
      <sharedItems containsBlank="1"/>
    </cacheField>
    <cacheField name="Make1" numFmtId="0">
      <sharedItems containsBlank="1"/>
    </cacheField>
    <cacheField name="Model1" numFmtId="0">
      <sharedItems containsBlank="1"/>
    </cacheField>
    <cacheField name="Reg State 1" numFmtId="0">
      <sharedItems containsBlank="1"/>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acheField>
    <cacheField name="Case_Status" numFmtId="0">
      <sharedItems/>
    </cacheField>
    <cacheField name="NIBRS Classification" numFmtId="0">
      <sharedItems containsBlank="1"/>
    </cacheField>
    <cacheField name="OCA_Length" numFmtId="0">
      <sharedItems containsSemiMixedTypes="0" containsString="0" containsNumber="1" containsInteger="1" minValue="9" maxValue="9"/>
    </cacheField>
    <cacheField name="INC_Date_and_Time" numFmtId="168">
      <sharedItems containsSemiMixedTypes="0" containsNonDate="0" containsDate="1" containsString="0" minDate="2025-01-03T21:30:00" maxDate="2025-02-17T12:35:00"/>
    </cacheField>
    <cacheField name="Narrative - Copy" numFmtId="0">
      <sharedItems longText="1"/>
    </cacheField>
    <cacheField name="Text Before Delimiter" numFmtId="0">
      <sharedItems containsSemiMixedTypes="0" containsString="0" containsNumber="1" containsInteger="1" minValue="5" maxValue="895"/>
    </cacheField>
    <cacheField name="Incident Date" numFmtId="165">
      <sharedItems containsNonDate="0" containsDate="1" containsString="0" containsBlank="1" minDate="2025-01-03T00:00:00" maxDate="2025-02-18T00:00:00"/>
    </cacheField>
    <cacheField name="Incident Time" numFmtId="169">
      <sharedItems containsNonDate="0" containsDate="1" containsString="0" containsBlank="1" minDate="1899-12-30T02:00:00" maxDate="1899-12-30T21:30:00"/>
    </cacheField>
    <cacheField name="Incident Date_Between" numFmtId="14">
      <sharedItems containsNonDate="0" containsDate="1" containsString="0" containsBlank="1" minDate="2025-01-04T00:00:00" maxDate="2025-01-27T00:00:00"/>
    </cacheField>
    <cacheField name="Incident Time_Between" numFmtId="164">
      <sharedItems containsNonDate="0" containsDate="1" containsString="0" containsBlank="1" minDate="1899-12-30T03:09:00" maxDate="1899-12-30T21:16:00"/>
    </cacheField>
    <cacheField name="Report Date" numFmtId="14">
      <sharedItems containsSemiMixedTypes="0" containsNonDate="0" containsDate="1" containsString="0" minDate="2025-01-04T00:00:00" maxDate="2025-02-18T00:00:00"/>
    </cacheField>
    <cacheField name="Report Time" numFmtId="164">
      <sharedItems containsSemiMixedTypes="0" containsNonDate="0" containsDate="1" containsString="0" minDate="1899-12-30T03:10:53" maxDate="1899-12-30T20:24:08"/>
    </cacheField>
    <cacheField name="SEASON" numFmtId="0">
      <sharedItems/>
    </cacheField>
    <cacheField name="TIMEOFDAY" numFmtId="0">
      <sharedItems/>
    </cacheField>
    <cacheField name="CYCLE" numFmtId="0">
      <sharedItems/>
    </cacheField>
    <cacheField name="DUE_DATE" numFmtId="165">
      <sharedItems containsSemiMixedTypes="0" containsNonDate="0" containsDate="1" containsString="0" minDate="2025-01-07T00:00:00" maxDate="2025-02-19T00:00:0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06.463253472219" createdVersion="8" refreshedVersion="8" minRefreshableVersion="3" recordCount="7" xr:uid="{F295E579-737F-4F30-B900-092336553DFD}">
  <cacheSource type="worksheet">
    <worksheetSource name="_8"/>
  </cacheSource>
  <cacheFields count="56">
    <cacheField name="Case Number" numFmtId="0">
      <sharedItems/>
    </cacheField>
    <cacheField name="INC_Date" numFmtId="165">
      <sharedItems containsSemiMixedTypes="0" containsNonDate="0" containsDate="1" containsString="0" minDate="2025-01-13T00:00:00" maxDate="2025-02-06T00:00:00" count="7">
        <d v="2025-01-13T00:00:00"/>
        <d v="2025-01-15T00:00:00"/>
        <d v="2025-01-23T00:00:00"/>
        <d v="2025-01-25T00:00:00"/>
        <d v="2025-01-31T00:00:00"/>
        <d v="2025-02-03T00:00:00"/>
        <d v="2025-02-05T00:00:00"/>
      </sharedItems>
    </cacheField>
    <cacheField name="Year" numFmtId="0">
      <sharedItems containsSemiMixedTypes="0" containsString="0" containsNumber="1" containsInteger="1" minValue="2025" maxValue="2025"/>
    </cacheField>
    <cacheField name="Month Name" numFmtId="0">
      <sharedItems/>
    </cacheField>
    <cacheField name="Quarter" numFmtId="166">
      <sharedItems containsSemiMixedTypes="0" containsString="0" containsNumber="1" containsInteger="1" minValue="1" maxValue="1"/>
    </cacheField>
    <cacheField name="Week of Year" numFmtId="166">
      <sharedItems containsSemiMixedTypes="0" containsString="0" containsNumber="1" containsInteger="1" minValue="3" maxValue="6"/>
    </cacheField>
    <cacheField name="Week of Month" numFmtId="166">
      <sharedItems containsSemiMixedTypes="0" containsString="0" containsNumber="1" containsInteger="1" minValue="2" maxValue="5"/>
    </cacheField>
    <cacheField name="Day Name" numFmtId="0">
      <sharedItems/>
    </cacheField>
    <cacheField name="Day of Year" numFmtId="167">
      <sharedItems containsSemiMixedTypes="0" containsString="0" containsNumber="1" containsInteger="1" minValue="13" maxValue="36"/>
    </cacheField>
    <cacheField name="Day" numFmtId="166">
      <sharedItems containsSemiMixedTypes="0" containsString="0" containsNumber="1" containsInteger="1" minValue="3" maxValue="31"/>
    </cacheField>
    <cacheField name="Start of Hour" numFmtId="169">
      <sharedItems containsSemiMixedTypes="0" containsNonDate="0" containsDate="1" containsString="0" minDate="1899-12-30T02:00:00" maxDate="1899-12-30T18:00:00"/>
    </cacheField>
    <cacheField name="INC_Time" numFmtId="164">
      <sharedItems containsSemiMixedTypes="0" containsNonDate="0" containsDate="1" containsString="0" minDate="1899-12-30T02:57:00" maxDate="1899-12-30T18:30:00"/>
    </cacheField>
    <cacheField name="Target_Incidents" numFmtId="0">
      <sharedItems count="6">
        <s v="Robbery"/>
        <s v="Motor Vehicle Theft"/>
        <s v="Sexual Assault"/>
        <s v="Burglary - Auto"/>
        <s v="Burglary - Residence"/>
        <s v="Burglary - Commercial"/>
      </sharedItems>
    </cacheField>
    <cacheField name="Incident Type_1" numFmtId="0">
      <sharedItems/>
    </cacheField>
    <cacheField name="Incident Type_2" numFmtId="0">
      <sharedItems/>
    </cacheField>
    <cacheField name="Incident Type_3" numFmtId="0">
      <sharedItems/>
    </cacheField>
    <cacheField name="All_Incident_Types" numFmtId="0">
      <sharedItems/>
    </cacheField>
    <cacheField name="Block" numFmtId="0">
      <sharedItems count="7">
        <s v="Clay St, 200 Block"/>
        <s v="First St, 200 Block"/>
        <s v="Berdan Pl, 100 Block"/>
        <s v="Stanley Pl, 200 Block"/>
        <s v="The Esplanade, 200 Block"/>
        <s v="Midtown Bridge Approach, 0 Block"/>
        <s v="Passaic St, 400 Block"/>
      </sharedItems>
    </cacheField>
    <cacheField name="Location" numFmtId="0">
      <sharedItems/>
    </cacheField>
    <cacheField name="FullAddress" numFmtId="0">
      <sharedItems/>
    </cacheField>
    <cacheField name="Grid" numFmtId="0">
      <sharedItems/>
    </cacheField>
    <cacheField name="Zone" numFmtId="0">
      <sharedItems containsSemiMixedTypes="0" containsString="0" containsNumber="1" containsInteger="1" minValue="8" maxValue="8"/>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VEHICLE1" numFmtId="0">
      <sharedItems containsBlank="1"/>
    </cacheField>
    <cacheField name="VEHICLE2" numFmtId="0">
      <sharedItems containsNonDate="0" containsString="0" containsBlank="1"/>
    </cacheField>
    <cacheField name="Registration 1" numFmtId="0">
      <sharedItems containsBlank="1"/>
    </cacheField>
    <cacheField name="Make1" numFmtId="0">
      <sharedItems containsBlank="1"/>
    </cacheField>
    <cacheField name="Model1" numFmtId="0">
      <sharedItems containsBlank="1"/>
    </cacheField>
    <cacheField name="Reg State 1" numFmtId="0">
      <sharedItems containsBlank="1"/>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acheField>
    <cacheField name="Case_Status" numFmtId="0">
      <sharedItems/>
    </cacheField>
    <cacheField name="NIBRS Classification" numFmtId="0">
      <sharedItems containsBlank="1"/>
    </cacheField>
    <cacheField name="OCA_Length" numFmtId="0">
      <sharedItems containsSemiMixedTypes="0" containsString="0" containsNumber="1" containsInteger="1" minValue="9" maxValue="9"/>
    </cacheField>
    <cacheField name="INC_Date_and_Time" numFmtId="168">
      <sharedItems containsSemiMixedTypes="0" containsNonDate="0" containsDate="1" containsString="0" minDate="2025-01-13T12:05:00" maxDate="2025-02-05T02:57:00"/>
    </cacheField>
    <cacheField name="Narrative - Copy" numFmtId="0">
      <sharedItems longText="1"/>
    </cacheField>
    <cacheField name="Text Before Delimiter" numFmtId="0">
      <sharedItems containsSemiMixedTypes="0" containsString="0" containsNumber="1" containsInteger="1" minValue="55" maxValue="441"/>
    </cacheField>
    <cacheField name="Incident Date" numFmtId="165">
      <sharedItems containsSemiMixedTypes="0" containsNonDate="0" containsDate="1" containsString="0" minDate="2025-01-13T00:00:00" maxDate="2025-02-06T00:00:00"/>
    </cacheField>
    <cacheField name="Incident Time" numFmtId="169">
      <sharedItems containsSemiMixedTypes="0" containsNonDate="0" containsDate="1" containsString="0" minDate="1899-12-30T02:57:00" maxDate="1899-12-30T18:30:00"/>
    </cacheField>
    <cacheField name="Incident Date_Between" numFmtId="14">
      <sharedItems containsNonDate="0" containsDate="1" containsString="0" containsBlank="1" minDate="2025-02-04T00:00:00" maxDate="2025-02-05T00:00:00"/>
    </cacheField>
    <cacheField name="Incident Time_Between" numFmtId="164">
      <sharedItems containsNonDate="0" containsDate="1" containsString="0" containsBlank="1" minDate="1899-12-30T19:00:00" maxDate="1899-12-30T19:00:00"/>
    </cacheField>
    <cacheField name="Report Date" numFmtId="14">
      <sharedItems containsSemiMixedTypes="0" containsNonDate="0" containsDate="1" containsString="0" minDate="2025-01-13T00:00:00" maxDate="2025-02-06T00:00:00"/>
    </cacheField>
    <cacheField name="Report Time" numFmtId="164">
      <sharedItems containsSemiMixedTypes="0" containsNonDate="0" containsDate="1" containsString="0" minDate="1899-12-30T02:57:41" maxDate="1899-12-30T15:58:15"/>
    </cacheField>
    <cacheField name="SEASON" numFmtId="0">
      <sharedItems/>
    </cacheField>
    <cacheField name="TIMEOFDAY" numFmtId="0">
      <sharedItems/>
    </cacheField>
    <cacheField name="CYCLE" numFmtId="0">
      <sharedItems/>
    </cacheField>
    <cacheField name="DUE_DATE" numFmtId="165">
      <sharedItems containsSemiMixedTypes="0" containsNonDate="0" containsDate="1" containsString="0" minDate="2025-01-14T00:00:00" maxDate="2025-02-12T00:00:0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06.463253703703" createdVersion="8" refreshedVersion="8" minRefreshableVersion="3" recordCount="9" xr:uid="{D2BF4B27-C41E-4D49-B42E-4A29DDFE7B1C}">
  <cacheSource type="worksheet">
    <worksheetSource name="_5_6"/>
  </cacheSource>
  <cacheFields count="56">
    <cacheField name="Case Number" numFmtId="0">
      <sharedItems/>
    </cacheField>
    <cacheField name="INC_Date" numFmtId="165">
      <sharedItems containsSemiMixedTypes="0" containsNonDate="0" containsDate="1" containsString="0" minDate="2025-01-16T00:00:00" maxDate="2025-02-14T00:00:00" count="9">
        <d v="2025-01-16T00:00:00"/>
        <d v="2025-01-22T00:00:00"/>
        <d v="2025-01-25T00:00:00"/>
        <d v="2025-01-28T00:00:00"/>
        <d v="2025-01-31T00:00:00"/>
        <d v="2025-02-01T00:00:00"/>
        <d v="2025-02-02T00:00:00"/>
        <d v="2025-02-07T00:00:00"/>
        <d v="2025-02-13T00:00:00"/>
      </sharedItems>
    </cacheField>
    <cacheField name="Year" numFmtId="0">
      <sharedItems containsSemiMixedTypes="0" containsString="0" containsNumber="1" containsInteger="1" minValue="2025" maxValue="2025"/>
    </cacheField>
    <cacheField name="Month Name" numFmtId="0">
      <sharedItems/>
    </cacheField>
    <cacheField name="Quarter" numFmtId="166">
      <sharedItems containsSemiMixedTypes="0" containsString="0" containsNumber="1" containsInteger="1" minValue="1" maxValue="1"/>
    </cacheField>
    <cacheField name="Week of Year" numFmtId="166">
      <sharedItems containsSemiMixedTypes="0" containsString="0" containsNumber="1" containsInteger="1" minValue="3" maxValue="7"/>
    </cacheField>
    <cacheField name="Week of Month" numFmtId="166">
      <sharedItems containsSemiMixedTypes="0" containsString="0" containsNumber="1" containsInteger="1" minValue="1" maxValue="5"/>
    </cacheField>
    <cacheField name="Day Name" numFmtId="0">
      <sharedItems/>
    </cacheField>
    <cacheField name="Day of Year" numFmtId="167">
      <sharedItems containsSemiMixedTypes="0" containsString="0" containsNumber="1" containsInteger="1" minValue="16" maxValue="44"/>
    </cacheField>
    <cacheField name="Day" numFmtId="166">
      <sharedItems containsSemiMixedTypes="0" containsString="0" containsNumber="1" containsInteger="1" minValue="1" maxValue="31"/>
    </cacheField>
    <cacheField name="Start of Hour" numFmtId="169">
      <sharedItems containsSemiMixedTypes="0" containsNonDate="0" containsDate="1" containsString="0" minDate="1899-12-30T01:00:00" maxDate="1899-12-30T20:00:00"/>
    </cacheField>
    <cacheField name="INC_Time" numFmtId="164">
      <sharedItems containsSemiMixedTypes="0" containsNonDate="0" containsDate="1" containsString="0" minDate="1899-12-30T01:00:00" maxDate="1899-12-30T20:00:00"/>
    </cacheField>
    <cacheField name="Target_Incidents" numFmtId="0">
      <sharedItems count="4">
        <s v="Burglary - Residence"/>
        <s v="Motor Vehicle Theft"/>
        <s v="Robbery"/>
        <s v="Burglary - Auto"/>
      </sharedItems>
    </cacheField>
    <cacheField name="Incident Type_1" numFmtId="0">
      <sharedItems/>
    </cacheField>
    <cacheField name="Incident Type_2" numFmtId="0">
      <sharedItems/>
    </cacheField>
    <cacheField name="Incident Type_3" numFmtId="0">
      <sharedItems/>
    </cacheField>
    <cacheField name="All_Incident_Types" numFmtId="0">
      <sharedItems/>
    </cacheField>
    <cacheField name="Block" numFmtId="0">
      <sharedItems containsBlank="1" count="8">
        <s v="Bonhomme St, 100 Block"/>
        <s v="Hudson St, 400 Block"/>
        <s v="Kansas St, 0 Block"/>
        <s v="Essex St, 100 Block"/>
        <s v="Hudson St, 500 Block"/>
        <s v="Sutton Ave, 400 Block"/>
        <s v="Hudson St, 100 Block"/>
        <m/>
      </sharedItems>
    </cacheField>
    <cacheField name="Location" numFmtId="0">
      <sharedItems/>
    </cacheField>
    <cacheField name="FullAddress" numFmtId="0">
      <sharedItems/>
    </cacheField>
    <cacheField name="Grid" numFmtId="0">
      <sharedItems/>
    </cacheField>
    <cacheField name="Zone" numFmtId="0">
      <sharedItems containsSemiMixedTypes="0" containsString="0" containsNumber="1" containsInteger="1" minValue="5" maxValue="6"/>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VEHICLE1" numFmtId="0">
      <sharedItems containsBlank="1"/>
    </cacheField>
    <cacheField name="VEHICLE2" numFmtId="0">
      <sharedItems containsNonDate="0" containsString="0" containsBlank="1"/>
    </cacheField>
    <cacheField name="Registration 1" numFmtId="0">
      <sharedItems containsBlank="1"/>
    </cacheField>
    <cacheField name="Make1" numFmtId="0">
      <sharedItems containsBlank="1"/>
    </cacheField>
    <cacheField name="Model1" numFmtId="0">
      <sharedItems containsBlank="1"/>
    </cacheField>
    <cacheField name="Reg State 1" numFmtId="0">
      <sharedItems containsBlank="1"/>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ontainsBlank="1"/>
    </cacheField>
    <cacheField name="Case_Status" numFmtId="0">
      <sharedItems containsBlank="1"/>
    </cacheField>
    <cacheField name="NIBRS Classification" numFmtId="0">
      <sharedItems containsBlank="1"/>
    </cacheField>
    <cacheField name="OCA_Length" numFmtId="0">
      <sharedItems containsSemiMixedTypes="0" containsString="0" containsNumber="1" containsInteger="1" minValue="9" maxValue="9"/>
    </cacheField>
    <cacheField name="INC_Date_and_Time" numFmtId="168">
      <sharedItems containsSemiMixedTypes="0" containsNonDate="0" containsDate="1" containsString="0" minDate="2025-01-16T20:00:00" maxDate="2025-02-13T16:00:00"/>
    </cacheField>
    <cacheField name="Narrative - Copy" numFmtId="0">
      <sharedItems longText="1"/>
    </cacheField>
    <cacheField name="Text Before Delimiter" numFmtId="0">
      <sharedItems containsString="0" containsBlank="1" containsNumber="1" containsInteger="1" minValue="60" maxValue="535"/>
    </cacheField>
    <cacheField name="Incident Date" numFmtId="165">
      <sharedItems containsSemiMixedTypes="0" containsNonDate="0" containsDate="1" containsString="0" minDate="2025-01-16T00:00:00" maxDate="2025-02-14T00:00:00"/>
    </cacheField>
    <cacheField name="Incident Time" numFmtId="169">
      <sharedItems containsSemiMixedTypes="0" containsNonDate="0" containsDate="1" containsString="0" minDate="1899-12-30T01:00:00" maxDate="1899-12-30T20:00:00"/>
    </cacheField>
    <cacheField name="Incident Date_Between" numFmtId="14">
      <sharedItems containsNonDate="0" containsDate="1" containsString="0" containsBlank="1" minDate="2025-01-22T00:00:00" maxDate="2025-02-08T00:00:00"/>
    </cacheField>
    <cacheField name="Incident Time_Between" numFmtId="164">
      <sharedItems containsNonDate="0" containsDate="1" containsString="0" containsBlank="1" minDate="1899-12-30T02:30:00" maxDate="1899-12-30T22:01:00"/>
    </cacheField>
    <cacheField name="Report Date" numFmtId="14">
      <sharedItems containsSemiMixedTypes="0" containsNonDate="0" containsDate="1" containsString="0" minDate="2025-01-16T00:00:00" maxDate="2025-02-15T00:00:00"/>
    </cacheField>
    <cacheField name="Report Time" numFmtId="164">
      <sharedItems containsSemiMixedTypes="0" containsNonDate="0" containsDate="1" containsString="0" minDate="1899-12-30T02:09:41" maxDate="1899-12-30T22:02:24"/>
    </cacheField>
    <cacheField name="SEASON" numFmtId="0">
      <sharedItems/>
    </cacheField>
    <cacheField name="TIMEOFDAY" numFmtId="0">
      <sharedItems/>
    </cacheField>
    <cacheField name="CYCLE" numFmtId="0">
      <sharedItems/>
    </cacheField>
    <cacheField name="DUE_DATE" numFmtId="165">
      <sharedItems containsSemiMixedTypes="0" containsNonDate="0" containsDate="1" containsString="0" minDate="2025-01-21T00:00:00" maxDate="2025-02-19T00:00:00"/>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06.49568148148" createdVersion="8" refreshedVersion="8" minRefreshableVersion="3" recordCount="4" xr:uid="{7AB794AE-15F5-46D3-AB4F-3BFDF6CC1B47}">
  <cacheSource type="worksheet">
    <worksheetSource name="MV_Burg"/>
  </cacheSource>
  <cacheFields count="58">
    <cacheField name="Case Number" numFmtId="0">
      <sharedItems/>
    </cacheField>
    <cacheField name="INC_Date" numFmtId="165">
      <sharedItems containsSemiMixedTypes="0" containsNonDate="0" containsDate="1" containsString="0" minDate="2025-01-06T00:00:00" maxDate="2025-02-14T00:00:00" count="4">
        <d v="2025-01-06T00:00:00"/>
        <d v="2025-01-25T00:00:00"/>
        <d v="2025-01-26T00:00:00"/>
        <d v="2025-02-13T00:00:00"/>
      </sharedItems>
    </cacheField>
    <cacheField name="Year" numFmtId="0">
      <sharedItems containsSemiMixedTypes="0" containsString="0" containsNumber="1" containsInteger="1" minValue="2025" maxValue="2025"/>
    </cacheField>
    <cacheField name="Month Name" numFmtId="0">
      <sharedItems/>
    </cacheField>
    <cacheField name="Quarter" numFmtId="166">
      <sharedItems containsSemiMixedTypes="0" containsString="0" containsNumber="1" containsInteger="1" minValue="1" maxValue="1"/>
    </cacheField>
    <cacheField name="Week of Year" numFmtId="166">
      <sharedItems containsSemiMixedTypes="0" containsString="0" containsNumber="1" containsInteger="1" minValue="2" maxValue="7"/>
    </cacheField>
    <cacheField name="Week of Month" numFmtId="166">
      <sharedItems containsSemiMixedTypes="0" containsString="0" containsNumber="1" containsInteger="1" minValue="2" maxValue="5"/>
    </cacheField>
    <cacheField name="Day Name" numFmtId="0">
      <sharedItems count="4">
        <s v="Monday"/>
        <s v="Saturday"/>
        <s v="Sunday"/>
        <s v="Thursday"/>
      </sharedItems>
    </cacheField>
    <cacheField name="Day of Year" numFmtId="167">
      <sharedItems containsSemiMixedTypes="0" containsString="0" containsNumber="1" containsInteger="1" minValue="6" maxValue="44"/>
    </cacheField>
    <cacheField name="Day" numFmtId="166">
      <sharedItems containsSemiMixedTypes="0" containsString="0" containsNumber="1" containsInteger="1" minValue="6" maxValue="26"/>
    </cacheField>
    <cacheField name="Start of Hour" numFmtId="169">
      <sharedItems containsSemiMixedTypes="0" containsNonDate="0" containsDate="1" containsString="0" minDate="1899-12-30T15:00:00" maxDate="1899-12-30T20:00:00" count="4">
        <d v="1899-12-30T15:00:00"/>
        <d v="1899-12-30T18:00:00"/>
        <d v="1899-12-30T20:00:00"/>
        <d v="1899-12-30T16:00:00"/>
      </sharedItems>
      <fieldGroup par="57"/>
    </cacheField>
    <cacheField name="INC_Time" numFmtId="164">
      <sharedItems containsSemiMixedTypes="0" containsNonDate="0" containsDate="1" containsString="0" minDate="1899-12-30T15:30:00" maxDate="1899-12-30T20:10:00"/>
    </cacheField>
    <cacheField name="Target_Incidents" numFmtId="0">
      <sharedItems/>
    </cacheField>
    <cacheField name="Incident Type_1" numFmtId="0">
      <sharedItems/>
    </cacheField>
    <cacheField name="Incident Type_2" numFmtId="0">
      <sharedItems/>
    </cacheField>
    <cacheField name="Incident Type_3" numFmtId="0">
      <sharedItems/>
    </cacheField>
    <cacheField name="All_Incident_Types" numFmtId="0">
      <sharedItems/>
    </cacheField>
    <cacheField name="Block" numFmtId="0">
      <sharedItems containsBlank="1"/>
    </cacheField>
    <cacheField name="Location" numFmtId="0">
      <sharedItems/>
    </cacheField>
    <cacheField name="FullAddress" numFmtId="0">
      <sharedItems/>
    </cacheField>
    <cacheField name="Grid" numFmtId="0">
      <sharedItems containsBlank="1"/>
    </cacheField>
    <cacheField name="Zone" numFmtId="0">
      <sharedItems containsSemiMixedTypes="0" containsString="0" containsNumber="1" containsInteger="1" minValue="6" maxValue="9"/>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VEHICLE1" numFmtId="0">
      <sharedItems/>
    </cacheField>
    <cacheField name="VEHICLE2" numFmtId="0">
      <sharedItems containsNonDate="0" containsString="0" containsBlank="1"/>
    </cacheField>
    <cacheField name="Registration 1" numFmtId="0">
      <sharedItems/>
    </cacheField>
    <cacheField name="Make1" numFmtId="0">
      <sharedItems/>
    </cacheField>
    <cacheField name="Model1" numFmtId="0">
      <sharedItems/>
    </cacheField>
    <cacheField name="Reg State 1" numFmtId="0">
      <sharedItems/>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acheField>
    <cacheField name="Case_Status" numFmtId="0">
      <sharedItems/>
    </cacheField>
    <cacheField name="NIBRS Classification" numFmtId="0">
      <sharedItems/>
    </cacheField>
    <cacheField name="OCA_Length" numFmtId="0">
      <sharedItems containsSemiMixedTypes="0" containsString="0" containsNumber="1" containsInteger="1" minValue="9" maxValue="9"/>
    </cacheField>
    <cacheField name="INC_Date_and_Time" numFmtId="168">
      <sharedItems containsSemiMixedTypes="0" containsNonDate="0" containsDate="1" containsString="0" minDate="2025-01-06T15:30:00" maxDate="2025-02-13T16:00:00"/>
    </cacheField>
    <cacheField name="Narrative - Copy" numFmtId="0">
      <sharedItems longText="1"/>
    </cacheField>
    <cacheField name="Text Before Delimiter" numFmtId="0">
      <sharedItems containsString="0" containsBlank="1" containsNumber="1" containsInteger="1" minValue="5" maxValue="206"/>
    </cacheField>
    <cacheField name="Incident Date" numFmtId="165">
      <sharedItems containsSemiMixedTypes="0" containsNonDate="0" containsDate="1" containsString="0" minDate="2025-01-06T00:00:00" maxDate="2025-02-14T00:00:00"/>
    </cacheField>
    <cacheField name="Incident Time" numFmtId="169">
      <sharedItems containsSemiMixedTypes="0" containsNonDate="0" containsDate="1" containsString="0" minDate="1899-12-30T15:30:00" maxDate="1899-12-30T20:10:00"/>
    </cacheField>
    <cacheField name="Incident Date_Between" numFmtId="14">
      <sharedItems containsNonDate="0" containsDate="1" containsString="0" containsBlank="1" minDate="2025-01-10T00:00:00" maxDate="2025-01-27T00:00:00"/>
    </cacheField>
    <cacheField name="Incident Time_Between" numFmtId="164">
      <sharedItems containsNonDate="0" containsDate="1" containsString="0" containsBlank="1" minDate="1899-12-30T20:19:00" maxDate="1899-12-30T20:19:00"/>
    </cacheField>
    <cacheField name="Report Date" numFmtId="14">
      <sharedItems containsSemiMixedTypes="0" containsNonDate="0" containsDate="1" containsString="0" minDate="2025-01-10T00:00:00" maxDate="2025-02-15T00:00:00"/>
    </cacheField>
    <cacheField name="Report Time" numFmtId="164">
      <sharedItems containsSemiMixedTypes="0" containsNonDate="0" containsDate="1" containsString="0" minDate="1899-12-30T07:10:39" maxDate="1899-12-30T20:24:08"/>
    </cacheField>
    <cacheField name="SEASON" numFmtId="0">
      <sharedItems/>
    </cacheField>
    <cacheField name="TIMEOFDAY" numFmtId="0">
      <sharedItems/>
    </cacheField>
    <cacheField name="CYCLE" numFmtId="0">
      <sharedItems/>
    </cacheField>
    <cacheField name="DUE_DATE" numFmtId="165">
      <sharedItems containsSemiMixedTypes="0" containsNonDate="0" containsDate="1" containsString="0" minDate="2025-01-07T00:00:00" maxDate="2025-02-19T00:00:00"/>
    </cacheField>
    <cacheField name="Logic" numFmtId="0">
      <sharedItems/>
    </cacheField>
    <cacheField name="Hours (Start of Hour)" numFmtId="0" databaseField="0">
      <fieldGroup base="10">
        <rangePr groupBy="hours" startDate="1899-12-30T15:00:00" endDate="1899-12-30T20:00:00"/>
        <groupItems count="26">
          <s v="&lt;1/0/1900"/>
          <s v="12 AM"/>
          <s v="1 AM"/>
          <s v="2 AM"/>
          <s v="3 AM"/>
          <s v="4 AM"/>
          <s v="5 AM"/>
          <s v="6 AM"/>
          <s v="7 AM"/>
          <s v="8 AM"/>
          <s v="9 AM"/>
          <s v="10 AM"/>
          <s v="11 AM"/>
          <s v="12 PM"/>
          <s v="1 PM"/>
          <s v="2 PM"/>
          <s v="3 PM"/>
          <s v="4 PM"/>
          <s v="5 PM"/>
          <s v="6 PM"/>
          <s v="7 PM"/>
          <s v="8 PM"/>
          <s v="9 PM"/>
          <s v="10 PM"/>
          <s v="11 PM"/>
          <s v="&gt;1/0/1900"/>
        </groupItems>
      </fieldGroup>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06.499896412039" createdVersion="8" refreshedVersion="8" minRefreshableVersion="3" recordCount="11" xr:uid="{5B1759BD-BFAA-4648-9054-AB4DA96FCC6F}">
  <cacheSource type="worksheet">
    <worksheetSource name="MV_Theft"/>
  </cacheSource>
  <cacheFields count="58">
    <cacheField name="Case Number" numFmtId="0">
      <sharedItems/>
    </cacheField>
    <cacheField name="INC_Date" numFmtId="165">
      <sharedItems containsSemiMixedTypes="0" containsNonDate="0" containsDate="1" containsString="0" minDate="2025-01-03T00:00:00" maxDate="2025-02-18T00:00:00" count="10">
        <d v="2025-01-03T00:00:00"/>
        <d v="2025-01-15T00:00:00"/>
        <d v="2025-01-21T00:00:00"/>
        <d v="2025-01-22T00:00:00"/>
        <d v="2025-01-28T00:00:00"/>
        <d v="2025-01-31T00:00:00"/>
        <d v="2025-02-01T00:00:00"/>
        <d v="2025-02-03T00:00:00"/>
        <d v="2025-02-07T00:00:00"/>
        <d v="2025-02-17T00:00:00"/>
      </sharedItems>
    </cacheField>
    <cacheField name="Year" numFmtId="0">
      <sharedItems containsSemiMixedTypes="0" containsString="0" containsNumber="1" containsInteger="1" minValue="2025" maxValue="2025"/>
    </cacheField>
    <cacheField name="Month Name" numFmtId="0">
      <sharedItems/>
    </cacheField>
    <cacheField name="Quarter" numFmtId="166">
      <sharedItems containsSemiMixedTypes="0" containsString="0" containsNumber="1" containsInteger="1" minValue="1" maxValue="1"/>
    </cacheField>
    <cacheField name="Week of Year" numFmtId="166">
      <sharedItems containsSemiMixedTypes="0" containsString="0" containsNumber="1" containsInteger="1" minValue="1" maxValue="8"/>
    </cacheField>
    <cacheField name="Week of Month" numFmtId="166">
      <sharedItems containsSemiMixedTypes="0" containsString="0" containsNumber="1" containsInteger="1" minValue="1" maxValue="5"/>
    </cacheField>
    <cacheField name="Day Name" numFmtId="0">
      <sharedItems count="5">
        <s v="Friday"/>
        <s v="Wednesday"/>
        <s v="Tuesday"/>
        <s v="Saturday"/>
        <s v="Monday"/>
      </sharedItems>
    </cacheField>
    <cacheField name="Day of Year" numFmtId="167">
      <sharedItems containsSemiMixedTypes="0" containsString="0" containsNumber="1" containsInteger="1" minValue="3" maxValue="48"/>
    </cacheField>
    <cacheField name="Day" numFmtId="166">
      <sharedItems containsSemiMixedTypes="0" containsString="0" containsNumber="1" containsInteger="1" minValue="1" maxValue="31"/>
    </cacheField>
    <cacheField name="Start of Hour" numFmtId="169">
      <sharedItems containsSemiMixedTypes="0" containsNonDate="0" containsDate="1" containsString="0" minDate="1899-12-30T01:00:00" maxDate="1899-12-30T21:00:00" count="9">
        <d v="1899-12-30T21:00:00"/>
        <d v="1899-12-30T12:00:00"/>
        <d v="1899-12-30T19:00:00"/>
        <d v="1899-12-30T08:00:00"/>
        <d v="1899-12-30T15:00:00"/>
        <d v="1899-12-30T01:00:00"/>
        <d v="1899-12-30T18:00:00"/>
        <d v="1899-12-30T06:00:00"/>
        <d v="1899-12-30T09:00:00"/>
      </sharedItems>
      <fieldGroup par="57"/>
    </cacheField>
    <cacheField name="INC_Time" numFmtId="164">
      <sharedItems containsSemiMixedTypes="0" containsNonDate="0" containsDate="1" containsString="0" minDate="1899-12-30T01:00:00" maxDate="1899-12-30T21:30:00"/>
    </cacheField>
    <cacheField name="Target_Incidents" numFmtId="0">
      <sharedItems/>
    </cacheField>
    <cacheField name="Incident Type_1" numFmtId="0">
      <sharedItems/>
    </cacheField>
    <cacheField name="Incident Type_2" numFmtId="0">
      <sharedItems/>
    </cacheField>
    <cacheField name="Incident Type_3" numFmtId="0">
      <sharedItems/>
    </cacheField>
    <cacheField name="All_Incident_Types" numFmtId="0">
      <sharedItems/>
    </cacheField>
    <cacheField name="Block" numFmtId="0">
      <sharedItems/>
    </cacheField>
    <cacheField name="Location" numFmtId="0">
      <sharedItems/>
    </cacheField>
    <cacheField name="FullAddress" numFmtId="0">
      <sharedItems/>
    </cacheField>
    <cacheField name="Grid" numFmtId="0">
      <sharedItems/>
    </cacheField>
    <cacheField name="Zone" numFmtId="0">
      <sharedItems containsSemiMixedTypes="0" containsString="0" containsNumber="1" containsInteger="1" minValue="5" maxValue="9"/>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VEHICLE1" numFmtId="0">
      <sharedItems/>
    </cacheField>
    <cacheField name="VEHICLE2" numFmtId="0">
      <sharedItems containsNonDate="0" containsString="0" containsBlank="1"/>
    </cacheField>
    <cacheField name="Registration 1" numFmtId="0">
      <sharedItems/>
    </cacheField>
    <cacheField name="Make1" numFmtId="0">
      <sharedItems containsBlank="1"/>
    </cacheField>
    <cacheField name="Model1" numFmtId="0">
      <sharedItems/>
    </cacheField>
    <cacheField name="Reg State 1" numFmtId="0">
      <sharedItems/>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acheField>
    <cacheField name="Case_Status" numFmtId="0">
      <sharedItems/>
    </cacheField>
    <cacheField name="NIBRS Classification" numFmtId="0">
      <sharedItems containsBlank="1"/>
    </cacheField>
    <cacheField name="OCA_Length" numFmtId="0">
      <sharedItems containsSemiMixedTypes="0" containsString="0" containsNumber="1" containsInteger="1" minValue="9" maxValue="9"/>
    </cacheField>
    <cacheField name="INC_Date_and_Time" numFmtId="168">
      <sharedItems containsSemiMixedTypes="0" containsNonDate="0" containsDate="1" containsString="0" minDate="2025-01-03T21:30:00" maxDate="2025-02-17T09:31:00"/>
    </cacheField>
    <cacheField name="Narrative - Copy" numFmtId="0">
      <sharedItems longText="1"/>
    </cacheField>
    <cacheField name="Text Before Delimiter" numFmtId="0">
      <sharedItems containsSemiMixedTypes="0" containsString="0" containsNumber="1" containsInteger="1" minValue="30" maxValue="535"/>
    </cacheField>
    <cacheField name="Incident Date" numFmtId="165">
      <sharedItems containsSemiMixedTypes="0" containsNonDate="0" containsDate="1" containsString="0" minDate="2025-01-03T00:00:00" maxDate="2025-02-18T00:00:00"/>
    </cacheField>
    <cacheField name="Incident Time" numFmtId="169">
      <sharedItems containsSemiMixedTypes="0" containsNonDate="0" containsDate="1" containsString="0" minDate="1899-12-30T01:00:00" maxDate="1899-12-30T21:30:00"/>
    </cacheField>
    <cacheField name="Incident Date_Between" numFmtId="14">
      <sharedItems containsNonDate="0" containsDate="1" containsString="0" containsBlank="1" minDate="2025-01-04T00:00:00" maxDate="2025-02-08T00:00:00"/>
    </cacheField>
    <cacheField name="Incident Time_Between" numFmtId="164">
      <sharedItems containsNonDate="0" containsDate="1" containsString="0" containsBlank="1" minDate="1899-12-30T02:30:00" maxDate="1899-12-30T22:01:00"/>
    </cacheField>
    <cacheField name="Report Date" numFmtId="14">
      <sharedItems containsSemiMixedTypes="0" containsNonDate="0" containsDate="1" containsString="0" minDate="2025-01-04T00:00:00" maxDate="2025-02-18T00:00:00"/>
    </cacheField>
    <cacheField name="Report Time" numFmtId="164">
      <sharedItems containsSemiMixedTypes="0" containsNonDate="0" containsDate="1" containsString="0" minDate="1899-12-30T02:52:33" maxDate="1899-12-30T22:02:24"/>
    </cacheField>
    <cacheField name="SEASON" numFmtId="0">
      <sharedItems/>
    </cacheField>
    <cacheField name="TIMEOFDAY" numFmtId="0">
      <sharedItems/>
    </cacheField>
    <cacheField name="CYCLE" numFmtId="0">
      <sharedItems/>
    </cacheField>
    <cacheField name="DUE_DATE" numFmtId="165">
      <sharedItems containsSemiMixedTypes="0" containsNonDate="0" containsDate="1" containsString="0" minDate="2025-01-07T00:00:00" maxDate="2025-02-19T00:00:00"/>
    </cacheField>
    <cacheField name="Logic" numFmtId="0">
      <sharedItems/>
    </cacheField>
    <cacheField name="Hours (Start of Hour)" numFmtId="0" databaseField="0">
      <fieldGroup base="10">
        <rangePr groupBy="hours" startDate="1899-12-30T01:00:00" endDate="1899-12-30T21:00:00"/>
        <groupItems count="26">
          <s v="&lt;1/0/1900"/>
          <s v="12 AM"/>
          <s v="1 AM"/>
          <s v="2 AM"/>
          <s v="3 AM"/>
          <s v="4 AM"/>
          <s v="5 AM"/>
          <s v="6 AM"/>
          <s v="7 AM"/>
          <s v="8 AM"/>
          <s v="9 AM"/>
          <s v="10 AM"/>
          <s v="11 AM"/>
          <s v="12 PM"/>
          <s v="1 PM"/>
          <s v="2 PM"/>
          <s v="3 PM"/>
          <s v="4 PM"/>
          <s v="5 PM"/>
          <s v="6 PM"/>
          <s v="7 PM"/>
          <s v="8 PM"/>
          <s v="9 PM"/>
          <s v="10 PM"/>
          <s v="11 PM"/>
          <s v="&gt;1/0/1900"/>
        </groupItems>
      </fieldGroup>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06.515954745373" createdVersion="8" refreshedVersion="8" minRefreshableVersion="3" recordCount="5" xr:uid="{27C33F39-3CBE-4782-BCFB-13349E28C382}">
  <cacheSource type="worksheet">
    <worksheetSource name="Robbery"/>
  </cacheSource>
  <cacheFields count="58">
    <cacheField name="Case Number" numFmtId="0">
      <sharedItems/>
    </cacheField>
    <cacheField name="INC_Date" numFmtId="165">
      <sharedItems containsSemiMixedTypes="0" containsNonDate="0" containsDate="1" containsString="0" minDate="2025-01-13T00:00:00" maxDate="2025-02-04T00:00:00" count="5">
        <d v="2025-01-13T00:00:00"/>
        <d v="2025-01-14T00:00:00"/>
        <d v="2025-01-16T00:00:00"/>
        <d v="2025-02-02T00:00:00"/>
        <d v="2025-02-03T00:00:00"/>
      </sharedItems>
    </cacheField>
    <cacheField name="Year" numFmtId="0">
      <sharedItems containsSemiMixedTypes="0" containsString="0" containsNumber="1" containsInteger="1" minValue="2025" maxValue="2025"/>
    </cacheField>
    <cacheField name="Month Name" numFmtId="0">
      <sharedItems/>
    </cacheField>
    <cacheField name="Quarter" numFmtId="166">
      <sharedItems containsSemiMixedTypes="0" containsString="0" containsNumber="1" containsInteger="1" minValue="1" maxValue="1"/>
    </cacheField>
    <cacheField name="Week of Year" numFmtId="166">
      <sharedItems containsSemiMixedTypes="0" containsString="0" containsNumber="1" containsInteger="1" minValue="3" maxValue="6"/>
    </cacheField>
    <cacheField name="Week of Month" numFmtId="166">
      <sharedItems containsSemiMixedTypes="0" containsString="0" containsNumber="1" containsInteger="1" minValue="2" maxValue="3"/>
    </cacheField>
    <cacheField name="Day Name" numFmtId="0">
      <sharedItems count="4">
        <s v="Monday"/>
        <s v="Tuesday"/>
        <s v="Thursday"/>
        <s v="Sunday"/>
      </sharedItems>
    </cacheField>
    <cacheField name="Day of Year" numFmtId="167">
      <sharedItems containsSemiMixedTypes="0" containsString="0" containsNumber="1" containsInteger="1" minValue="13" maxValue="34"/>
    </cacheField>
    <cacheField name="Day" numFmtId="166">
      <sharedItems containsSemiMixedTypes="0" containsString="0" containsNumber="1" containsInteger="1" minValue="2" maxValue="16"/>
    </cacheField>
    <cacheField name="Start of Hour" numFmtId="169">
      <sharedItems containsSemiMixedTypes="0" containsNonDate="0" containsDate="1" containsString="0" minDate="1899-12-30T12:00:00" maxDate="1899-12-30T21:00:00" count="5">
        <d v="1899-12-30T12:00:00"/>
        <d v="1899-12-30T15:00:00"/>
        <d v="1899-12-30T21:00:00"/>
        <d v="1899-12-30T17:00:00"/>
        <d v="1899-12-30T16:00:00"/>
      </sharedItems>
      <fieldGroup par="57"/>
    </cacheField>
    <cacheField name="INC_Time" numFmtId="164">
      <sharedItems containsSemiMixedTypes="0" containsNonDate="0" containsDate="1" containsString="0" minDate="1899-12-30T12:05:00" maxDate="1899-12-30T21:03:00"/>
    </cacheField>
    <cacheField name="Target_Incidents" numFmtId="0">
      <sharedItems/>
    </cacheField>
    <cacheField name="Incident Type_1" numFmtId="0">
      <sharedItems/>
    </cacheField>
    <cacheField name="Incident Type_2" numFmtId="0">
      <sharedItems/>
    </cacheField>
    <cacheField name="Incident Type_3" numFmtId="0">
      <sharedItems/>
    </cacheField>
    <cacheField name="All_Incident_Types" numFmtId="0">
      <sharedItems/>
    </cacheField>
    <cacheField name="Block" numFmtId="0">
      <sharedItems/>
    </cacheField>
    <cacheField name="Location" numFmtId="0">
      <sharedItems/>
    </cacheField>
    <cacheField name="FullAddress" numFmtId="0">
      <sharedItems/>
    </cacheField>
    <cacheField name="Grid" numFmtId="0">
      <sharedItems/>
    </cacheField>
    <cacheField name="Zone" numFmtId="0">
      <sharedItems containsSemiMixedTypes="0" containsString="0" containsNumber="1" containsInteger="1" minValue="5" maxValue="9"/>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VEHICLE1" numFmtId="0">
      <sharedItems containsBlank="1"/>
    </cacheField>
    <cacheField name="VEHICLE2" numFmtId="0">
      <sharedItems containsNonDate="0" containsString="0" containsBlank="1"/>
    </cacheField>
    <cacheField name="Registration 1" numFmtId="0">
      <sharedItems containsBlank="1"/>
    </cacheField>
    <cacheField name="Make1" numFmtId="0">
      <sharedItems containsBlank="1"/>
    </cacheField>
    <cacheField name="Model1" numFmtId="0">
      <sharedItems containsBlank="1"/>
    </cacheField>
    <cacheField name="Reg State 1" numFmtId="0">
      <sharedItems containsBlank="1"/>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acheField>
    <cacheField name="Case_Status" numFmtId="0">
      <sharedItems/>
    </cacheField>
    <cacheField name="NIBRS Classification" numFmtId="0">
      <sharedItems containsBlank="1"/>
    </cacheField>
    <cacheField name="OCA_Length" numFmtId="0">
      <sharedItems containsSemiMixedTypes="0" containsString="0" containsNumber="1" containsInteger="1" minValue="9" maxValue="9"/>
    </cacheField>
    <cacheField name="INC_Date_and_Time" numFmtId="168">
      <sharedItems containsSemiMixedTypes="0" containsNonDate="0" containsDate="1" containsString="0" minDate="2025-01-13T12:05:00" maxDate="2025-02-03T16:40:00"/>
    </cacheField>
    <cacheField name="Narrative - Copy" numFmtId="0">
      <sharedItems longText="1"/>
    </cacheField>
    <cacheField name="Text Before Delimiter" numFmtId="0">
      <sharedItems containsSemiMixedTypes="0" containsString="0" containsNumber="1" containsInteger="1" minValue="144" maxValue="630"/>
    </cacheField>
    <cacheField name="Incident Date" numFmtId="165">
      <sharedItems containsNonDate="0" containsDate="1" containsString="0" containsBlank="1" minDate="2025-01-13T00:00:00" maxDate="2025-02-03T00:00:00"/>
    </cacheField>
    <cacheField name="Incident Time" numFmtId="169">
      <sharedItems containsNonDate="0" containsDate="1" containsString="0" containsBlank="1" minDate="1899-12-30T12:05:00" maxDate="1899-12-30T21:03:00"/>
    </cacheField>
    <cacheField name="Incident Date_Between" numFmtId="14">
      <sharedItems containsNonDate="0" containsDate="1" containsString="0" containsBlank="1" minDate="2025-01-16T00:00:00" maxDate="2025-02-03T00:00:00"/>
    </cacheField>
    <cacheField name="Incident Time_Between" numFmtId="164">
      <sharedItems containsNonDate="0" containsDate="1" containsString="0" containsBlank="1" minDate="1899-12-30T18:00:00" maxDate="1899-12-30T21:16:00"/>
    </cacheField>
    <cacheField name="Report Date" numFmtId="14">
      <sharedItems containsSemiMixedTypes="0" containsNonDate="0" containsDate="1" containsString="0" minDate="2025-01-13T00:00:00" maxDate="2025-02-04T00:00:00"/>
    </cacheField>
    <cacheField name="Report Time" numFmtId="164">
      <sharedItems containsSemiMixedTypes="0" containsNonDate="0" containsDate="1" containsString="0" minDate="1899-12-30T12:02:04" maxDate="1899-12-30T16:40:35"/>
    </cacheField>
    <cacheField name="SEASON" numFmtId="0">
      <sharedItems/>
    </cacheField>
    <cacheField name="TIMEOFDAY" numFmtId="0">
      <sharedItems/>
    </cacheField>
    <cacheField name="CYCLE" numFmtId="0">
      <sharedItems/>
    </cacheField>
    <cacheField name="DUE_DATE" numFmtId="165">
      <sharedItems containsSemiMixedTypes="0" containsNonDate="0" containsDate="1" containsString="0" minDate="2025-01-14T00:00:00" maxDate="2025-02-05T00:00:00"/>
    </cacheField>
    <cacheField name="Logic" numFmtId="0">
      <sharedItems/>
    </cacheField>
    <cacheField name="Hours (Start of Hour)" numFmtId="0" databaseField="0">
      <fieldGroup base="10">
        <rangePr groupBy="hours" startDate="1899-12-30T12:00:00" endDate="1899-12-30T21:00:00"/>
        <groupItems count="26">
          <s v="&lt;1/0/1900"/>
          <s v="12 AM"/>
          <s v="1 AM"/>
          <s v="2 AM"/>
          <s v="3 AM"/>
          <s v="4 AM"/>
          <s v="5 AM"/>
          <s v="6 AM"/>
          <s v="7 AM"/>
          <s v="8 AM"/>
          <s v="9 AM"/>
          <s v="10 AM"/>
          <s v="11 AM"/>
          <s v="12 PM"/>
          <s v="1 PM"/>
          <s v="2 PM"/>
          <s v="3 PM"/>
          <s v="4 PM"/>
          <s v="5 PM"/>
          <s v="6 PM"/>
          <s v="7 PM"/>
          <s v="8 PM"/>
          <s v="9 PM"/>
          <s v="10 PM"/>
          <s v="11 PM"/>
          <s v="&gt;1/0/1900"/>
        </groupItems>
      </fieldGroup>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06.519457754628" createdVersion="8" refreshedVersion="8" minRefreshableVersion="3" recordCount="2" xr:uid="{07E7100F-1BEA-434A-BFB7-D3C174264961}">
  <cacheSource type="worksheet">
    <worksheetSource name="Sex_Offenses"/>
  </cacheSource>
  <cacheFields count="58">
    <cacheField name="Case Number" numFmtId="0">
      <sharedItems/>
    </cacheField>
    <cacheField name="INC_Date" numFmtId="165">
      <sharedItems containsSemiMixedTypes="0" containsNonDate="0" containsDate="1" containsString="0" minDate="2025-01-07T00:00:00" maxDate="2025-01-24T00:00:00" count="2">
        <d v="2025-01-07T00:00:00"/>
        <d v="2025-01-23T00:00:00"/>
      </sharedItems>
    </cacheField>
    <cacheField name="Year" numFmtId="0">
      <sharedItems containsSemiMixedTypes="0" containsString="0" containsNumber="1" containsInteger="1" minValue="2025" maxValue="2025"/>
    </cacheField>
    <cacheField name="Month Name" numFmtId="0">
      <sharedItems/>
    </cacheField>
    <cacheField name="Quarter" numFmtId="166">
      <sharedItems containsSemiMixedTypes="0" containsString="0" containsNumber="1" containsInteger="1" minValue="1" maxValue="1"/>
    </cacheField>
    <cacheField name="Week of Year" numFmtId="166">
      <sharedItems containsSemiMixedTypes="0" containsString="0" containsNumber="1" containsInteger="1" minValue="2" maxValue="4"/>
    </cacheField>
    <cacheField name="Week of Month" numFmtId="166">
      <sharedItems containsSemiMixedTypes="0" containsString="0" containsNumber="1" containsInteger="1" minValue="2" maxValue="4"/>
    </cacheField>
    <cacheField name="Day Name" numFmtId="0">
      <sharedItems count="2">
        <s v="Tuesday"/>
        <s v="Thursday"/>
      </sharedItems>
    </cacheField>
    <cacheField name="Day of Year" numFmtId="167">
      <sharedItems containsSemiMixedTypes="0" containsString="0" containsNumber="1" containsInteger="1" minValue="7" maxValue="23"/>
    </cacheField>
    <cacheField name="Day" numFmtId="166">
      <sharedItems containsSemiMixedTypes="0" containsString="0" containsNumber="1" containsInteger="1" minValue="7" maxValue="23"/>
    </cacheField>
    <cacheField name="Start of Hour" numFmtId="169">
      <sharedItems containsSemiMixedTypes="0" containsNonDate="0" containsDate="1" containsString="0" minDate="1899-12-30T14:00:00" maxDate="1899-12-30T15:00:00" count="2">
        <d v="1899-12-30T14:00:00"/>
        <d v="1899-12-30T15:00:00"/>
      </sharedItems>
      <fieldGroup par="57"/>
    </cacheField>
    <cacheField name="INC_Time" numFmtId="164">
      <sharedItems containsSemiMixedTypes="0" containsNonDate="0" containsDate="1" containsString="0" minDate="1899-12-30T14:00:00" maxDate="1899-12-30T15:00:00"/>
    </cacheField>
    <cacheField name="Target_Incidents" numFmtId="0">
      <sharedItems/>
    </cacheField>
    <cacheField name="Incident Type_1" numFmtId="0">
      <sharedItems/>
    </cacheField>
    <cacheField name="Incident Type_2" numFmtId="0">
      <sharedItems/>
    </cacheField>
    <cacheField name="Incident Type_3" numFmtId="0">
      <sharedItems/>
    </cacheField>
    <cacheField name="All_Incident_Types" numFmtId="0">
      <sharedItems/>
    </cacheField>
    <cacheField name="Block" numFmtId="0">
      <sharedItems/>
    </cacheField>
    <cacheField name="Location" numFmtId="0">
      <sharedItems/>
    </cacheField>
    <cacheField name="FullAddress" numFmtId="0">
      <sharedItems/>
    </cacheField>
    <cacheField name="Grid" numFmtId="0">
      <sharedItems/>
    </cacheField>
    <cacheField name="Zone" numFmtId="0">
      <sharedItems containsSemiMixedTypes="0" containsString="0" containsNumber="1" containsInteger="1" minValue="7" maxValue="8"/>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VEHICLE1" numFmtId="0">
      <sharedItems containsNonDate="0" containsString="0" containsBlank="1"/>
    </cacheField>
    <cacheField name="VEHICLE2" numFmtId="0">
      <sharedItems containsNonDate="0" containsString="0" containsBlank="1"/>
    </cacheField>
    <cacheField name="Registration 1" numFmtId="0">
      <sharedItems containsNonDate="0" containsString="0" containsBlank="1"/>
    </cacheField>
    <cacheField name="Make1" numFmtId="0">
      <sharedItems containsNonDate="0" containsString="0" containsBlank="1"/>
    </cacheField>
    <cacheField name="Model1" numFmtId="0">
      <sharedItems containsNonDate="0" containsString="0" containsBlank="1"/>
    </cacheField>
    <cacheField name="Reg State 1" numFmtId="0">
      <sharedItems containsNonDate="0" containsString="0" containsBlank="1"/>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acheField>
    <cacheField name="Case_Status" numFmtId="0">
      <sharedItems/>
    </cacheField>
    <cacheField name="NIBRS Classification" numFmtId="0">
      <sharedItems containsBlank="1"/>
    </cacheField>
    <cacheField name="OCA_Length" numFmtId="0">
      <sharedItems containsSemiMixedTypes="0" containsString="0" containsNumber="1" containsInteger="1" minValue="9" maxValue="9"/>
    </cacheField>
    <cacheField name="INC_Date_and_Time" numFmtId="168">
      <sharedItems containsSemiMixedTypes="0" containsNonDate="0" containsDate="1" containsString="0" minDate="2025-01-07T14:00:00" maxDate="2025-01-23T15:00:00"/>
    </cacheField>
    <cacheField name="Narrative - Copy" numFmtId="0">
      <sharedItems longText="1"/>
    </cacheField>
    <cacheField name="Text Before Delimiter" numFmtId="0">
      <sharedItems containsSemiMixedTypes="0" containsString="0" containsNumber="1" containsInteger="1" minValue="135" maxValue="176"/>
    </cacheField>
    <cacheField name="Incident Date" numFmtId="165">
      <sharedItems containsSemiMixedTypes="0" containsNonDate="0" containsDate="1" containsString="0" minDate="2025-01-07T00:00:00" maxDate="2025-01-24T00:00:00"/>
    </cacheField>
    <cacheField name="Incident Time" numFmtId="169">
      <sharedItems containsSemiMixedTypes="0" containsNonDate="0" containsDate="1" containsString="0" minDate="1899-12-30T14:00:00" maxDate="1899-12-30T15:00:00"/>
    </cacheField>
    <cacheField name="Incident Date_Between" numFmtId="14">
      <sharedItems containsNonDate="0" containsString="0" containsBlank="1"/>
    </cacheField>
    <cacheField name="Incident Time_Between" numFmtId="164">
      <sharedItems containsNonDate="0" containsString="0" containsBlank="1"/>
    </cacheField>
    <cacheField name="Report Date" numFmtId="14">
      <sharedItems containsSemiMixedTypes="0" containsNonDate="0" containsDate="1" containsString="0" minDate="2025-01-10T00:00:00" maxDate="2025-01-24T00:00:00"/>
    </cacheField>
    <cacheField name="Report Time" numFmtId="164">
      <sharedItems containsSemiMixedTypes="0" containsNonDate="0" containsDate="1" containsString="0" minDate="1899-12-30T14:20:51" maxDate="1899-12-30T15:58:15"/>
    </cacheField>
    <cacheField name="SEASON" numFmtId="0">
      <sharedItems/>
    </cacheField>
    <cacheField name="TIMEOFDAY" numFmtId="0">
      <sharedItems/>
    </cacheField>
    <cacheField name="CYCLE" numFmtId="0">
      <sharedItems/>
    </cacheField>
    <cacheField name="DUE_DATE" numFmtId="165">
      <sharedItems containsSemiMixedTypes="0" containsNonDate="0" containsDate="1" containsString="0" minDate="2025-01-07T00:00:00" maxDate="2025-01-29T00:00:00"/>
    </cacheField>
    <cacheField name="Logic" numFmtId="0">
      <sharedItems/>
    </cacheField>
    <cacheField name="Hours (Start of Hour)" numFmtId="0" databaseField="0">
      <fieldGroup base="10">
        <rangePr groupBy="hours" startDate="1899-12-30T14:00:00" endDate="1899-12-30T15:00:00"/>
        <groupItems count="26">
          <s v="&lt;1/0/1900"/>
          <s v="12 AM"/>
          <s v="1 AM"/>
          <s v="2 AM"/>
          <s v="3 AM"/>
          <s v="4 AM"/>
          <s v="5 AM"/>
          <s v="6 AM"/>
          <s v="7 AM"/>
          <s v="8 AM"/>
          <s v="9 AM"/>
          <s v="10 AM"/>
          <s v="11 AM"/>
          <s v="12 PM"/>
          <s v="1 PM"/>
          <s v="2 PM"/>
          <s v="3 PM"/>
          <s v="4 PM"/>
          <s v="5 PM"/>
          <s v="6 PM"/>
          <s v="7 PM"/>
          <s v="8 PM"/>
          <s v="9 PM"/>
          <s v="10 PM"/>
          <s v="11 PM"/>
          <s v="&gt;1/0/190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s v="25-004478"/>
    <x v="0"/>
    <n v="2025"/>
    <s v="January"/>
    <n v="1"/>
    <n v="3"/>
    <n v="3"/>
    <x v="0"/>
    <n v="16"/>
    <n v="16"/>
    <x v="0"/>
    <d v="1899-12-30T12:00:00"/>
    <s v="Burglary - Residence"/>
    <s v="Burglary - Residence"/>
    <s v=""/>
    <s v=""/>
    <s v="Burglary - Residence"/>
    <s v="Second St, 0 Block"/>
    <s v="30 Second Street"/>
    <s v="30 Second Street, Hackensack, NJ, 07601"/>
    <s v="G3"/>
    <n v="7"/>
    <s v="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
    <m/>
    <m/>
    <m/>
    <m/>
    <m/>
    <m/>
    <m/>
    <m/>
    <m/>
    <m/>
    <m/>
    <m/>
    <s v="Deleon_A"/>
    <s v="Complete"/>
    <s v="P.O. Aziah Miller 357"/>
    <s v="A3"/>
    <s v="Det. Matthew DeBonis 325"/>
    <s v="Active/Administratively Closed"/>
    <s v="220 = Burglary/Breaking &amp; Entering"/>
    <n v="9"/>
    <d v="2025-01-16T12:00:00"/>
    <s v="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
    <n v="30"/>
    <d v="2025-01-16T00:00:00"/>
    <d v="1899-12-30T12:00:00"/>
    <d v="2025-01-16T00:00:00"/>
    <d v="1899-12-30T18:00:00"/>
    <d v="2025-01-16T00:00:00"/>
    <d v="1899-12-30T19:34:52"/>
    <s v="Winter"/>
    <s v="Afternoon Period (1200-1559)"/>
    <s v="C1W3"/>
    <x v="0"/>
    <s v="Yes"/>
  </r>
  <r>
    <s v="25-004288"/>
    <x v="0"/>
    <n v="2025"/>
    <s v="January"/>
    <n v="1"/>
    <n v="3"/>
    <n v="3"/>
    <x v="0"/>
    <n v="16"/>
    <n v="16"/>
    <x v="1"/>
    <d v="1899-12-30T20:00:00"/>
    <s v="Burglary - Residence"/>
    <s v="Violation of Court Order"/>
    <s v="Burglary - Residence"/>
    <s v="Harassment"/>
    <s v="Violation of Court Order, Burglary - Residence, Harassment"/>
    <s v="Bonhomme St, 100 Block"/>
    <s v="152 Bonhomme Street"/>
    <s v="152 Bonhomme Street, Hackensack, NJ, 07601"/>
    <s v="E2"/>
    <n v="5"/>
    <s v="The victim and the suspect were prviously in a two year relationship.  The two never resided together and have no children in common.     P.O. McCarthy and I responded to the listed location on a report of a violation of a court order.  Upon arrival, we met with the victim,  Johnathan Arroyo, who reported hearing a loud bang from the basement door.  After hearing the loud bang, he began to hear his ex-girlfriend, Ashley Celdo Rodriguez, start to scream while standing in the basement.  That's when his brother, David Arroyo, and the victim exit their bedrooms and witness the suspect inside of the house.  Both parties grabbed the suspect and escorted her out of the house.  Once outside, the suspect ran toward the backyard fence and climbed over before our arrival on the scene.  While on the scene, I observed the door frame trim to be damaged.  The victim estimated that the cost to fix the door was $200.00.  P.O. Mcarthy and P.O. Lopez-Amaya arrived to assist and conducted a check of the area.     While on the scene, I observed several surveillance cameras on the residence's exterior.  They showed me the footage of the suspect entering the rear yard and walking to the basement door of the house.  I provided the victim with my departmental e-mail address so that the video footage could be sent.        I contacted police headquarters to see if any active restraining orders were in place.  They advised me that three no-contact orders were in place.  I asked if the victim wanted the scene processed, but he did not want it done.  I asked the victim if he wanted to apply for a restraining order at this time, which he denied.  He also wanted to speak with a DVRT member at a later time.  I provided the victim with the telephone number.  I completed the New Jersey victim notification form and domestic violence supplement were completed.   The victim refused to complete a voluntary handwritten statement.  While at police headquarters, P.O. McCarthy, P.O. Vicale, and P.O. Lopez-Amaya located the suspect. See their supplements for further information.       Arrestee was charged with 2C:29-17-3A(1), 2C:33-4A, 2C:18-2A(1), 2C:29-2A(1) and 3 counts of 2C:29-9A(1) on 0223-W-2025-000023"/>
    <m/>
    <m/>
    <m/>
    <m/>
    <m/>
    <m/>
    <m/>
    <m/>
    <m/>
    <m/>
    <m/>
    <m/>
    <s v="Levis_R"/>
    <s v="Complete"/>
    <s v="P.O. Daniel Francavilla 329"/>
    <s v="B4"/>
    <m/>
    <m/>
    <s v="220 = Burglary/Breaking &amp; Entering"/>
    <n v="9"/>
    <d v="2025-01-16T20:00:00"/>
    <s v="The victim and the suspect were prviously in a two year relationship.  The two never resided together and have no children in common.     P.O. McCarthy and I responded to the listed location on a report of a violation of a court order.  Upon arrival, we met with the victim,  Johnathan Arroyo, who reported hearing a loud bang from the basement door.  After hearing the loud bang, he began to hear his ex-girlfriend, Ashley Celdo Rodriguez, start to scream while standing in the basement.  That's when his brother, David Arroyo, and the victim exit their bedrooms and witness the suspect inside of the house.  Both parties grabbed the suspect and escorted her out of the house.  Once outside, the suspect ran toward the backyard fence and climbed over before our arrival on the scene.  While on the scene, I observed the door frame trim to be damaged.  The victim estimated that the cost to fix the door was $200.00.  P.O. Mcarthy and P.O. Lopez-Amaya arrived to assist and conducted a check of the area.     While on the scene, I observed several surveillance cameras on the residence's exterior.  They showed me the footage of the suspect entering the rear yard and walking to the basement door of the house.  I provided the victim with my departmental e-mail address so that the video footage could be sent.        I contacted police headquarters to see if any active restraining orders were in place.  They advised me that three no-contact orders were in place.  I asked if the victim wanted the scene processed, but he did not want it done.  I asked the victim if he wanted to apply for a restraining order at this time, which he denied.  He also wanted to speak with a DVRT member at a later time.  I provided the victim with the telephone number.  I completed the New Jersey victim notification form and domestic violence supplement were completed.   The victim refused to complete a voluntary handwritten statement.  While at police headquarters, P.O. McCarthy, P.O. Vicale, and P.O. Lopez-Amaya located the suspect. See their supplements for further information.       Arrestee was charged with 2C:29-17-3A(1), 2C:33-4A, 2C:18-2A(1), 2C:29-2A(1) and 3 counts of 2C:29-9A(1) on 0223-W-2025-000023"/>
    <n v="152"/>
    <d v="2025-01-16T00:00:00"/>
    <d v="1899-12-30T20:00:00"/>
    <m/>
    <m/>
    <d v="2025-01-16T00:00:00"/>
    <d v="1899-12-30T02:09:41"/>
    <s v="Winter"/>
    <s v="Night Period (2000-2359)"/>
    <s v="C1W3"/>
    <x v="0"/>
    <s v="Yes"/>
  </r>
  <r>
    <s v="25-006864"/>
    <x v="1"/>
    <n v="2025"/>
    <s v="January"/>
    <n v="1"/>
    <n v="4"/>
    <n v="4"/>
    <x v="1"/>
    <n v="25"/>
    <n v="25"/>
    <x v="2"/>
    <d v="1899-12-30T11:00:00"/>
    <s v="Burglary - Residence"/>
    <s v="Burglary - Residence"/>
    <s v=""/>
    <s v=""/>
    <s v="Burglary - Residence"/>
    <s v="Kansas St, 0 Block"/>
    <s v="60 Kansas Street"/>
    <s v="60 Kansas Street, Hackensack, NJ, 07601"/>
    <s v="E1"/>
    <n v="5"/>
    <s v="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
    <m/>
    <m/>
    <m/>
    <m/>
    <m/>
    <m/>
    <m/>
    <m/>
    <m/>
    <m/>
    <m/>
    <m/>
    <s v="Levis_R"/>
    <s v="Complete"/>
    <s v="P.O. Andres Lopez 375"/>
    <s v="A2"/>
    <s v="Det. Matthew DeBonis 325"/>
    <s v="Active Investigation"/>
    <s v="220 = Burglary/Breaking &amp; Entering"/>
    <n v="9"/>
    <d v="2025-01-25T11:00:00"/>
    <s v="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
    <n v="60"/>
    <d v="2025-01-25T00:00:00"/>
    <d v="1899-12-30T11:00:00"/>
    <d v="2025-01-25T00:00:00"/>
    <d v="1899-12-30T14:00:00"/>
    <d v="2025-01-25T00:00:00"/>
    <d v="1899-12-30T13:55:59"/>
    <s v="Winter"/>
    <s v="Morning Peak (0800-1159)"/>
    <s v="C1W4"/>
    <x v="1"/>
    <s v="Yes"/>
  </r>
  <r>
    <s v="25-008551"/>
    <x v="2"/>
    <n v="2025"/>
    <s v="January"/>
    <n v="1"/>
    <n v="5"/>
    <n v="5"/>
    <x v="2"/>
    <n v="31"/>
    <n v="31"/>
    <x v="2"/>
    <d v="1899-12-30T11:59:50"/>
    <s v="Burglary - Residence"/>
    <s v="Burglary - Residence"/>
    <s v=""/>
    <s v=""/>
    <s v="Burglary - Residence"/>
    <s v="The Esplanade, 200 Block"/>
    <s v="292 The Esplanade"/>
    <s v="292 The Esplanade, Hackensack, NJ, 07601"/>
    <s v="H5"/>
    <n v="8"/>
    <s v="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
    <m/>
    <m/>
    <m/>
    <m/>
    <m/>
    <m/>
    <m/>
    <m/>
    <m/>
    <m/>
    <m/>
    <m/>
    <s v="Klosk_J"/>
    <s v="Complete"/>
    <s v="P.O. Denisse Caero 367"/>
    <s v="B2"/>
    <s v="Det. John Tanucilli 335"/>
    <s v="Active/Administratively Closed"/>
    <s v="220 = Burglary/Breaking &amp; Entering"/>
    <n v="9"/>
    <d v="2025-01-31T11:59:00"/>
    <s v="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
    <n v="292"/>
    <d v="2025-01-31T00:00:00"/>
    <d v="1899-12-30T11:59:50"/>
    <m/>
    <m/>
    <d v="2025-01-31T00:00:00"/>
    <d v="1899-12-30T11:59:50"/>
    <s v="Winter"/>
    <s v="Morning Peak (0800-1159)"/>
    <s v="C2W5"/>
    <x v="2"/>
    <s v="Yes"/>
  </r>
  <r>
    <s v="25-009831"/>
    <x v="3"/>
    <n v="2025"/>
    <s v="February"/>
    <n v="1"/>
    <n v="6"/>
    <n v="2"/>
    <x v="3"/>
    <n v="36"/>
    <n v="5"/>
    <x v="3"/>
    <d v="1899-12-30T02:57:00"/>
    <s v="Burglary - Commercial"/>
    <s v="Burglary - Commercial"/>
    <s v="Alarm - Burglar"/>
    <s v=""/>
    <s v="Burglary - Commercial, Alarm - Burglar"/>
    <s v="Passaic St, 400 Block"/>
    <s v="441 Passaic Street"/>
    <s v="441 Passaic Street, Hackensack, NJ, 07601"/>
    <s v="H5"/>
    <n v="8"/>
    <s v="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
    <m/>
    <m/>
    <m/>
    <m/>
    <m/>
    <m/>
    <m/>
    <m/>
    <m/>
    <m/>
    <m/>
    <m/>
    <s v="Swetits_M"/>
    <s v="Complete"/>
    <s v="P.O. Benjamin Estrada 350"/>
    <s v="A2"/>
    <s v="Det. Frank Scarpa 348"/>
    <s v="Active Investigation"/>
    <s v="220 = Burglary/Breaking &amp; Entering"/>
    <n v="9"/>
    <d v="2025-02-05T02:57:00"/>
    <s v="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
    <n v="441"/>
    <d v="2025-02-05T00:00:00"/>
    <d v="1899-12-30T02:57:00"/>
    <m/>
    <m/>
    <d v="2025-02-05T00:00:00"/>
    <d v="1899-12-30T02:57:41"/>
    <s v="Winter"/>
    <s v="Early Morning (0000-0359)"/>
    <s v="C2W6"/>
    <x v="3"/>
    <s v="Yes"/>
  </r>
  <r>
    <s v="25-013147"/>
    <x v="4"/>
    <n v="2025"/>
    <s v="February"/>
    <n v="1"/>
    <n v="8"/>
    <n v="4"/>
    <x v="4"/>
    <n v="48"/>
    <n v="17"/>
    <x v="0"/>
    <d v="1899-12-30T12:35:58"/>
    <s v="Burglary - Commercial"/>
    <s v="Burglary - Commercial"/>
    <s v="Suspicious Incident"/>
    <s v=""/>
    <s v="Burglary - Commercial, Suspicious Incident"/>
    <s v="Pangborn Pl, 0 Block"/>
    <s v="35 Pangborn Place"/>
    <s v="35 Pangborn Place, Hackensack, NJ, 07601"/>
    <s v="I1"/>
    <n v="9"/>
    <s v="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
    <m/>
    <m/>
    <m/>
    <m/>
    <m/>
    <m/>
    <m/>
    <m/>
    <m/>
    <m/>
    <m/>
    <m/>
    <s v="Deleon_A"/>
    <s v="Complete"/>
    <s v="P.O. Ruben Almonte 359"/>
    <s v="A3"/>
    <s v="Sgt. Francesco Tripodi 134"/>
    <s v="Under Supervisor Review"/>
    <m/>
    <n v="9"/>
    <d v="2025-02-17T12:35:00"/>
    <s v="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
    <n v="35"/>
    <d v="2025-02-17T00:00:00"/>
    <d v="1899-12-30T12:35:58"/>
    <m/>
    <m/>
    <d v="2025-02-17T00:00:00"/>
    <d v="1899-12-30T12:35:58"/>
    <s v="Winter"/>
    <s v="Afternoon Period (1200-1559)"/>
    <s v="C2W7"/>
    <x v="4"/>
    <s v="Yes"/>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s v="25-002635"/>
    <x v="0"/>
    <n v="2025"/>
    <s v="January"/>
    <n v="1"/>
    <n v="2"/>
    <n v="2"/>
    <x v="0"/>
    <n v="6"/>
    <n v="6"/>
    <d v="1899-12-30T15:00:00"/>
    <d v="1899-12-30T15:30:00"/>
    <s v="Burglary - Auto"/>
    <s v="Burglary - Auto"/>
    <s v=""/>
    <s v=""/>
    <x v="0"/>
    <s v="Prospect Ave, 0 Block"/>
    <s v="90 Prospect Avenue"/>
    <s v="90 Prospect Avenue, Hackensack, NJ, 07601"/>
    <m/>
    <n v="7"/>
    <s v="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
    <m/>
    <m/>
    <s v="NJ-XCSW43 HONDA, PIL"/>
    <m/>
    <s v="XCSW43"/>
    <s v="HONDA"/>
    <s v="PIL"/>
    <s v="NJ"/>
    <m/>
    <m/>
    <m/>
    <m/>
    <s v="Deleon_A"/>
    <s v="Complete"/>
    <s v="P.O. Ruben Almonte 359"/>
    <s v="A3"/>
    <s v="Det. Matthew DeBonis 325"/>
    <s v="Active/Administratively Closed"/>
    <s v="23F = Theft From Motor Vehicle"/>
    <n v="9"/>
    <d v="2025-01-06T15:30:00"/>
    <s v="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
    <n v="90"/>
    <d v="2025-01-06T00:00:00"/>
    <d v="1899-12-30T15:30:00"/>
    <d v="2025-01-10T00:00:00"/>
    <m/>
    <d v="2025-01-10T00:00:00"/>
    <d v="1899-12-30T19:49:52"/>
    <s v="Winter"/>
    <s v="Afternoon Period (1200-1559)"/>
    <s v="C1W1"/>
    <d v="2025-01-07T00:00:00"/>
  </r>
  <r>
    <s v="25-002564"/>
    <x v="1"/>
    <n v="2025"/>
    <s v="January"/>
    <n v="1"/>
    <n v="2"/>
    <n v="2"/>
    <x v="1"/>
    <n v="7"/>
    <n v="7"/>
    <d v="1899-12-30T14:00:00"/>
    <d v="1899-12-30T14:00:00"/>
    <s v="Criminal Sexual Contact"/>
    <s v="Criminal Sexual Contact"/>
    <s v="Juvenile Investigation"/>
    <s v=""/>
    <x v="1"/>
    <s v="First St, 100 Block"/>
    <s v="135 First Street"/>
    <s v="135 First Street, Hackensack, NJ, 07601"/>
    <s v="G3"/>
    <n v="7"/>
    <s v="On Friday January 10, 2025, I was assigned as the Hackensack High School SRO. I was advised that a student wanted to report a crime and was currently in the main office. Upon arriving to the main office I met the victim, A.R.       As I began to speak with the victim she immediately began to cry. She stated that she was inappropriately touched by the suspect who is also student. The suspect was identified as Manuel Martinez Perez. The victim stated that on Tuesday January 7, 2025  she was in her 9th period class ESL 2 in room 276. She shares this class with the suspect and his cousin Esmeralda Perez Martinez who is a potential witness.       The victim stated during class the suspect gave her a hug. As he was hugging her he dropped his hand down and grabbed her breast over her clothing. She immediately became angry and told him not to touch her. She then advised Esmeralda Perez Martinez that she was touched inappropriately by the suspect. The victim stated that she reported this incident to her her teacher Mrs. Magdalene Symmonds, but she did not understand her due to a language barrier.  The victim reported that this was not the first time she was inappropriately touched by the suspect. She reported that the prior week a similar incident occurred. I notified assistant Principal Celso King of this report.      I spoke to Esmeralda Perez Martinez who may have witness the incident. Perez Martinez stated that she sits in a group with the victim and the suspect. The day of the incident she did not observe the suspect touch the victim because she was busy doing her class work. The witness did confirm that the victim mentioned to her that she was inappropriately touched by the suspect.       The victim's mother, Raquel Lelio, was notified of the incident and responded to the school. She advised me that she was not sure if she wanted to sign criminal complaints against the suspect. She wants to speak with her daughter and husband before making a decision.       Det. E. Reyes was advised of the incident and will follow up with the complainant at a later time."/>
    <m/>
    <m/>
    <m/>
    <m/>
    <m/>
    <m/>
    <m/>
    <m/>
    <m/>
    <m/>
    <m/>
    <m/>
    <s v="Dominguez_L"/>
    <s v="Complete"/>
    <s v="Det. Cristobal Lara-Nunez 341"/>
    <s v="STA"/>
    <s v="Det. Evelyn Reyes 336"/>
    <s v="Active/Administratively Closed"/>
    <s v="11D = Fondling"/>
    <n v="9"/>
    <d v="2025-01-07T14:00:00"/>
    <s v="On Friday January 10, 2025, I was assigned as the Hackensack High School SRO. I was advised that a student wanted to report a crime and was currently in the main office. Upon arriving to the main office I met the victim, A.R.       As I began to speak with the victim she immediately began to cry. She stated that she was inappropriately touched by the suspect who is also student. The suspect was identified as Manuel Martinez Perez. The victim stated that on Tuesday January 7, 2025  she was in her 9th period class ESL 2 in room 276. She shares this class with the suspect and his cousin Esmeralda Perez Martinez who is a potential witness.       The victim stated during class the suspect gave her a hug. As he was hugging her he dropped his hand down and grabbed her breast over her clothing. She immediately became angry and told him not to touch her. She then advised Esmeralda Perez Martinez that she was touched inappropriately by the suspect. The victim stated that she reported this incident to her her teacher Mrs. Magdalene Symmonds, but she did not understand her due to a language barrier.  The victim reported that this was not the first time she was inappropriately touched by the suspect. She reported that the prior week a similar incident occurred. I notified assistant Principal Celso King of this report.      I spoke to Esmeralda Perez Martinez who may have witness the incident. Perez Martinez stated that she sits in a group with the victim and the suspect. The day of the incident she did not observe the suspect touch the victim because she was busy doing her class work. The witness did confirm that the victim mentioned to her that she was inappropriately touched by the suspect.       The victim's mother, Raquel Lelio, was notified of the incident and responded to the school. She advised me that she was not sure if she wanted to sign criminal complaints against the suspect. She wants to speak with her daughter and husband before making a decision.       Det. E. Reyes was advised of the incident and will follow up with the complainant at a later time."/>
    <n v="135"/>
    <d v="2025-01-07T00:00:00"/>
    <d v="1899-12-30T14:00:00"/>
    <m/>
    <m/>
    <d v="2025-01-10T00:00:00"/>
    <d v="1899-12-30T14:20:51"/>
    <s v="Winter"/>
    <s v="Afternoon Period (1200-1559)"/>
    <s v="C1W2"/>
    <d v="2025-01-07T00:00:00"/>
  </r>
  <r>
    <s v="25-004478"/>
    <x v="2"/>
    <n v="2025"/>
    <s v="January"/>
    <n v="1"/>
    <n v="3"/>
    <n v="3"/>
    <x v="2"/>
    <n v="16"/>
    <n v="16"/>
    <d v="1899-12-30T12:00:00"/>
    <d v="1899-12-30T12:00:00"/>
    <s v="Burglary - Residence"/>
    <s v="Burglary - Residence"/>
    <s v=""/>
    <s v=""/>
    <x v="2"/>
    <s v="Second St, 0 Block"/>
    <s v="30 Second Street"/>
    <s v="30 Second Street, Hackensack, NJ, 07601"/>
    <s v="G3"/>
    <n v="7"/>
    <s v="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
    <m/>
    <m/>
    <m/>
    <m/>
    <m/>
    <m/>
    <m/>
    <m/>
    <m/>
    <m/>
    <m/>
    <m/>
    <s v="Deleon_A"/>
    <s v="Complete"/>
    <s v="P.O. Aziah Miller 357"/>
    <s v="A3"/>
    <s v="Det. Matthew DeBonis 325"/>
    <s v="Active/Administratively Closed"/>
    <s v="220 = Burglary/Breaking &amp; Entering"/>
    <n v="9"/>
    <d v="2025-01-16T12:00:00"/>
    <s v="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
    <n v="30"/>
    <d v="2025-01-16T00:00:00"/>
    <d v="1899-12-30T12:00:00"/>
    <d v="2025-01-16T00:00:00"/>
    <d v="1899-12-30T18:00:00"/>
    <d v="2025-01-16T00:00:00"/>
    <d v="1899-12-30T19:34:52"/>
    <s v="Winter"/>
    <s v="Afternoon Period (1200-1559)"/>
    <s v="C1W3"/>
    <d v="2025-01-21T00:00:00"/>
  </r>
  <r>
    <s v="25-013091"/>
    <x v="3"/>
    <n v="2025"/>
    <s v="February"/>
    <n v="1"/>
    <n v="8"/>
    <n v="4"/>
    <x v="0"/>
    <n v="48"/>
    <n v="17"/>
    <d v="1899-12-30T08:00:00"/>
    <d v="1899-12-30T08:22:14"/>
    <s v="Motor Vehicle Theft"/>
    <s v="Motor Vehicle Theft"/>
    <s v="Recovered Stolen Vehicle"/>
    <s v=""/>
    <x v="3"/>
    <s v="Second St, 100 Block"/>
    <s v="100 Second Street"/>
    <s v="100 Second Street, Hackensack, NJ, 07601"/>
    <s v="G3"/>
    <n v="7"/>
    <s v="Suspect(s): Unknown     The victim, Kimberly Trujillo, responded to Police Headquarters on a report of a Motor Vehicle Theft.  Upon arrival, the victim stated that her 2022 grey 4-door Honda Accord bearing NJ reg: L17PUM had been stolen from her apartment complex's parking lot and had been located in Rochelle Park. The victim further stated the listed vehicle was parked in assigned space number #2 and was last known to be parked there at approximately 2300 hours. The victim advised me she was in possession of the master key and no other party had access to her vehicle. The victim further advised me the spare key to her vehicle was misplaced approximately two (2) years in the past. Both license plates were attached to the vehicle at the time the victim parked the vehicle.     The victim stated on 02/17/2025 at approximately 0800, she received a phone call from Rochelle Park Police Department Det. Galina #151 advising her the listed vehicle had been located behind a CrossFit gym in Rochelle Park. Det. Gallina #151 further advised the victim, that the listed vehicle was located with all four (4) wheels removed from the vehicle. The victim further stated upon receiving the phone call, they responded to their second vehicle which was also parked in their apartment complex's parking lot. At this time, the victim observed an E-Z Pass and Camera from the stolen vehicle left on the hood of her second vehicle.      The victim stated she would like to have the vehicle processed should it be recovered and signed a consent to search form. A victim notification form was completed and a copy was given to the victim. The vehicle's insurance information was unable to be provided due to the paperwork being inside the glove box of the stolen vehicle.The vehicle registration was given to dispatch and was entered into NCIC. A stolen vehicle entry was made into the Auto Theft Task Force website.The vehicle's estimated value is approximately $22,000 USD.  See Rochelle Park Case #2025-002492."/>
    <m/>
    <m/>
    <s v="NJ-L17PUM HONDA, ACC"/>
    <m/>
    <s v="L17PUM"/>
    <s v="HONDA"/>
    <s v="ACC"/>
    <s v="NJ"/>
    <m/>
    <m/>
    <m/>
    <m/>
    <s v="Deleon_A"/>
    <s v="Complete"/>
    <s v="P.O. Ruben Almonte 359"/>
    <s v="A3"/>
    <s v="Det. Demetrius Carroll 133"/>
    <s v="Active/Administratively Closed"/>
    <m/>
    <n v="9"/>
    <d v="2025-02-17T08:22:00"/>
    <s v="Suspect(s): Unknown     The victim, Kimberly Trujillo, responded to Police Headquarters on a report of a Motor Vehicle Theft.  Upon arrival, the victim stated that her 2022 grey 4-door Honda Accord bearing NJ reg: L17PUM had been stolen from her apartment complex's parking lot and had been located in Rochelle Park. The victim further stated the listed vehicle was parked in assigned space number #2 and was last known to be parked there at approximately 2300 hours. The victim advised me she was in possession of the master key and no other party had access to her vehicle. The victim further advised me the spare key to her vehicle was misplaced approximately two (2) years in the past. Both license plates were attached to the vehicle at the time the victim parked the vehicle.     The victim stated on 02/17/2025 at approximately 0800, she received a phone call from Rochelle Park Police Department Det. Galina #151 advising her the listed vehicle had been located behind a CrossFit gym in Rochelle Park. Det. Gallina #151 further advised the victim, that the listed vehicle was located with all four (4) wheels removed from the vehicle. The victim further stated upon receiving the phone call, they responded to their second vehicle which was also parked in their apartment complex's parking lot. At this time, the victim observed an E-Z Pass and Camera from the stolen vehicle left on the hood of her second vehicle.      The victim stated she would like to have the vehicle processed should it be recovered and signed a consent to search form. A victim notification form was completed and a copy was given to the victim. The vehicle's insurance information was unable to be provided due to the paperwork being inside the glove box of the stolen vehicle.The vehicle registration was given to dispatch and was entered into NCIC. A stolen vehicle entry was made into the Auto Theft Task Force website.The vehicle's estimated value is approximately $22,000 USD.  See Rochelle Park Case #2025-002492."/>
    <n v="100"/>
    <d v="2025-02-17T00:00:00"/>
    <d v="1899-12-30T08:22:14"/>
    <m/>
    <m/>
    <d v="2025-02-17T00:00:00"/>
    <d v="1899-12-30T08:22:14"/>
    <s v="Winter"/>
    <s v="Morning Peak (0800-1159)"/>
    <s v="C2W7"/>
    <d v="2025-02-18T00:00:00"/>
  </r>
  <r>
    <s v="25-013106"/>
    <x v="3"/>
    <n v="2025"/>
    <s v="February"/>
    <n v="1"/>
    <n v="8"/>
    <n v="4"/>
    <x v="0"/>
    <n v="48"/>
    <n v="17"/>
    <d v="1899-12-30T09:00:00"/>
    <d v="1899-12-30T09:31:55"/>
    <s v="Motor Vehicle Theft"/>
    <s v="Motor Vehicle Theft"/>
    <s v=""/>
    <s v=""/>
    <x v="4"/>
    <s v="Prospect Ave, 0 Block"/>
    <s v="30 Prospect Avenue"/>
    <s v="30 Prospect Avenue, Hackensack, NJ, 07601"/>
    <s v="G4"/>
    <n v="7"/>
    <s v="On February 17, 2025 I responded to 300 Atlantic Street (HUMC Parking Garage) on a report of a motor vehicle theft. Upon arrival, I met with the victim who is the registered owner of the vehicle and his wife. The victim advised me that his wife parked the vehicle (2020 Honda Accord blue) inside the monthly permit parking section near the entrance of the garage at approximately 2000 hours last night. This morning around 0900 hours they arrived to the garage and discovered that the vehicle was missing. They advised me that they only have one key and checked the area for the vehicle but were met with negative results. I advised Headquarters to check if the vehicle was towed from the premises which also yielded negative results. At this time I advised the registered owner the procedure with reporting a stolen vehicle. At this time he stated he wanted the vehicle processed and signed a consent to search form. A victim notification form was also completed and a copy was provided to the victim. Upon completion the vehicle was placed into NCIC and ATTF as stolen."/>
    <m/>
    <m/>
    <s v="NJ-Z53RVG HONDA, ACC"/>
    <m/>
    <s v="Z53RVG"/>
    <s v="HONDA"/>
    <s v="ACC"/>
    <s v="NJ"/>
    <m/>
    <m/>
    <m/>
    <m/>
    <s v="Deleon_A"/>
    <s v="Complete"/>
    <s v="P.O. Anzour Marza 356"/>
    <s v="A3"/>
    <s v="Det. Demetrius Carroll 133"/>
    <s v="Active Investigation"/>
    <m/>
    <n v="9"/>
    <d v="2025-02-17T09:31:00"/>
    <s v="On February 17, 2025 I responded to 300 Atlantic Street (HUMC Parking Garage) on a report of a motor vehicle theft. Upon arrival, I met with the victim who is the registered owner of the vehicle and his wife. The victim advised me that his wife parked the vehicle (2020 Honda Accord blue) inside the monthly permit parking section near the entrance of the garage at approximately 2000 hours last night. This morning around 0900 hours they arrived to the garage and discovered that the vehicle was missing. They advised me that they only have one key and checked the area for the vehicle but were met with negative results. I advised Headquarters to check if the vehicle was towed from the premises which also yielded negative results. At this time I advised the registered owner the procedure with reporting a stolen vehicle. At this time he stated he wanted the vehicle processed and signed a consent to search form. A victim notification form was also completed and a copy was provided to the victim. Upon completion the vehicle was placed into NCIC and ATTF as stolen."/>
    <n v="30"/>
    <d v="2025-02-17T00:00:00"/>
    <d v="1899-12-30T09:31:55"/>
    <m/>
    <m/>
    <d v="2025-02-17T00:00:00"/>
    <d v="1899-12-30T09:31:55"/>
    <s v="Winter"/>
    <s v="Morning Peak (0800-1159)"/>
    <s v="C2W7"/>
    <d v="2025-02-18T00: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s v="25-000813"/>
    <x v="0"/>
    <n v="2025"/>
    <s v="January"/>
    <n v="1"/>
    <n v="1"/>
    <n v="1"/>
    <s v="Friday"/>
    <n v="3"/>
    <n v="3"/>
    <d v="1899-12-30T21:00:00"/>
    <d v="1899-12-30T21:30:00"/>
    <x v="0"/>
    <s v="Motor Vehicle Theft"/>
    <s v=""/>
    <s v=""/>
    <s v="Motor Vehicle Theft"/>
    <x v="0"/>
    <s v="309 Lookout Avenue"/>
    <s v="309 Lookout Avenue, Hackensack, NJ, 07601"/>
    <s v="I2"/>
    <n v="9"/>
    <s v="On Saturday, January 4th, 2025, I responded to the listed location on a report of a motor vehicle theft. Upon arrival, I met the registered owner, who reported that his vehicle was parked in the driveway at 21:30 hours on 01/03/2025. He further reported that he left his residence with his friends in his friend's vehicle and returned to his residence on the morning of 01/04/2025. He noticed his vehicle was taken from his driveway. The registered owner reported there was nothing valuable in the car and was uncertain if the spare keys were in the vehicle. Both New Jersey plates are affixed to the vehicle.      Communications advised me that the vehicle was located in Clarkstown, NY, and was involved in a motor vehicle hit-and-run accident. The registered owner was also advised of the vehicle's location. I observed no cameras in the area.      The victim did not want the vehicle processed or to sign complaints if the suspect(s) are identified.     A New Jersey Victim Notification form was completed and provided to the registered owner.     An ATTF entry was completed    A motor vehicle checklist was completed and submitted."/>
    <m/>
    <m/>
    <s v="NJ-W46ULY HONDA, ACC"/>
    <m/>
    <s v="W46ULY"/>
    <s v="HONDA"/>
    <s v="ACC"/>
    <s v="NJ"/>
    <m/>
    <m/>
    <m/>
    <m/>
    <s v="Klosk_J"/>
    <s v="Complete"/>
    <s v="P.O. Nicholas Mazzaccaro 377"/>
    <s v="B4"/>
    <s v="Det. Robert Ghirardi 150"/>
    <s v="Active/Administratively Closed"/>
    <s v="240 = Theft of Motor Vehicle"/>
    <n v="9"/>
    <d v="2025-01-03T21:30:00"/>
    <s v="On Saturday, January 4th, 2025, I responded to the listed location on a report of a motor vehicle theft. Upon arrival, I met the registered owner, who reported that his vehicle was parked in the driveway at 21:30 hours on 01/03/2025. He further reported that he left his residence with his friends in his friend's vehicle and returned to his residence on the morning of 01/04/2025. He noticed his vehicle was taken from his driveway. The registered owner reported there was nothing valuable in the car and was uncertain if the spare keys were in the vehicle. Both New Jersey plates are affixed to the vehicle.      Communications advised me that the vehicle was located in Clarkstown, NY, and was involved in a motor vehicle hit-and-run accident. The registered owner was also advised of the vehicle's location. I observed no cameras in the area.      The victim did not want the vehicle processed or to sign complaints if the suspect(s) are identified.     A New Jersey Victim Notification form was completed and provided to the registered owner.     An ATTF entry was completed    A motor vehicle checklist was completed and submitted."/>
    <n v="309"/>
    <d v="2025-01-03T00:00:00"/>
    <d v="1899-12-30T21:30:00"/>
    <d v="2025-01-04T00:00:00"/>
    <d v="1899-12-30T06:25:00"/>
    <d v="2025-01-04T00:00:00"/>
    <d v="1899-12-30T10:59:09"/>
    <s v="Winter"/>
    <s v="Night Period (2000-2359)"/>
    <s v="C1W1"/>
    <d v="2025-01-07T00:00:00"/>
  </r>
  <r>
    <s v="25-003813"/>
    <x v="1"/>
    <n v="2025"/>
    <s v="January"/>
    <n v="1"/>
    <n v="3"/>
    <n v="3"/>
    <s v="Tuesday"/>
    <n v="14"/>
    <n v="14"/>
    <d v="1899-12-30T15:00:00"/>
    <d v="1899-12-30T15:22:34"/>
    <x v="1"/>
    <s v="Robbery"/>
    <s v="Resisting Arrest/Eluding"/>
    <s v="Suspicious Person"/>
    <s v="Robbery, Resisting Arrest/Eluding, Suspicious Person"/>
    <x v="1"/>
    <s v="450 Hackensack Avenue"/>
    <s v="450 Hackensack Avenue, Hackensack, NJ, 07601"/>
    <s v="I6"/>
    <n v="9"/>
    <s v="On Tuesday, January 14th, 2025, P.O. Conlon. P.O. Voorhis, and I responded to 450 Hackensack Avenue for a report of a trespasser on the premises who had shoplifted in the past and has also been aggressive with staff in the past.    Upon my arrival, I observed the arrestee enter a white Volkswagon (NJ-Y82VDS) that was leaving the parking lot. The security officers at Home Depot also pointed out the arrestee as he entered the car. I conducted a motor vehicle stop with the vehicle at the traffic light exiting the parking lot. As I approached the vehicle, the arrestee exited the vehicle and started running West on Hackensack Avenue. P.O. Conlon, P.O. Voorhis, and I began running after the arrestee and announcing ourselves as Hackensack Police. When the arrestee approached the other side of Hackensack Avenue, he stopped, and P.O. Conlon apprehended him. The arrestee was flailing his arms while I was attempting to place him in handcuffs. The arrestee was then put in handcuffs with his hands behind his back. The arrestee was then searched, which yielded negative for contraband.   The Loss Prevention Officers stated that the arrestee entered the front door of Home Depot with a black ski covering his face. The loss prevention officers noticed the arrestee from previous shoplifting. The arrestee then concealed several power tools totaling $1,284.00 and placed them in a shopping cart. The arrestee then went past all points of sale and tried to exit the store. Prior to exiting the store, the loss prevention officers approached him and tried to stop him from leaving. The arrestee then pushed the loss prevention officers and fled the store on foot. The loss prevention officer recovered the items. The arrestee then entered the listed vehicle and fled the parking lot for the exit of the mall. A photo copy of the receipt was placed into the BCI mailbox located at the front at the front desk.  The items that were recovered: M18 Jobsite Radio priced at $189.00Two 20V Atomic BL Combo Kit priced at $149.00 eachM18 Fuel Jig Saw priced at $199.00MKE M12 Packout Flood Light priced at $149.00M18 Fuel 10 Miter Saw priced at $449.00     Totaling at $1,284.00.The arrestee was placed in radio car 114 and transported to police headquarters for processing. The vehicle was checked before and after the transport for contraband which yielded negative   The arrestee was processed at police headquarters by P.O. Caero. Complaint W-2025-000016 was authored by Lt. Swetits against the arrestee and was signed for 2C:29-2a(1), 2C:29-2a(2), and two counts of 2C:15-1A(1).  The arrestee also had multiple outstanding warrants from various jurisdictions.The arrestee was remanded to the Bergen County Jail."/>
    <m/>
    <m/>
    <s v="NJ-Y82VDS VOLKS, ATL"/>
    <m/>
    <s v="Y82VDS"/>
    <s v="VOLKS"/>
    <s v="ATL"/>
    <s v="NJ"/>
    <m/>
    <m/>
    <m/>
    <m/>
    <s v="Swetits_M"/>
    <s v="Complete"/>
    <s v="P.O. Nicholas Mazzaccaro 377"/>
    <s v="B2"/>
    <s v="Det. John Tanucilli 335"/>
    <s v="Active Investigation"/>
    <s v="120 = Robbery"/>
    <n v="9"/>
    <d v="2025-01-14T15:22:00"/>
    <s v="On Tuesday, January 14th, 2025, P.O. Conlon. P.O. Voorhis, and I responded to 450 Hackensack Avenue for a report of a trespasser on the premises who had shoplifted in the past and has also been aggressive with staff in the past.    Upon my arrival, I observed the arrestee enter a white Volkswagon (NJ-Y82VDS) that was leaving the parking lot. The security officers at Home Depot also pointed out the arrestee as he entered the car. I conducted a motor vehicle stop with the vehicle at the traffic light exiting the parking lot. As I approached the vehicle, the arrestee exited the vehicle and started running West on Hackensack Avenue. P.O. Conlon, P.O. Voorhis, and I began running after the arrestee and announcing ourselves as Hackensack Police. When the arrestee approached the other side of Hackensack Avenue, he stopped, and P.O. Conlon apprehended him. The arrestee was flailing his arms while I was attempting to place him in handcuffs. The arrestee was then put in handcuffs with his hands behind his back. The arrestee was then searched, which yielded negative for contraband.   The Loss Prevention Officers stated that the arrestee entered the front door of Home Depot with a black ski covering his face. The loss prevention officers noticed the arrestee from previous shoplifting. The arrestee then concealed several power tools totaling $1,284.00 and placed them in a shopping cart. The arrestee then went past all points of sale and tried to exit the store. Prior to exiting the store, the loss prevention officers approached him and tried to stop him from leaving. The arrestee then pushed the loss prevention officers and fled the store on foot. The loss prevention officer recovered the items. The arrestee then entered the listed vehicle and fled the parking lot for the exit of the mall. A photo copy of the receipt was placed into the BCI mailbox located at the front at the front desk.  The items that were recovered: M18 Jobsite Radio priced at $189.00Two 20V Atomic BL Combo Kit priced at $149.00 eachM18 Fuel Jig Saw priced at $199.00MKE M12 Packout Flood Light priced at $149.00M18 Fuel 10 Miter Saw priced at $449.00     Totaling at $1,284.00.The arrestee was placed in radio car 114 and transported to police headquarters for processing. The vehicle was checked before and after the transport for contraband which yielded negative   The arrestee was processed at police headquarters by P.O. Caero. Complaint W-2025-000016 was authored by Lt. Swetits against the arrestee and was signed for 2C:29-2a(1), 2C:29-2a(2), and two counts of 2C:15-1A(1).  The arrestee also had multiple outstanding warrants from various jurisdictions.The arrestee was remanded to the Bergen County Jail."/>
    <n v="450"/>
    <d v="2025-01-14T00:00:00"/>
    <d v="1899-12-30T15:22:34"/>
    <m/>
    <m/>
    <d v="2025-01-14T00:00:00"/>
    <d v="1899-12-30T15:22:34"/>
    <s v="Winter"/>
    <s v="Afternoon Period (1200-1559)"/>
    <s v="C1W3"/>
    <d v="2025-01-14T00:00:00"/>
  </r>
  <r>
    <s v="25-003745"/>
    <x v="1"/>
    <n v="2025"/>
    <s v="January"/>
    <n v="1"/>
    <n v="3"/>
    <n v="3"/>
    <s v="Tuesday"/>
    <n v="14"/>
    <n v="14"/>
    <d v="1899-12-30T11:00:00"/>
    <d v="1899-12-30T11:08:00"/>
    <x v="2"/>
    <s v="Burglary - Residence"/>
    <s v="Harassment"/>
    <s v="Domestic Violence"/>
    <s v="Burglary - Residence, Harassment, Domestic Violence"/>
    <x v="2"/>
    <s v="895 Main Street"/>
    <s v="895 Main Street, Hackensack, NJ, 07601"/>
    <s v="I5"/>
    <n v="9"/>
    <s v="On Tuesday, 01/14/2025, P.O. Rivera and I responded to 895 Main Street apartment 12A for a Domestic Violence incident report. Mrs. Charmaine Perez (victim) is the mother of Mr. Christopher Pereira (suspect). Mr. Eusebia Perez (witness) is married to the victim and stepfather to the suspect.      The victim reported that the suspect has not lived at the apartment for approximately three (3) months. The suspect does not have key access to the apartment. There is a vestibule, which is kept locked, that leads to a first and second floor apartment. The victim's apartment is on the first floor.       The victim reported that the suspect broke into the apartment uninvited and continued into her bedroom, where she was located. The suspect was irate, confronted her about money that she was awarded from a lawsuit settlement. The suspect stated, &quot; BITCH, DON'T MESS WITH THE GRANDKIDS, DO YOU KNOW WHO THAT NIGGA IS ON THE COUCH, STAY THE FUCK AWAY FROM ME!&quot; The victim reported at the time her granddaughter, Ms. Keka Ornsby, and her boyfriend were seated on the couch when the suspect entered. The victim reported that the suspect did not engage with Ms. Keka Ornsby. It should be noted, Ms. Ornsby's mother has an active temporary restraining order (Docket #FV-02000101-11 against the suspect. Ms. Ornsby is listed as an additional person in the order. The victim reported that Ms. Ornsby began staying with her for approximately three (3) weeks. Due to the statements the victim made, we did not sign a complaint against suspect for 2C:29-9 (Contempt of court).       The victim reported when the suspect exited the bedroom, the granddaughter and her boyfriend left and the witness entered the apartment. The witness reported that he avoided confrontation from the suspect by exiting the apartment. The witness was unaware the suspect was inside and the victim confirmed his reporting. It should be noted, the suspect has a no contact order against the witness (See complaint #W2024-000767-0223). Due to the victim's and witness's statement, we did not sign a complaint against the witness for 2C:29-9 (Contempt of court).      Sgt. Williams arrived to assist. The victim believed the suspect used a credit card to gain entry into the apartment. The vestibule door and apartment door had old damage near the doorknob and strike plate. The victim confirmed our observation. Sgt. Detective Bay was notified. The scene was unable to be processed, but was captured by my body worn camera.      The victim wanted a temporary restraining order and willing to give a recorded statement. She was transported to headquarters, gave a recorded statement to detectives (See their supplement), and Judge Takvorian granted the TRO in report room #2 @1342 hours. Sgt. Feuilly was sent an e-mail to preserve the recording. The victim was given her copy of the TRO. She did not want to speak with a Domestic Violence Response member, but was provided their phone number. A voluntary handwritten form was not completed because she gave a recorded statement. A New Jersey Victim notification form was completed.      Lt. Knapp authored complaint #W-0223-2025-000014 for 2C:33-4C (Harassment), a petty disorderly persons offense, and 2C:18-2A(1) (Burglary), a third degree crime."/>
    <m/>
    <m/>
    <m/>
    <m/>
    <m/>
    <m/>
    <m/>
    <m/>
    <m/>
    <m/>
    <m/>
    <m/>
    <s v="Knapp_J"/>
    <s v="Complete"/>
    <s v="P.O. Kevin Small 328"/>
    <s v="B2"/>
    <s v="Det. John Tanucilli 335"/>
    <s v="Complaint Signed"/>
    <s v="220 = Burglary/Breaking &amp; Entering"/>
    <n v="9"/>
    <d v="2025-01-14T11:08:00"/>
    <s v="On Tuesday, 01/14/2025, P.O. Rivera and I responded to 895 Main Street apartment 12A for a Domestic Violence incident report. Mrs. Charmaine Perez (victim) is the mother of Mr. Christopher Pereira (suspect). Mr. Eusebia Perez (witness) is married to the victim and stepfather to the suspect.      The victim reported that the suspect has not lived at the apartment for approximately three (3) months. The suspect does not have key access to the apartment. There is a vestibule, which is kept locked, that leads to a first and second floor apartment. The victim's apartment is on the first floor.       The victim reported that the suspect broke into the apartment uninvited and continued into her bedroom, where she was located. The suspect was irate, confronted her about money that she was awarded from a lawsuit settlement. The suspect stated, &quot; BITCH, DON'T MESS WITH THE GRANDKIDS, DO YOU KNOW WHO THAT NIGGA IS ON THE COUCH, STAY THE FUCK AWAY FROM ME!&quot; The victim reported at the time her granddaughter, Ms. Keka Ornsby, and her boyfriend were seated on the couch when the suspect entered. The victim reported that the suspect did not engage with Ms. Keka Ornsby. It should be noted, Ms. Ornsby's mother has an active temporary restraining order (Docket #FV-02000101-11 against the suspect. Ms. Ornsby is listed as an additional person in the order. The victim reported that Ms. Ornsby began staying with her for approximately three (3) weeks. Due to the statements the victim made, we did not sign a complaint against suspect for 2C:29-9 (Contempt of court).       The victim reported when the suspect exited the bedroom, the granddaughter and her boyfriend left and the witness entered the apartment. The witness reported that he avoided confrontation from the suspect by exiting the apartment. The witness was unaware the suspect was inside and the victim confirmed his reporting. It should be noted, the suspect has a no contact order against the witness (See complaint #W2024-000767-0223). Due to the victim's and witness's statement, we did not sign a complaint against the witness for 2C:29-9 (Contempt of court).      Sgt. Williams arrived to assist. The victim believed the suspect used a credit card to gain entry into the apartment. The vestibule door and apartment door had old damage near the doorknob and strike plate. The victim confirmed our observation. Sgt. Detective Bay was notified. The scene was unable to be processed, but was captured by my body worn camera.      The victim wanted a temporary restraining order and willing to give a recorded statement. She was transported to headquarters, gave a recorded statement to detectives (See their supplement), and Judge Takvorian granted the TRO in report room #2 @1342 hours. Sgt. Feuilly was sent an e-mail to preserve the recording. The victim was given her copy of the TRO. She did not want to speak with a Domestic Violence Response member, but was provided their phone number. A voluntary handwritten form was not completed because she gave a recorded statement. A New Jersey Victim notification form was completed.      Lt. Knapp authored complaint #W-0223-2025-000014 for 2C:33-4C (Harassment), a petty disorderly persons offense, and 2C:18-2A(1) (Burglary), a third degree crime."/>
    <n v="895"/>
    <d v="2025-01-14T00:00:00"/>
    <d v="1899-12-30T11:08:00"/>
    <m/>
    <m/>
    <d v="2025-01-14T00:00:00"/>
    <d v="1899-12-30T11:13:04"/>
    <s v="Winter"/>
    <s v="Morning Peak (0800-1159)"/>
    <s v="C1W3"/>
    <d v="2025-01-14T00:00:00"/>
  </r>
  <r>
    <s v="25-004629"/>
    <x v="2"/>
    <n v="2025"/>
    <s v="January"/>
    <n v="1"/>
    <n v="3"/>
    <n v="3"/>
    <s v="Thursday"/>
    <n v="16"/>
    <n v="16"/>
    <d v="1899-12-30T21:00:00"/>
    <d v="1899-12-30T21:03:00"/>
    <x v="1"/>
    <s v="Robbery"/>
    <s v=""/>
    <s v=""/>
    <s v="Robbery"/>
    <x v="3"/>
    <s v="630 Main Street"/>
    <s v="630 Main Street, Hackensack, NJ, 07601"/>
    <s v="I1"/>
    <n v="9"/>
    <s v="Suspect 1: Hispanic male, approximately early 30' s in age, approximately 5'10&quot; in height, approximately 180 in weight, wearing a tan hooded sweater, brown &quot;NY&quot; Yankees logo hat, black sweatpants and white sneakers.Suspect 2: Hispanic female, approximately mid 20's in age, approximately 5'5&quot; in height, approximately 140 in weight, wearing a black jacket, grey hooded sweater, tan pants and cream colored shoes. Suspect Vehicle: 4 door Silver in color Hyundai Sonata (unknown registration).On 1/17/25 P.O. Papanikolaou and I responded to 630 Main Street, Target on a reported shoplifting. While   speaking with Target Loss Prevention they wanted to report an additional incident, which occurred in the past.Target Loss Prevention / victim, Cheikh Gaye, reported on 1/16/25 at approximately 21:03 hours suspect 1 and suspect 2 entered Target. It was further reported on 1/16/25 at approximately 21:16 hours suspect 1 and 2 passed all points of sale with unpaid merchandise in a shopping cart. The unpaid merchandise (furniture, grocery, health and beauty, home and kitchen products) totaled $452.71. Prior to exiting Target Loss Prevention / the victim confronted both suspects. Target Loss Prevention were able to recover all merchandise that both suspects attempted to steal. While recovering the stolen merchandise suspect 1 punched the victim in the head, specifically the top left side, with a closed fist one time. The victim reported having a complaint of pain hours after being assaulted. Both suspect later left the area in the suspect vehicle. A Sgt. was requested and Sgt. Competiello responded. Detectives were notified. The victim later responded to headquarters to provide a voluntary statement. The victim refused medical attention at this time.A receipt of the unpaid merchandise was provided by Target Loss Prevention. The receipt was later secured in the Detective Bureau Mailbox."/>
    <m/>
    <m/>
    <s v="HYUNDAI, SONATA"/>
    <m/>
    <m/>
    <s v="HYUNDAI"/>
    <s v="SONATA"/>
    <m/>
    <m/>
    <m/>
    <m/>
    <m/>
    <s v="Deleon_A"/>
    <s v="Complete"/>
    <s v="P.O. Massimo Gallorini 379"/>
    <s v="A2"/>
    <s v="Det. John Mora 257"/>
    <s v="Active Investigation"/>
    <s v="120 = Robbery"/>
    <n v="9"/>
    <d v="2025-01-16T21:03:00"/>
    <s v="Suspect 1: Hispanic male, approximately early 30' s in age, approximately 5'10&quot; in height, approximately 180 in weight, wearing a tan hooded sweater, brown &quot;NY&quot; Yankees logo hat, black sweatpants and white sneakers.Suspect 2: Hispanic female, approximately mid 20's in age, approximately 5'5&quot; in height, approximately 140 in weight, wearing a black jacket, grey hooded sweater, tan pants and cream colored shoes. Suspect Vehicle: 4 door Silver in color Hyundai Sonata (unknown registration).On 1/17/25 P.O. Papanikolaou and I responded to 630 Main Street, Target on a reported shoplifting. While   speaking with Target Loss Prevention they wanted to report an additional incident, which occurred in the past.Target Loss Prevention / victim, Cheikh Gaye, reported on 1/16/25 at approximately 21:03 hours suspect 1 and suspect 2 entered Target. It was further reported on 1/16/25 at approximately 21:16 hours suspect 1 and 2 passed all points of sale with unpaid merchandise in a shopping cart. The unpaid merchandise (furniture, grocery, health and beauty, home and kitchen products) totaled $452.71. Prior to exiting Target Loss Prevention / the victim confronted both suspects. Target Loss Prevention were able to recover all merchandise that both suspects attempted to steal. While recovering the stolen merchandise suspect 1 punched the victim in the head, specifically the top left side, with a closed fist one time. The victim reported having a complaint of pain hours after being assaulted. Both suspect later left the area in the suspect vehicle. A Sgt. was requested and Sgt. Competiello responded. Detectives were notified. The victim later responded to headquarters to provide a voluntary statement. The victim refused medical attention at this time.A receipt of the unpaid merchandise was provided by Target Loss Prevention. The receipt was later secured in the Detective Bureau Mailbox."/>
    <n v="630"/>
    <d v="2025-01-16T00:00:00"/>
    <d v="1899-12-30T21:03:00"/>
    <d v="2025-01-16T00:00:00"/>
    <d v="1899-12-30T21:16:00"/>
    <d v="2025-01-17T00:00:00"/>
    <d v="1899-12-30T12:16:59"/>
    <s v="Winter"/>
    <s v="Night Period (2000-2359)"/>
    <s v="C1W3"/>
    <d v="2025-01-21T00:00:00"/>
  </r>
  <r>
    <s v="25-005871"/>
    <x v="3"/>
    <n v="2025"/>
    <s v="January"/>
    <n v="1"/>
    <n v="4"/>
    <n v="4"/>
    <s v="Tuesday"/>
    <n v="21"/>
    <n v="21"/>
    <d v="1899-12-30T19:00:00"/>
    <d v="1899-12-30T19:00:00"/>
    <x v="0"/>
    <s v="Motor Vehicle Theft"/>
    <s v=""/>
    <s v=""/>
    <s v="Motor Vehicle Theft"/>
    <x v="4"/>
    <s v="33 Ross Avenue"/>
    <s v="33 Ross Avenue, Hackensack, NJ, 07601"/>
    <s v="I1"/>
    <n v="9"/>
    <s v="On January 22, 2025, I responded to the listed location on a report on a stolen motor vehicle. Upon arrival, I met with the registered owner, Kamil Garcia. The registered owner stated on January 21, 2025 at approximately 1800 hours he parked his vehicle, a 2023 Honda Passport color red bearing NJ registration U22RSV in front of 33 Ross Ave facing West. The registered owner stated that he currently has possession of the two key fobs that belong to the vehicle. At approximately 0309 hours on January 22, 2025 he responded to his vehicle where he last parked it and the vehicle was no longer there.       The registered owner received a completed victim notification. The vehicle was entered as stolen into NCIC (NIC #  V956704006) along with a stolen motor vehicle form. The vehicle was also entered as stolen into the  ATTF website. The registered owner does not wish to have the vehicle processed at this time. Approximate value for the above vehicle is 46,000.00 USD."/>
    <m/>
    <m/>
    <s v="NJ-U22RSV HONDA, PAS"/>
    <m/>
    <s v="U22RSV"/>
    <s v="HONDA"/>
    <s v="PAS"/>
    <s v="NJ"/>
    <m/>
    <m/>
    <m/>
    <m/>
    <s v="Tovbin_S"/>
    <s v="Complete"/>
    <s v="P.O. Roselys Salas 369"/>
    <s v="B4"/>
    <s v="Det. John Tanucilli 335"/>
    <s v="Active/Administratively Closed"/>
    <s v="240 = Theft of Motor Vehicle"/>
    <n v="9"/>
    <d v="2025-01-21T19:00:00"/>
    <s v="On January 22, 2025, I responded to the listed location on a report on a stolen motor vehicle. Upon arrival, I met with the registered owner, Kamil Garcia. The registered owner stated on January 21, 2025 at approximately 1800 hours he parked his vehicle, a 2023 Honda Passport color red bearing NJ registration U22RSV in front of 33 Ross Ave facing West. The registered owner stated that he currently has possession of the two key fobs that belong to the vehicle. At approximately 0309 hours on January 22, 2025 he responded to his vehicle where he last parked it and the vehicle was no longer there.       The registered owner received a completed victim notification. The vehicle was entered as stolen into NCIC (NIC #  V956704006) along with a stolen motor vehicle form. The vehicle was also entered as stolen into the  ATTF website. The registered owner does not wish to have the vehicle processed at this time. Approximate value for the above vehicle is 46,000.00 USD."/>
    <n v="33"/>
    <d v="2025-01-21T00:00:00"/>
    <d v="1899-12-30T19:00:00"/>
    <d v="2025-01-22T00:00:00"/>
    <d v="1899-12-30T03:09:00"/>
    <d v="2025-01-22T00:00:00"/>
    <d v="1899-12-30T03:10:53"/>
    <s v="Winter"/>
    <s v="Evening Peak (1600-1959)"/>
    <s v="C1W4"/>
    <d v="2025-01-21T00:00:00"/>
  </r>
  <r>
    <s v="25-007197"/>
    <x v="4"/>
    <n v="2025"/>
    <s v="January"/>
    <n v="1"/>
    <n v="5"/>
    <n v="5"/>
    <s v="Sunday"/>
    <n v="26"/>
    <n v="26"/>
    <d v="1899-12-30T20:00:00"/>
    <d v="1899-12-30T20:10:00"/>
    <x v="3"/>
    <s v="Burglary - Auto"/>
    <s v="Theft"/>
    <s v=""/>
    <s v="Burglary - Auto, Theft"/>
    <x v="5"/>
    <s v="5 Pangborn Place"/>
    <s v="5 Pangborn Place, Hackensack, NJ, 07601"/>
    <s v="H2"/>
    <n v="9"/>
    <s v="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
    <m/>
    <m/>
    <s v="NJ-R97RYW HONDA, ODY"/>
    <m/>
    <s v="R97RYW"/>
    <s v="HONDA"/>
    <s v="ODY"/>
    <s v="NJ"/>
    <m/>
    <m/>
    <m/>
    <m/>
    <s v="Deleon_A"/>
    <s v="Complete"/>
    <s v="P.O. Micah Gibson 365"/>
    <s v="A3"/>
    <s v="Det. Matthew Dogali 338"/>
    <s v="Active Investigation"/>
    <s v="23F = Theft From Motor Vehicle"/>
    <n v="9"/>
    <d v="2025-01-26T20:10:00"/>
    <s v="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
    <n v="5"/>
    <d v="2025-01-26T00:00:00"/>
    <d v="1899-12-30T20:10:00"/>
    <d v="2025-01-26T00:00:00"/>
    <d v="1899-12-30T20:19:00"/>
    <d v="2025-01-26T00:00:00"/>
    <d v="1899-12-30T20:24:08"/>
    <s v="Winter"/>
    <s v="Night Period (2000-2359)"/>
    <s v="C1W4"/>
    <d v="2025-01-28T00:00:00"/>
  </r>
  <r>
    <s v="25-009438"/>
    <x v="5"/>
    <n v="2025"/>
    <s v="February"/>
    <n v="1"/>
    <n v="6"/>
    <n v="2"/>
    <s v="Monday"/>
    <n v="34"/>
    <n v="3"/>
    <d v="1899-12-30T16:00:00"/>
    <d v="1899-12-30T16:40:35"/>
    <x v="1"/>
    <s v="Robbery"/>
    <s v=""/>
    <s v=""/>
    <s v="Robbery"/>
    <x v="1"/>
    <s v="400 Hackensack Avenue"/>
    <s v="400 Hackensack Avenue, Hackensack, NJ, 07601"/>
    <s v="I6"/>
    <n v="9"/>
    <s v="On Monday, February 3, 2025 at approximately 1640 hours, Sgt. Farhi and I responded to 400 Hackensack Avenue (Marc Jacobs) on a reported robbery. Upon arrival, I met with the victim who reported that three suspects (1 male, 2 females) entered the establishment at approximately 1600 hours. The suspects reportedly exited and reentered the store multiples time prior to committing the offense, with the last entry being made only by the male suspect.     The victim further reported that the suspect grabbed three small purses from the display shelf before he began to walk toward the exit. At that time, the victim stated that he attempted to stop the suspect, who immediately shoved him into a store fixture. The suspect reportedly proceeded to run out of the store toward the nearest mall exit, where he entered a black vehicle and fled in an unknown direction. The victim stated that he was able to recover one of the purses during the incident.     The victim advised that he sustained minor injuries to his left arm as result of the incident, in which he refused any medical attention. The victim wished to provide a recorded statement to detectives. He was transported to police headquarters where he was turned over to Det. Dogali. The total loss suffered by the establishment for the two purses was approximately $650.00. The store manager (witness) wished to have complaints signed against the suspects if they were able to be identified.     Suspect 1: Black male, slim build, 5'8&quot;, black beanie, black puffer, dark pants, white/blue sneakers     Suspect 2: Black female, heavy build, 5'8&quot;, short hair, black puffer, black leggings, black pocketbook     Suspect 3: Black female, heavy build, 5'7&quot;, long cornrows, gray puffer, light blue jeans"/>
    <m/>
    <m/>
    <m/>
    <m/>
    <m/>
    <m/>
    <m/>
    <m/>
    <m/>
    <m/>
    <m/>
    <m/>
    <s v="Levis_R"/>
    <s v="Complete"/>
    <s v="P.O. Aziah Miller 357"/>
    <s v="A3"/>
    <s v="Det. Matthew Dogali 338"/>
    <s v="Active/Administratively Closed"/>
    <s v="120 = Robbery"/>
    <n v="9"/>
    <d v="2025-02-03T16:40:00"/>
    <s v="On Monday, February 3, 2025 at approximately 1640 hours, Sgt. Farhi and I responded to 400 Hackensack Avenue (Marc Jacobs) on a reported robbery. Upon arrival, I met with the victim who reported that three suspects (1 male, 2 females) entered the establishment at approximately 1600 hours. The suspects reportedly exited and reentered the store multiples time prior to committing the offense, with the last entry being made only by the male suspect.     The victim further reported that the suspect grabbed three small purses from the display shelf before he began to walk toward the exit. At that time, the victim stated that he attempted to stop the suspect, who immediately shoved him into a store fixture. The suspect reportedly proceeded to run out of the store toward the nearest mall exit, where he entered a black vehicle and fled in an unknown direction. The victim stated that he was able to recover one of the purses during the incident.     The victim advised that he sustained minor injuries to his left arm as result of the incident, in which he refused any medical attention. The victim wished to provide a recorded statement to detectives. He was transported to police headquarters where he was turned over to Det. Dogali. The total loss suffered by the establishment for the two purses was approximately $650.00. The store manager (witness) wished to have complaints signed against the suspects if they were able to be identified.     Suspect 1: Black male, slim build, 5'8&quot;, black beanie, black puffer, dark pants, white/blue sneakers     Suspect 2: Black female, heavy build, 5'8&quot;, short hair, black puffer, black leggings, black pocketbook     Suspect 3: Black female, heavy build, 5'7&quot;, long cornrows, gray puffer, light blue jeans"/>
    <n v="400"/>
    <m/>
    <m/>
    <m/>
    <m/>
    <d v="2025-02-03T00:00:00"/>
    <d v="1899-12-30T16:40:35"/>
    <s v="Winter"/>
    <s v="Evening Peak (1600-1959)"/>
    <s v="C2W5"/>
    <d v="2025-02-04T00:00:00"/>
  </r>
  <r>
    <s v="25-012110"/>
    <x v="6"/>
    <n v="2025"/>
    <s v="February"/>
    <n v="1"/>
    <n v="7"/>
    <n v="3"/>
    <s v="Thursday"/>
    <n v="44"/>
    <n v="13"/>
    <d v="1899-12-30T02:00:00"/>
    <d v="1899-12-30T02:00:00"/>
    <x v="1"/>
    <s v="Assist Other Agency"/>
    <s v="Aggravated Assault"/>
    <s v="Robbery"/>
    <s v="Assist Other Agency, Aggravated Assault, Robbery"/>
    <x v="6"/>
    <s v="128 Christopher Columbus Drive, Jersey City, NJ 07302"/>
    <s v="128 Christopher Columbus Drive, Jersey City, NJ 07302, Hackensack, NJ, 07601"/>
    <s v="I5"/>
    <n v="9"/>
    <s v="Victim and suspect were in a dating relationship for approximately 9 months.    I responded to Police Headquarters on a report of Domestic Violence. Upon arrival I met with the Victim who stated on 02/13/2025 at approximately 0200 hours she was at a bar called &quot;Six26&quot; in Jersey City, NJ (128 Christopher Columbus Drive, Jersey City, NJ 07302.) She stated while she was leaving the bar, the suspect met with her on the sidewalk. The victim stated the suspect wished to get back together, but she refused. He then became angry and proceeded to strangle her, briefly cutting off her ability to breath, however she did not lose consciousness. Right after the suspect strangled her, he stole her Iphone 14 Pro out of her front pocket (Approximate value: $1,000.00) then fled the scene.     The victim advised me that she currently has a restraining order against the suspect, but he has not been served. Docket number: FV-BER-002857-24.A recorded statement was taken by Detective Mora. BREATHE services were offered but the victim refused. A New Jersey Victim Notification Form was completed.DVRT Form was completed.Voluntary Handwritten Statement was completed.ODARA Form was completed. Jersey City Police Department Detective Soto was advised of the incident.All paperwork was forwarded to him for complaints to be signed."/>
    <m/>
    <m/>
    <m/>
    <m/>
    <m/>
    <m/>
    <m/>
    <m/>
    <m/>
    <m/>
    <m/>
    <m/>
    <s v="Briggs_S"/>
    <s v="Complete"/>
    <s v="P.O. Angelo Vicale 370"/>
    <s v="B3"/>
    <s v="Det. John Mora 257"/>
    <s v="TOT Outside Jurisdiction"/>
    <m/>
    <n v="9"/>
    <d v="2025-02-13T02:00:00"/>
    <s v="Victim and suspect were in a dating relationship for approximately 9 months.    I responded to Police Headquarters on a report of Domestic Violence. Upon arrival I met with the Victim who stated on 02/13/2025 at approximately 0200 hours she was at a bar called &quot;Six26&quot; in Jersey City, NJ (128 Christopher Columbus Drive, Jersey City, NJ 07302.) She stated while she was leaving the bar, the suspect met with her on the sidewalk. The victim stated the suspect wished to get back together, but she refused. He then became angry and proceeded to strangle her, briefly cutting off her ability to breath, however she did not lose consciousness. Right after the suspect strangled her, he stole her Iphone 14 Pro out of her front pocket (Approximate value: $1,000.00) then fled the scene.     The victim advised me that she currently has a restraining order against the suspect, but he has not been served. Docket number: FV-BER-002857-24.A recorded statement was taken by Detective Mora. BREATHE services were offered but the victim refused. A New Jersey Victim Notification Form was completed.DVRT Form was completed.Voluntary Handwritten Statement was completed.ODARA Form was completed. Jersey City Police Department Detective Soto was advised of the incident.All paperwork was forwarded to him for complaints to be signed."/>
    <n v="128"/>
    <d v="2025-02-13T00:00:00"/>
    <d v="1899-12-30T02:00:00"/>
    <m/>
    <m/>
    <d v="2025-02-13T00:00:00"/>
    <d v="1899-12-30T12:17:39"/>
    <s v="Winter"/>
    <s v="Early Morning (0000-0359)"/>
    <s v="C2W7"/>
    <d v="2025-02-18T00:00:00"/>
  </r>
  <r>
    <s v="25-013147"/>
    <x v="7"/>
    <n v="2025"/>
    <s v="February"/>
    <n v="1"/>
    <n v="8"/>
    <n v="4"/>
    <s v="Monday"/>
    <n v="48"/>
    <n v="17"/>
    <d v="1899-12-30T12:00:00"/>
    <d v="1899-12-30T12:35:58"/>
    <x v="4"/>
    <s v="Burglary - Commercial"/>
    <s v="Suspicious Incident"/>
    <s v=""/>
    <s v="Burglary - Commercial, Suspicious Incident"/>
    <x v="5"/>
    <s v="35 Pangborn Place"/>
    <s v="35 Pangborn Place, Hackensack, NJ, 07601"/>
    <s v="I1"/>
    <n v="9"/>
    <s v="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
    <m/>
    <m/>
    <m/>
    <m/>
    <m/>
    <m/>
    <m/>
    <m/>
    <m/>
    <m/>
    <m/>
    <m/>
    <s v="Deleon_A"/>
    <s v="Complete"/>
    <s v="P.O. Ruben Almonte 359"/>
    <s v="A3"/>
    <s v="Sgt. Francesco Tripodi 134"/>
    <s v="Under Supervisor Review"/>
    <m/>
    <n v="9"/>
    <d v="2025-02-17T12:35:00"/>
    <s v="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
    <n v="35"/>
    <d v="2025-02-17T00:00:00"/>
    <d v="1899-12-30T12:35:58"/>
    <m/>
    <m/>
    <d v="2025-02-17T00:00:00"/>
    <d v="1899-12-30T12:35:58"/>
    <s v="Winter"/>
    <s v="Afternoon Period (1200-1559)"/>
    <s v="C2W7"/>
    <d v="2025-02-18T00:0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s v="25-003362"/>
    <x v="0"/>
    <n v="2025"/>
    <s v="January"/>
    <n v="1"/>
    <n v="3"/>
    <n v="3"/>
    <s v="Monday"/>
    <n v="13"/>
    <n v="13"/>
    <d v="1899-12-30T12:00:00"/>
    <d v="1899-12-30T12:05:00"/>
    <x v="0"/>
    <s v="Dispute"/>
    <s v="Criminal Attempt"/>
    <s v="Robbery"/>
    <s v="Dispute, Criminal Attempt, Robbery"/>
    <x v="0"/>
    <s v="204 Clay Street"/>
    <s v="204 Clay Street, Hackensack, NJ, 07601"/>
    <s v="H3"/>
    <n v="8"/>
    <s v="On Monday, January 13th, 2025, at approximately 12:07 hours, P.O. Alvarez and I responded to the listed location on a dispute report. Before our arrival, headquarters had advised us that the male suspect, described as wearing a grey hoodie and sweatpants, had fled southbound on First Street. Upon arrival, we met with Maria Romero Peralta, the mother of the juvenile victim, A.R.      She reported that the described suspect, later identified as D.T., had punched her in the left eye and her right breast. With the mother's permission and in her presence, we spoke to the victim, a juvenile male, A.R., who reported that the suspect, D.T., had stolen a red electronic moped bike and had dropped it off at his house. He further reported that the suspect asked the victim if he could drop off the stolen moped for a couple of days. The victim also reported giving the stolen moped bike to another friend since he did not know how to operate the bike. A.R. later noted that the suspect, D.T., recovered the stolen moped bike from the said friend they have in common and had the bike confiscated byLaw Enforcement in another jurisdiction.      Today, the victim reported that the suspect arrived at his residence demanding $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He also reported that a fight ensued between him and the suspect, and the three (3) witnesses stood by.      The victim also reported that his mother, Maria Romero Peralta, heard the commotion and broke up the fight, retreating with the victim and herself back into the residence. A.R. reported that the front entrance door closed and was being held by his mother when the suspect breached the door with physical force and continued to assault the victim while demanding $400.00 for the red moped electric bike.  I then requested a supervisor, and Sgt. Williams responded to assist.     Maria Romero Peralta reported that while attempting to break up the fight, she was punched in the left eye and right breast by the suspect, D.T. She also reported that the suspect and the three (3) witnesses fled the scene after she threatened to call the police. Maria Romero Peralta, along with A.R. declined medical attention at the scene. The mother and the victim wanted to provide statements to detectives and were transported to headquarters by P.O. Alvarez as I followed.      At headquarters, Detectives Mora and Garrett responded to report room 2 and met with the victim and his mother. Before providing statements to the detectives, Maria Romero Peralta began to have complaints of pain in her left eye and right breast. I observed her left eye to be swollen and red. Maria Romero Peralta then requested to be transported to the hospital for evaluation and treatment. I requested an ambulance, and Hackensack University Medical Center BLS #136 arrived. The mother, now a patient, was transported to the HUMC along with A.R. for treatment. The patient reported that she would respond to headquarters at a later time to provide statements to the detectives. I contacted DCP&amp;P Christine #1718 and advised of the incident. She reported that the incident would only be documented. I completed a victim notification form and provided a copy to the victim.It should be noted that the victim, A.R., reported that he had dropped out of school as of today; therefore, a handle with care was not completed. See Detectives report for additional information."/>
    <m/>
    <m/>
    <m/>
    <m/>
    <m/>
    <m/>
    <m/>
    <m/>
    <m/>
    <m/>
    <m/>
    <m/>
    <s v="Klosk_J"/>
    <s v="Complete"/>
    <s v="P.O. Forrod Bonsu 353"/>
    <s v="B1"/>
    <s v="Det. Frankie Garrett 323"/>
    <s v="Active Investigation"/>
    <s v="120 = Robbery"/>
    <n v="9"/>
    <d v="2025-01-13T12:05:00"/>
    <s v="On Monday, January 13th, 2025, at approximately 12:07 hours, P.O. Alvarez and I responded to the listed location on a dispute report. Before our arrival, headquarters had advised us that the male suspect, described as wearing a grey hoodie and sweatpants, had fled southbound on First Street. Upon arrival, we met with Maria Romero Peralta, the mother of the juvenile victim, A.R.      She reported that the described suspect, later identified as D.T., had punched her in the left eye and her right breast. With the mother's permission and in her presence, we spoke to the victim, a juvenile male, A.R., who reported that the suspect, D.T., had stolen a red electronic moped bike and had dropped it off at his house. He further reported that the suspect asked the victim if he could drop off the stolen moped for a couple of days. The victim also reported giving the stolen moped bike to another friend since he did not know how to operate the bike. A.R. later noted that the suspect, D.T., recovered the stolen moped bike from the said friend they have in common and had the bike confiscated byLaw Enforcement in another jurisdiction.      Today, the victim reported that the suspect arrived at his residence demanding $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He also reported that a fight ensued between him and the suspect, and the three (3) witnesses stood by.      The victim also reported that his mother, Maria Romero Peralta, heard the commotion and broke up the fight, retreating with the victim and herself back into the residence. A.R. reported that the front entrance door closed and was being held by his mother when the suspect breached the door with physical force and continued to assault the victim while demanding $400.00 for the red moped electric bike.  I then requested a supervisor, and Sgt. Williams responded to assist.     Maria Romero Peralta reported that while attempting to break up the fight, she was punched in the left eye and right breast by the suspect, D.T. She also reported that the suspect and the three (3) witnesses fled the scene after she threatened to call the police. Maria Romero Peralta, along with A.R. declined medical attention at the scene. The mother and the victim wanted to provide statements to detectives and were transported to headquarters by P.O. Alvarez as I followed.      At headquarters, Detectives Mora and Garrett responded to report room 2 and met with the victim and his mother. Before providing statements to the detectives, Maria Romero Peralta began to have complaints of pain in her left eye and right breast. I observed her left eye to be swollen and red. Maria Romero Peralta then requested to be transported to the hospital for evaluation and treatment. I requested an ambulance, and Hackensack University Medical Center BLS #136 arrived. The mother, now a patient, was transported to the HUMC along with A.R. for treatment. The patient reported that she would respond to headquarters at a later time to provide statements to the detectives. I contacted DCP&amp;P Christine #1718 and advised of the incident. She reported that the incident would only be documented. I completed a victim notification form and provided a copy to the victim.It should be noted that the victim, A.R., reported that he had dropped out of school as of today; therefore, a handle with care was not completed. See Detectives report for additional information."/>
    <n v="204"/>
    <d v="2025-01-13T00:00:00"/>
    <d v="1899-12-30T12:05:00"/>
    <m/>
    <m/>
    <d v="2025-01-13T00:00:00"/>
    <d v="1899-12-30T12:07:44"/>
    <s v="Winter"/>
    <s v="Afternoon Period (1200-1559)"/>
    <s v="C1W2"/>
    <d v="2025-01-14T00:00:00"/>
  </r>
  <r>
    <s v="25-004097"/>
    <x v="1"/>
    <n v="2025"/>
    <s v="January"/>
    <n v="1"/>
    <n v="3"/>
    <n v="3"/>
    <s v="Wednesday"/>
    <n v="15"/>
    <n v="15"/>
    <d v="1899-12-30T12:00:00"/>
    <d v="1899-12-30T12:57:26"/>
    <x v="1"/>
    <s v="Motor Vehicle Theft"/>
    <s v=""/>
    <s v=""/>
    <s v="Motor Vehicle Theft"/>
    <x v="1"/>
    <s v="244 First Street"/>
    <s v="244 First Street, Hackensack, NJ, 07601"/>
    <s v="H3"/>
    <n v="8"/>
    <s v="On 01/15/2025 I responded to 244 First Street on a reported motor vehicle theft. Upon arrival I met with the driver of the stolen vehicle, Jeffrey Mejiamorquecho. He reported he parked his motor vehicle in front of 244 First Street facing north at around 24:00 hours. He further reported his mother left his residence at 05:00 hours on the listed date and noticed the vehicle was gone. The driver also reported he received a notification from EZ Pass with a charge from the George Washington Bridge toll at 04:13 hours on the listed date. The driver then walked out with me to where his vehicle was parked and observed broken glass which he suspected to be from his rear passenger side window. The driver advised me the vehicle had 1 plate in the rear and was worth approximately $50,000.00 as the vehicle was fairly new. He further reported he attempted to track the vehicle as it contains tracking equipment but was unsuccessful as it was not connecting. He believes it was disconnected somehow after the vehicle was stolen.240 First Street has cameras in the general direction of where the vehicle was parked. It is unknown at this time if they captured the incident occur.Insurance Information: Company: Geico (369)Policy Number: 6183163036The driver was provided with a completed New Jersey Victim Notification Form.The driver wished to have the vehicle processed if located and a Hackensack Police Consent to Search from was completed.The vehicle was entered into NCIC as stolen by Communications.The vehicle was entered into ATTF as stolen."/>
    <m/>
    <m/>
    <s v="NJ-U38ULG HONDA, CIV"/>
    <m/>
    <s v="U38ULG"/>
    <s v="HONDA"/>
    <s v="CIV"/>
    <s v="NJ"/>
    <m/>
    <m/>
    <m/>
    <m/>
    <s v="Swetits_M"/>
    <s v="Complete"/>
    <s v="P.O. Frank Lorenzo 371"/>
    <s v="B1"/>
    <s v="Det. Matthew DeBonis 325"/>
    <s v="Active/Administratively Closed"/>
    <s v="240 = Theft of Motor Vehicle"/>
    <n v="9"/>
    <d v="2025-01-15T12:57:00"/>
    <s v="On 01/15/2025 I responded to 244 First Street on a reported motor vehicle theft. Upon arrival I met with the driver of the stolen vehicle, Jeffrey Mejiamorquecho. He reported he parked his motor vehicle in front of 244 First Street facing north at around 24:00 hours. He further reported his mother left his residence at 05:00 hours on the listed date and noticed the vehicle was gone. The driver also reported he received a notification from EZ Pass with a charge from the George Washington Bridge toll at 04:13 hours on the listed date. The driver then walked out with me to where his vehicle was parked and observed broken glass which he suspected to be from his rear passenger side window. The driver advised me the vehicle had 1 plate in the rear and was worth approximately $50,000.00 as the vehicle was fairly new. He further reported he attempted to track the vehicle as it contains tracking equipment but was unsuccessful as it was not connecting. He believes it was disconnected somehow after the vehicle was stolen.240 First Street has cameras in the general direction of where the vehicle was parked. It is unknown at this time if they captured the incident occur.Insurance Information: Company: Geico (369)Policy Number: 6183163036The driver was provided with a completed New Jersey Victim Notification Form.The driver wished to have the vehicle processed if located and a Hackensack Police Consent to Search from was completed.The vehicle was entered into NCIC as stolen by Communications.The vehicle was entered into ATTF as stolen."/>
    <n v="244"/>
    <d v="2025-01-15T00:00:00"/>
    <d v="1899-12-30T12:57:26"/>
    <m/>
    <m/>
    <d v="2025-01-15T00:00:00"/>
    <d v="1899-12-30T12:57:26"/>
    <s v="Winter"/>
    <s v="Afternoon Period (1200-1559)"/>
    <s v="C1W3"/>
    <d v="2025-01-21T00:00:00"/>
  </r>
  <r>
    <s v="25-006324"/>
    <x v="2"/>
    <n v="2025"/>
    <s v="January"/>
    <n v="1"/>
    <n v="4"/>
    <n v="4"/>
    <s v="Thursday"/>
    <n v="23"/>
    <n v="23"/>
    <d v="1899-12-30T15:00:00"/>
    <d v="1899-12-30T15:00:00"/>
    <x v="2"/>
    <s v="Sexual Assault"/>
    <s v="Juvenile Investigation"/>
    <s v=""/>
    <s v="Sexual Assault, Juvenile Investigation"/>
    <x v="2"/>
    <s v="176  Berdan Place"/>
    <s v="176  Berdan Place, Hackensack, NJ, 07601"/>
    <s v="H3"/>
    <n v="8"/>
    <s v="On Thursday, 01/23/2025 I was notified by D/Sgt. Dominguez of a possible sexual assault involving a juvenile. I was advised that 10 y/o S.S. disclosed to a school teacher that her mothers boyfriend has been touching her while her mother was sleeping. This reportedly has occurred on multiple occasions. No further information was available at this time. S.S. is a student at Nelly K. Parker school, who already notified DCP&amp;P as per protocol.    I contacted DCP&amp;P social worker Jennifer Diaz who was assigned to the initial investigation. Ms. Diaz advised me that she was currently enroute to Nelly K. Parker to meet with S.S., and school staff. She advised me that she already contacted BCPO/SVU. I advised her that I will meet her at the school. Upon arrival I met with Ms. Diaz, who advised me that S.S. was set to be picked up from school by another unknown adult possibly the suspect. Due to the circumstances it was determined that S.S. will be transported to BCPO (100 Eisenhower Drive, Paramus NJ) to undergo a forensic interview with SVU. Contact was made to S.S. mother, Ibys Sandoval, who was advised that a police investigation is underway and her presence is required. Ms. Sandoval expressed that she has transportation issues, therefore this agency arranged transport for her.  Det. Reyes responded to pick up Ms. Sandoval at her residence (176 Berdan Place, Hackensack NJ). Ms. Sandoval was transported to Nelly K. Parker to meet up with her daughter, and ultimately transported to BCPO for the interview.   Contact information was limited at the time of this report (See Det. Reyes Supplemental report for further details)"/>
    <m/>
    <m/>
    <m/>
    <m/>
    <m/>
    <m/>
    <m/>
    <m/>
    <m/>
    <m/>
    <m/>
    <m/>
    <s v="Bay_F"/>
    <s v="Complete"/>
    <s v="Det. Frankie Garrett 323"/>
    <s v="DET"/>
    <s v="Det. Evelyn Reyes 336"/>
    <s v="TOT DCP&amp;P"/>
    <m/>
    <n v="9"/>
    <d v="2025-01-23T15:00:00"/>
    <s v="On Thursday, 01/23/2025 I was notified by D/Sgt. Dominguez of a possible sexual assault involving a juvenile. I was advised that 10 y/o S.S. disclosed to a school teacher that her mothers boyfriend has been touching her while her mother was sleeping. This reportedly has occurred on multiple occasions. No further information was available at this time. S.S. is a student at Nelly K. Parker school, who already notified DCP&amp;P as per protocol.    I contacted DCP&amp;P social worker Jennifer Diaz who was assigned to the initial investigation. Ms. Diaz advised me that she was currently enroute to Nelly K. Parker to meet with S.S., and school staff. She advised me that she already contacted BCPO/SVU. I advised her that I will meet her at the school. Upon arrival I met with Ms. Diaz, who advised me that S.S. was set to be picked up from school by another unknown adult possibly the suspect. Due to the circumstances it was determined that S.S. will be transported to BCPO (100 Eisenhower Drive, Paramus NJ) to undergo a forensic interview with SVU. Contact was made to S.S. mother, Ibys Sandoval, who was advised that a police investigation is underway and her presence is required. Ms. Sandoval expressed that she has transportation issues, therefore this agency arranged transport for her.  Det. Reyes responded to pick up Ms. Sandoval at her residence (176 Berdan Place, Hackensack NJ). Ms. Sandoval was transported to Nelly K. Parker to meet up with her daughter, and ultimately transported to BCPO for the interview.   Contact information was limited at the time of this report (See Det. Reyes Supplemental report for further details)"/>
    <n v="176"/>
    <d v="2025-01-23T00:00:00"/>
    <d v="1899-12-30T15:00:00"/>
    <m/>
    <m/>
    <d v="2025-01-23T00:00:00"/>
    <d v="1899-12-30T15:58:15"/>
    <s v="Winter"/>
    <s v="Afternoon Period (1200-1559)"/>
    <s v="C1W4"/>
    <d v="2025-01-28T00:00:00"/>
  </r>
  <r>
    <s v="25-007074"/>
    <x v="3"/>
    <n v="2025"/>
    <s v="January"/>
    <n v="1"/>
    <n v="4"/>
    <n v="4"/>
    <s v="Saturday"/>
    <n v="25"/>
    <n v="25"/>
    <d v="1899-12-30T18:00:00"/>
    <d v="1899-12-30T18:27:00"/>
    <x v="3"/>
    <s v="Burglary - Auto"/>
    <s v="Theft"/>
    <s v=""/>
    <s v="Burglary - Auto, Theft"/>
    <x v="3"/>
    <s v="206 Stanley Place"/>
    <s v="206 Stanley Place, Hackensack, NJ, 07601"/>
    <s v="H3"/>
    <n v="8"/>
    <s v="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
    <m/>
    <m/>
    <s v="NJ-R36GBB HONDA, CRV"/>
    <m/>
    <s v="R36GBB"/>
    <s v="HONDA"/>
    <s v="CRV"/>
    <s v="NJ"/>
    <m/>
    <m/>
    <m/>
    <m/>
    <s v="Levis_R"/>
    <s v="Complete"/>
    <s v="P.O. Massimo Gallorini 379"/>
    <s v="A2"/>
    <s v="Sgt. Franklin Bay 162"/>
    <s v="No Investigation"/>
    <s v="23F = Theft From Motor Vehicle"/>
    <n v="9"/>
    <d v="2025-01-25T18:27:00"/>
    <s v="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
    <n v="206"/>
    <d v="2025-01-25T00:00:00"/>
    <d v="1899-12-30T18:27:00"/>
    <m/>
    <m/>
    <d v="2025-01-26T00:00:00"/>
    <d v="1899-12-30T10:34:25"/>
    <s v="Winter"/>
    <s v="Evening Peak (1600-1959)"/>
    <s v="C1W4"/>
    <d v="2025-01-28T00:00:00"/>
  </r>
  <r>
    <s v="25-008551"/>
    <x v="4"/>
    <n v="2025"/>
    <s v="January"/>
    <n v="1"/>
    <n v="5"/>
    <n v="5"/>
    <s v="Friday"/>
    <n v="31"/>
    <n v="31"/>
    <d v="1899-12-30T11:00:00"/>
    <d v="1899-12-30T11:59:50"/>
    <x v="4"/>
    <s v="Burglary - Residence"/>
    <s v=""/>
    <s v=""/>
    <s v="Burglary - Residence"/>
    <x v="4"/>
    <s v="292 The Esplanade"/>
    <s v="292 The Esplanade, Hackensack, NJ, 07601"/>
    <s v="H5"/>
    <n v="8"/>
    <s v="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
    <m/>
    <m/>
    <m/>
    <m/>
    <m/>
    <m/>
    <m/>
    <m/>
    <m/>
    <m/>
    <m/>
    <m/>
    <s v="Klosk_J"/>
    <s v="Complete"/>
    <s v="P.O. Denisse Caero 367"/>
    <s v="B2"/>
    <s v="Det. John Tanucilli 335"/>
    <s v="Active/Administratively Closed"/>
    <s v="220 = Burglary/Breaking &amp; Entering"/>
    <n v="9"/>
    <d v="2025-01-31T11:59:00"/>
    <s v="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
    <n v="292"/>
    <d v="2025-01-31T00:00:00"/>
    <d v="1899-12-30T11:59:50"/>
    <m/>
    <m/>
    <d v="2025-01-31T00:00:00"/>
    <d v="1899-12-30T11:59:50"/>
    <s v="Winter"/>
    <s v="Morning Peak (0800-1159)"/>
    <s v="C2W5"/>
    <d v="2025-02-04T00:00:00"/>
  </r>
  <r>
    <s v="25-009657"/>
    <x v="5"/>
    <n v="2025"/>
    <s v="February"/>
    <n v="1"/>
    <n v="6"/>
    <n v="2"/>
    <s v="Monday"/>
    <n v="34"/>
    <n v="3"/>
    <d v="1899-12-30T18:00:00"/>
    <d v="1899-12-30T18:30:00"/>
    <x v="1"/>
    <s v="Motor Vehicle Theft"/>
    <s v=""/>
    <s v=""/>
    <s v="Motor Vehicle Theft"/>
    <x v="5"/>
    <s v="55 Midtown Bridge Approach"/>
    <s v="55 Midtown Bridge Approach, Hackensack, NJ, 07601"/>
    <s v="H1"/>
    <n v="8"/>
    <s v="I responded to the listed location on a reported motor vehicle theft. Upon arrival, I spoke with the complainant. She stated that on 02/04/2025 at 11:29 hours, she received a text from her boss, asking her to check on one of their U-Haul vehicles. She further stated that upon searching the parking lot, she could not locate the vehicle. The complainant reported that the vehicle had been rented out, so she contacted the contract holder to ensure the vehicle was dropped off. Upon verifying such and checking camera footage, the vehicle is seen on camera being dropped off by the customer. He is then approached by the suspect, where a brief verbal exchange is had. The customer is then seen leaving the area. The suspect is then seen retrieving keys from a lock box, before entering the van and fleeing the area.     I then spoke with the customer. He stated that he had dropped the vehicle off at the listed location at approximately 18:40 hours. He further stated that upon dropping it off, he was greeted by the suspect, who acted as an employee of the business. The customer reported that after a brief discussion, he was wary of the suspect and secured the keys in the lock box himself. He further stated that he then left the area.       A check in house of our tow list was conducted, with the vehicle not having been reported as towed or repossessed.  The complainant was advised of the recovery process, including fingerprinting of the vehicle. The complainant stated that she would like the vehicle held for prints on behalf of U-Haul and signed a Consent to Search Form. The complainant advised that she was unsure if the vehicle had a tracking system.       The vehicle is valued at approximately $45,000.00.            The complainant has video footage of the incident, available upon request.       Vehicle was entered into the ATTF website.    A New Jersey Victim Notification Form was completed.Insurance Info: Self-InsuredCertificate #:S012Exp: 06/30/2025"/>
    <m/>
    <m/>
    <s v="AZ-AM82732 RAM, PROMASTER"/>
    <m/>
    <s v="AM82732"/>
    <s v="RAM"/>
    <s v="PROMASTER"/>
    <s v="AZ"/>
    <m/>
    <m/>
    <m/>
    <m/>
    <s v="Deleon_A"/>
    <s v="Complete"/>
    <s v="P.O. Micah Gibson 365"/>
    <s v="A3"/>
    <s v="Det. Matthew DeBonis 325"/>
    <s v="Complaint Signed"/>
    <s v="240 = Theft of Motor Vehicle"/>
    <n v="9"/>
    <d v="2025-02-03T18:30:00"/>
    <s v="I responded to the listed location on a reported motor vehicle theft. Upon arrival, I spoke with the complainant. She stated that on 02/04/2025 at 11:29 hours, she received a text from her boss, asking her to check on one of their U-Haul vehicles. She further stated that upon searching the parking lot, she could not locate the vehicle. The complainant reported that the vehicle had been rented out, so she contacted the contract holder to ensure the vehicle was dropped off. Upon verifying such and checking camera footage, the vehicle is seen on camera being dropped off by the customer. He is then approached by the suspect, where a brief verbal exchange is had. The customer is then seen leaving the area. The suspect is then seen retrieving keys from a lock box, before entering the van and fleeing the area.     I then spoke with the customer. He stated that he had dropped the vehicle off at the listed location at approximately 18:40 hours. He further stated that upon dropping it off, he was greeted by the suspect, who acted as an employee of the business. The customer reported that after a brief discussion, he was wary of the suspect and secured the keys in the lock box himself. He further stated that he then left the area.       A check in house of our tow list was conducted, with the vehicle not having been reported as towed or repossessed.  The complainant was advised of the recovery process, including fingerprinting of the vehicle. The complainant stated that she would like the vehicle held for prints on behalf of U-Haul and signed a Consent to Search Form. The complainant advised that she was unsure if the vehicle had a tracking system.       The vehicle is valued at approximately $45,000.00.            The complainant has video footage of the incident, available upon request.       Vehicle was entered into the ATTF website.    A New Jersey Victim Notification Form was completed.Insurance Info: Self-InsuredCertificate #:S012Exp: 06/30/2025"/>
    <n v="55"/>
    <d v="2025-02-03T00:00:00"/>
    <d v="1899-12-30T18:30:00"/>
    <d v="2025-02-04T00:00:00"/>
    <d v="1899-12-30T19:00:00"/>
    <d v="2025-02-04T00:00:00"/>
    <d v="1899-12-30T12:43:32"/>
    <s v="Winter"/>
    <s v="Evening Peak (1600-1959)"/>
    <s v="C2W5"/>
    <d v="2025-02-04T00:00:00"/>
  </r>
  <r>
    <s v="25-009831"/>
    <x v="6"/>
    <n v="2025"/>
    <s v="February"/>
    <n v="1"/>
    <n v="6"/>
    <n v="2"/>
    <s v="Wednesday"/>
    <n v="36"/>
    <n v="5"/>
    <d v="1899-12-30T02:00:00"/>
    <d v="1899-12-30T02:57:00"/>
    <x v="5"/>
    <s v="Burglary - Commercial"/>
    <s v="Alarm - Burglar"/>
    <s v=""/>
    <s v="Burglary - Commercial, Alarm - Burglar"/>
    <x v="6"/>
    <s v="441 Passaic Street"/>
    <s v="441 Passaic Street, Hackensack, NJ, 07601"/>
    <s v="H5"/>
    <n v="8"/>
    <s v="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
    <m/>
    <m/>
    <m/>
    <m/>
    <m/>
    <m/>
    <m/>
    <m/>
    <m/>
    <m/>
    <m/>
    <m/>
    <s v="Swetits_M"/>
    <s v="Complete"/>
    <s v="P.O. Benjamin Estrada 350"/>
    <s v="A2"/>
    <s v="Det. Frank Scarpa 348"/>
    <s v="Active Investigation"/>
    <s v="220 = Burglary/Breaking &amp; Entering"/>
    <n v="9"/>
    <d v="2025-02-05T02:57:00"/>
    <s v="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
    <n v="441"/>
    <d v="2025-02-05T00:00:00"/>
    <d v="1899-12-30T02:57:00"/>
    <m/>
    <m/>
    <d v="2025-02-05T00:00:00"/>
    <d v="1899-12-30T02:57:41"/>
    <s v="Winter"/>
    <s v="Early Morning (0000-0359)"/>
    <s v="C2W6"/>
    <d v="2025-02-11T00:00:0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s v="25-004288"/>
    <x v="0"/>
    <n v="2025"/>
    <s v="January"/>
    <n v="1"/>
    <n v="3"/>
    <n v="3"/>
    <s v="Thursday"/>
    <n v="16"/>
    <n v="16"/>
    <d v="1899-12-30T20:00:00"/>
    <d v="1899-12-30T20:00:00"/>
    <x v="0"/>
    <s v="Violation of Court Order"/>
    <s v="Burglary - Residence"/>
    <s v="Harassment"/>
    <s v="Violation of Court Order, Burglary - Residence, Harassment"/>
    <x v="0"/>
    <s v="152 Bonhomme Street"/>
    <s v="152 Bonhomme Street, Hackensack, NJ, 07601"/>
    <s v="E2"/>
    <n v="5"/>
    <s v="The victim and the suspect were prviously in a two year relationship.  The two never resided together and have no children in common.     P.O. McCarthy and I responded to the listed location on a report of a violation of a court order.  Upon arrival, we met with the victim,  Johnathan Arroyo, who reported hearing a loud bang from the basement door.  After hearing the loud bang, he began to hear his ex-girlfriend, Ashley Celdo Rodriguez, start to scream while standing in the basement.  That's when his brother, David Arroyo, and the victim exit their bedrooms and witness the suspect inside of the house.  Both parties grabbed the suspect and escorted her out of the house.  Once outside, the suspect ran toward the backyard fence and climbed over before our arrival on the scene.  While on the scene, I observed the door frame trim to be damaged.  The victim estimated that the cost to fix the door was $200.00.  P.O. Mcarthy and P.O. Lopez-Amaya arrived to assist and conducted a check of the area.     While on the scene, I observed several surveillance cameras on the residence's exterior.  They showed me the footage of the suspect entering the rear yard and walking to the basement door of the house.  I provided the victim with my departmental e-mail address so that the video footage could be sent.        I contacted police headquarters to see if any active restraining orders were in place.  They advised me that three no-contact orders were in place.  I asked if the victim wanted the scene processed, but he did not want it done.  I asked the victim if he wanted to apply for a restraining order at this time, which he denied.  He also wanted to speak with a DVRT member at a later time.  I provided the victim with the telephone number.  I completed the New Jersey victim notification form and domestic violence supplement were completed.   The victim refused to complete a voluntary handwritten statement.  While at police headquarters, P.O. McCarthy, P.O. Vicale, and P.O. Lopez-Amaya located the suspect. See their supplements for further information.       Arrestee was charged with 2C:29-17-3A(1), 2C:33-4A, 2C:18-2A(1), 2C:29-2A(1) and 3 counts of 2C:29-9A(1) on 0223-W-2025-000023"/>
    <m/>
    <m/>
    <m/>
    <m/>
    <m/>
    <m/>
    <m/>
    <m/>
    <m/>
    <m/>
    <m/>
    <m/>
    <s v="Levis_R"/>
    <s v="Complete"/>
    <s v="P.O. Daniel Francavilla 329"/>
    <s v="B4"/>
    <m/>
    <m/>
    <s v="220 = Burglary/Breaking &amp; Entering"/>
    <n v="9"/>
    <d v="2025-01-16T20:00:00"/>
    <s v="The victim and the suspect were prviously in a two year relationship.  The two never resided together and have no children in common.     P.O. McCarthy and I responded to the listed location on a report of a violation of a court order.  Upon arrival, we met with the victim,  Johnathan Arroyo, who reported hearing a loud bang from the basement door.  After hearing the loud bang, he began to hear his ex-girlfriend, Ashley Celdo Rodriguez, start to scream while standing in the basement.  That's when his brother, David Arroyo, and the victim exit their bedrooms and witness the suspect inside of the house.  Both parties grabbed the suspect and escorted her out of the house.  Once outside, the suspect ran toward the backyard fence and climbed over before our arrival on the scene.  While on the scene, I observed the door frame trim to be damaged.  The victim estimated that the cost to fix the door was $200.00.  P.O. Mcarthy and P.O. Lopez-Amaya arrived to assist and conducted a check of the area.     While on the scene, I observed several surveillance cameras on the residence's exterior.  They showed me the footage of the suspect entering the rear yard and walking to the basement door of the house.  I provided the victim with my departmental e-mail address so that the video footage could be sent.        I contacted police headquarters to see if any active restraining orders were in place.  They advised me that three no-contact orders were in place.  I asked if the victim wanted the scene processed, but he did not want it done.  I asked the victim if he wanted to apply for a restraining order at this time, which he denied.  He also wanted to speak with a DVRT member at a later time.  I provided the victim with the telephone number.  I completed the New Jersey victim notification form and domestic violence supplement were completed.   The victim refused to complete a voluntary handwritten statement.  While at police headquarters, P.O. McCarthy, P.O. Vicale, and P.O. Lopez-Amaya located the suspect. See their supplements for further information.       Arrestee was charged with 2C:29-17-3A(1), 2C:33-4A, 2C:18-2A(1), 2C:29-2A(1) and 3 counts of 2C:29-9A(1) on 0223-W-2025-000023"/>
    <n v="152"/>
    <d v="2025-01-16T00:00:00"/>
    <d v="1899-12-30T20:00:00"/>
    <m/>
    <m/>
    <d v="2025-01-16T00:00:00"/>
    <d v="1899-12-30T02:09:41"/>
    <s v="Winter"/>
    <s v="Night Period (2000-2359)"/>
    <s v="C1W3"/>
    <d v="2025-01-21T00:00:00"/>
  </r>
  <r>
    <s v="25-006083"/>
    <x v="1"/>
    <n v="2025"/>
    <s v="January"/>
    <n v="1"/>
    <n v="4"/>
    <n v="4"/>
    <s v="Wednesday"/>
    <n v="22"/>
    <n v="22"/>
    <d v="1899-12-30T08:00:00"/>
    <d v="1899-12-30T08:00:00"/>
    <x v="1"/>
    <s v="Motor Vehicle Theft"/>
    <s v=""/>
    <s v=""/>
    <s v="Motor Vehicle Theft"/>
    <x v="1"/>
    <s v="443 Hudson Street"/>
    <s v="443 Hudson Street, Hackensack, NJ, 07601"/>
    <s v="E3"/>
    <n v="5"/>
    <s v="On January 22, 2025, I responded to the listed location on a report of a stolen motor vehicle. Upon arrival, I met with the victim, Melisssa Williams, also registered owner. The victim stated the vehicle has been lodged at 443 Hudson Street with permission of the resident Jermal Clark. The victim stated upon speaking to Jermal Clark he stated &quot;the vehicle was towed off the property early morning and he got some money for it.&quot;  Sgt. Tovbin and I spoke to Jermal Clark, who stated that he does not know which towing company towed the vehicle. I asked Jermal Clark if he towed the vehicle off the property and he was uncooperative in answering the question.       The vehicle, a 2006 Nissan Pathfinder color black bearing NJ registration Y62SRJ, was last seen on January 21, 2025 at approximately 1600 hours parked facing South on the listed property. The victim stated that she currently does not have possession of the key. The victim indicated the one key was last in possession of Jermal Clark.       The registered owner received a completed victim notification. The vehicle was entered as stolen into NCIC (NIC # V146697789 ) along with a stolen motor vehicle form. The vehicle was also entered as stolen into the  ATTF website. The registered owner does not wish to have the vehicle processed at this time. Approximate value for the above vehicle is 2,500.00 USD."/>
    <m/>
    <m/>
    <s v="NJ-Y62SRJ NISSAN, PTH"/>
    <m/>
    <s v="Y62SRJ"/>
    <s v="NISSAN"/>
    <s v="PTH"/>
    <s v="NJ"/>
    <m/>
    <m/>
    <m/>
    <m/>
    <s v="Swetits_M"/>
    <s v="Complete"/>
    <s v="P.O. Roselys Salas 369"/>
    <s v="B4"/>
    <s v="Det. Demetrius Carroll 133"/>
    <s v="Active/Administratively Closed"/>
    <s v="240 = Theft of Motor Vehicle"/>
    <n v="9"/>
    <d v="2025-01-22T08:00:00"/>
    <s v="On January 22, 2025, I responded to the listed location on a report of a stolen motor vehicle. Upon arrival, I met with the victim, Melisssa Williams, also registered owner. The victim stated the vehicle has been lodged at 443 Hudson Street with permission of the resident Jermal Clark. The victim stated upon speaking to Jermal Clark he stated &quot;the vehicle was towed off the property early morning and he got some money for it.&quot;  Sgt. Tovbin and I spoke to Jermal Clark, who stated that he does not know which towing company towed the vehicle. I asked Jermal Clark if he towed the vehicle off the property and he was uncooperative in answering the question.       The vehicle, a 2006 Nissan Pathfinder color black bearing NJ registration Y62SRJ, was last seen on January 21, 2025 at approximately 1600 hours parked facing South on the listed property. The victim stated that she currently does not have possession of the key. The victim indicated the one key was last in possession of Jermal Clark.       The registered owner received a completed victim notification. The vehicle was entered as stolen into NCIC (NIC # V146697789 ) along with a stolen motor vehicle form. The vehicle was also entered as stolen into the  ATTF website. The registered owner does not wish to have the vehicle processed at this time. Approximate value for the above vehicle is 2,500.00 USD."/>
    <n v="443"/>
    <d v="2025-01-22T00:00:00"/>
    <d v="1899-12-30T08:00:00"/>
    <d v="2025-01-22T00:00:00"/>
    <d v="1899-12-30T19:13:00"/>
    <d v="2025-01-22T00:00:00"/>
    <d v="1899-12-30T19:14:56"/>
    <s v="Winter"/>
    <s v="Morning Peak (0800-1159)"/>
    <s v="C1W4"/>
    <d v="2025-01-28T00:00:00"/>
  </r>
  <r>
    <s v="25-006864"/>
    <x v="2"/>
    <n v="2025"/>
    <s v="January"/>
    <n v="1"/>
    <n v="4"/>
    <n v="4"/>
    <s v="Saturday"/>
    <n v="25"/>
    <n v="25"/>
    <d v="1899-12-30T11:00:00"/>
    <d v="1899-12-30T11:00:00"/>
    <x v="0"/>
    <s v="Burglary - Residence"/>
    <s v=""/>
    <s v=""/>
    <s v="Burglary - Residence"/>
    <x v="2"/>
    <s v="60 Kansas Street"/>
    <s v="60 Kansas Street, Hackensack, NJ, 07601"/>
    <s v="E1"/>
    <n v="5"/>
    <s v="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
    <m/>
    <m/>
    <m/>
    <m/>
    <m/>
    <m/>
    <m/>
    <m/>
    <m/>
    <m/>
    <m/>
    <m/>
    <s v="Levis_R"/>
    <s v="Complete"/>
    <s v="P.O. Andres Lopez 375"/>
    <s v="A2"/>
    <s v="Det. Matthew DeBonis 325"/>
    <s v="Active Investigation"/>
    <s v="220 = Burglary/Breaking &amp; Entering"/>
    <n v="9"/>
    <d v="2025-01-25T11:00:00"/>
    <s v="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
    <n v="60"/>
    <d v="2025-01-25T00:00:00"/>
    <d v="1899-12-30T11:00:00"/>
    <d v="2025-01-25T00:00:00"/>
    <d v="1899-12-30T14:00:00"/>
    <d v="2025-01-25T00:00:00"/>
    <d v="1899-12-30T13:55:59"/>
    <s v="Winter"/>
    <s v="Morning Peak (0800-1159)"/>
    <s v="C1W4"/>
    <d v="2025-01-28T00:00:00"/>
  </r>
  <r>
    <s v="25-008075"/>
    <x v="3"/>
    <n v="2025"/>
    <s v="January"/>
    <n v="1"/>
    <n v="5"/>
    <n v="5"/>
    <s v="Tuesday"/>
    <n v="28"/>
    <n v="28"/>
    <d v="1899-12-30T15:00:00"/>
    <d v="1899-12-30T15:00:00"/>
    <x v="1"/>
    <s v="Motor Vehicle Theft"/>
    <s v="Theft"/>
    <s v=""/>
    <s v="Motor Vehicle Theft, Theft"/>
    <x v="3"/>
    <s v="119 Essex Street"/>
    <s v="119 Essex Street, Hackensack, NJ, 07601"/>
    <s v="F1"/>
    <n v="6"/>
    <s v="On January 29, 2025, I responded to the listed location on a report on a stolen motor vehicle. Upon arrival, I met with the registered owner, Trina Coley. The registered owner stated on January 28, 2025 during the afternoon hours she parked her vehicle , a 2012 Lexus ES color black bearing NJ registration K84CXU in her residence private parking lot facing East. The registered owner stated that she currently does not have possession of the key fob as it was left inside of the vehicle along with her cell phone. At approximately 0930 hours on January 29, 2025 she responded to her vehicle where she last parked it,and the vehicle was no longer there.       The registered owner received a completed victim notification. The vehicle was entered as stolen into NCIC (NIC #V686695547 ) along with a stolen motor vehicle form. The vehicle was also entered as stolen into the ATTF web site. The registered owner does not wish to have the vehicle processed at this time. Approximate value for the above vehicle is 7,000.00 USD and the iPhone 15 at $800.00 USD."/>
    <m/>
    <m/>
    <s v="NJ-K84CXU LEXUS, ES"/>
    <m/>
    <s v="K84CXU"/>
    <s v="LEXUS"/>
    <s v="ES"/>
    <s v="NJ"/>
    <m/>
    <m/>
    <m/>
    <m/>
    <s v="Swetits_M"/>
    <s v="Complete"/>
    <s v="P.O. Roselys Salas 369"/>
    <s v="B4"/>
    <s v="Det. Matthew DeBonis 325"/>
    <s v="Ex-Cleared / Closed"/>
    <s v="240 = Theft of Motor Vehicle"/>
    <n v="9"/>
    <d v="2025-01-28T15:00:00"/>
    <s v="On January 29, 2025, I responded to the listed location on a report on a stolen motor vehicle. Upon arrival, I met with the registered owner, Trina Coley. The registered owner stated on January 28, 2025 during the afternoon hours she parked her vehicle , a 2012 Lexus ES color black bearing NJ registration K84CXU in her residence private parking lot facing East. The registered owner stated that she currently does not have possession of the key fob as it was left inside of the vehicle along with her cell phone. At approximately 0930 hours on January 29, 2025 she responded to her vehicle where she last parked it,and the vehicle was no longer there.       The registered owner received a completed victim notification. The vehicle was entered as stolen into NCIC (NIC #V686695547 ) along with a stolen motor vehicle form. The vehicle was also entered as stolen into the ATTF web site. The registered owner does not wish to have the vehicle processed at this time. Approximate value for the above vehicle is 7,000.00 USD and the iPhone 15 at $800.00 USD."/>
    <n v="119"/>
    <d v="2025-01-28T00:00:00"/>
    <d v="1899-12-30T15:00:00"/>
    <d v="2025-01-29T00:00:00"/>
    <d v="1899-12-30T22:01:00"/>
    <d v="2025-01-29T00:00:00"/>
    <d v="1899-12-30T22:02:24"/>
    <s v="Winter"/>
    <s v="Afternoon Period (1200-1559)"/>
    <s v="C2W5"/>
    <d v="2025-01-28T00:00:00"/>
  </r>
  <r>
    <s v="25-010788"/>
    <x v="4"/>
    <n v="2025"/>
    <s v="January"/>
    <n v="1"/>
    <n v="5"/>
    <n v="5"/>
    <s v="Friday"/>
    <n v="31"/>
    <n v="31"/>
    <d v="1899-12-30T12:00:00"/>
    <d v="1899-12-30T12:00:00"/>
    <x v="1"/>
    <s v="Motor Vehicle Theft"/>
    <s v=""/>
    <s v=""/>
    <s v="Motor Vehicle Theft"/>
    <x v="4"/>
    <s v="535 Hudson Street"/>
    <s v="535 Hudson Street, Hackensack, NJ, 07601"/>
    <s v="E3"/>
    <n v="5"/>
    <s v="The victim responded to police headquarters on a report of a motor vehicle theft.  The victim, Clever Asitimbay Mora, reported that he parked the vehicle in the area of 535 Hudson Street in this jurisdiction on 01/31/2025.  The victim reported that on 02/7/2025 at approximately 13:00 hours, he checked the GPS location of his vehicle on his phone and noticed that his vehicle was located at 3945 Frankford Avenue, Philadelphia, PA 19124.  He reported he possessed one (1) key to the vehicle, and the other key was broken.  Both the front and rear license plates were attached to the vehicle.  The victim did not want the vehicle processed if located.  The vehicle is insured by GEICO unknown policy number at this time.  The value of the vehicle is approximately $6,000.00.  A victim notification form was completed, and the vehicle was entered into N.C.I.C and the Auto Theft Task Force (ATTF) as stolen.  I contacted Philadelphia Police Department District 24 and spoke with P.O. Kane and advised him of the location of the vehicle."/>
    <m/>
    <m/>
    <s v="NJ-S70MPZ"/>
    <m/>
    <s v="S70MPZ"/>
    <m/>
    <s v="CIV"/>
    <s v="NJ"/>
    <m/>
    <m/>
    <m/>
    <m/>
    <s v="Swetits_M"/>
    <s v="Complete"/>
    <s v="P.O. Daniel Francavilla 329"/>
    <s v="B4"/>
    <s v="Det. Matthew Dogali 338"/>
    <s v="Active Investigation"/>
    <s v="240 = Theft of Motor Vehicle"/>
    <n v="9"/>
    <d v="2025-01-31T12:00:00"/>
    <s v="The victim responded to police headquarters on a report of a motor vehicle theft.  The victim, Clever Asitimbay Mora, reported that he parked the vehicle in the area of 535 Hudson Street in this jurisdiction on 01/31/2025.  The victim reported that on 02/7/2025 at approximately 13:00 hours, he checked the GPS location of his vehicle on his phone and noticed that his vehicle was located at 3945 Frankford Avenue, Philadelphia, PA 19124.  He reported he possessed one (1) key to the vehicle, and the other key was broken.  Both the front and rear license plates were attached to the vehicle.  The victim did not want the vehicle processed if located.  The vehicle is insured by GEICO unknown policy number at this time.  The value of the vehicle is approximately $6,000.00.  A victim notification form was completed, and the vehicle was entered into N.C.I.C and the Auto Theft Task Force (ATTF) as stolen.  I contacted Philadelphia Police Department District 24 and spoke with P.O. Kane and advised him of the location of the vehicle."/>
    <n v="535"/>
    <d v="2025-01-31T00:00:00"/>
    <d v="1899-12-30T12:00:00"/>
    <d v="2025-02-07T00:00:00"/>
    <d v="1899-12-30T13:00:00"/>
    <d v="2025-02-08T00:00:00"/>
    <d v="1899-12-30T09:22:04"/>
    <s v="Winter"/>
    <s v="Afternoon Period (1200-1559)"/>
    <s v="C2W5"/>
    <d v="2025-02-04T00:00:00"/>
  </r>
  <r>
    <s v="25-008777"/>
    <x v="5"/>
    <n v="2025"/>
    <s v="February"/>
    <n v="1"/>
    <n v="5"/>
    <n v="1"/>
    <s v="Saturday"/>
    <n v="32"/>
    <n v="1"/>
    <d v="1899-12-30T01:00:00"/>
    <d v="1899-12-30T01:00:00"/>
    <x v="1"/>
    <s v="Motor Vehicle Theft"/>
    <s v=""/>
    <s v=""/>
    <s v="Motor Vehicle Theft"/>
    <x v="5"/>
    <s v="453 Sutton Avenue"/>
    <s v="453 Sutton Avenue, Hackensack, NJ, 07601"/>
    <s v="F2"/>
    <n v="6"/>
    <s v="On February 1, 2025, I responded to the listed location on a report on a stolen motor vehicle. Upon arrival, I met with the registered owner, Mohammed Almowail. The registered owner stated on February 1, 2025 at approximately 0100 hours he parked his vehicle, a 2012 Ford Crown Victoria color grey bearing NJ registration P77UZJ in front of 453 Sutton Avenue facing East. At approximately 0230 hours, while inside of the residence he heard the vehicle being turned on and when he walked out to where he last parked it the vehicle was no longer there.      The registered owner stated that he currently has possession of the two keys that belong to the vehicle. The vehicle has two NJ plates(P77UZJ) attached.     It should be noted the victim was in the process of selling the vehicle today to someone by the alias of Taylor Jacobs via Facebook marketplace. The victim provided the above listed address and videos of where the vehicle was going to be located to the above listed alias of Taylor Jacobs.     The vehicle also contained a black wallet inside with three Bank of America Credit Cards and 4 Bank of Kuwaitt Credit Cards issued to Abdull Alhajeri. The victim was advised to report and lock all cards.      The registered owner received a completed victim notification. The vehicle was entered as stolen into NCIC (NIC # V786677145 ) along with a stolen motor vehicle form. The vehicle was also entered as stolen into the  ATTF site. The registered owner does not wish to have the vehicle processed at this time. Approximate value for the above vehicle is 3,000.00 USD. The value of the black wallet is approximately $30.00 USD."/>
    <m/>
    <m/>
    <s v="NJ-P77UZJ FORD, CRO"/>
    <m/>
    <s v="P77UZJ"/>
    <s v="FORD"/>
    <s v="CRO"/>
    <s v="NJ"/>
    <m/>
    <m/>
    <m/>
    <m/>
    <s v="Swetits_M"/>
    <s v="Complete"/>
    <s v="P.O. Roselys Salas 369"/>
    <s v="B4"/>
    <s v="Det. Demetrius Carroll 133"/>
    <s v="Active/Administratively Closed"/>
    <s v="240 = Theft of Motor Vehicle"/>
    <n v="9"/>
    <d v="2025-02-01T01:00:00"/>
    <s v="On February 1, 2025, I responded to the listed location on a report on a stolen motor vehicle. Upon arrival, I met with the registered owner, Mohammed Almowail. The registered owner stated on February 1, 2025 at approximately 0100 hours he parked his vehicle, a 2012 Ford Crown Victoria color grey bearing NJ registration P77UZJ in front of 453 Sutton Avenue facing East. At approximately 0230 hours, while inside of the residence he heard the vehicle being turned on and when he walked out to where he last parked it the vehicle was no longer there.      The registered owner stated that he currently has possession of the two keys that belong to the vehicle. The vehicle has two NJ plates(P77UZJ) attached.     It should be noted the victim was in the process of selling the vehicle today to someone by the alias of Taylor Jacobs via Facebook marketplace. The victim provided the above listed address and videos of where the vehicle was going to be located to the above listed alias of Taylor Jacobs.     The vehicle also contained a black wallet inside with three Bank of America Credit Cards and 4 Bank of Kuwaitt Credit Cards issued to Abdull Alhajeri. The victim was advised to report and lock all cards.      The registered owner received a completed victim notification. The vehicle was entered as stolen into NCIC (NIC # V786677145 ) along with a stolen motor vehicle form. The vehicle was also entered as stolen into the  ATTF site. The registered owner does not wish to have the vehicle processed at this time. Approximate value for the above vehicle is 3,000.00 USD. The value of the black wallet is approximately $30.00 USD."/>
    <n v="453"/>
    <d v="2025-02-01T00:00:00"/>
    <d v="1899-12-30T01:00:00"/>
    <m/>
    <d v="1899-12-30T02:30:00"/>
    <d v="2025-02-01T00:00:00"/>
    <d v="1899-12-30T02:52:33"/>
    <s v="Winter"/>
    <s v="Early Morning (0000-0359)"/>
    <s v="C2W5"/>
    <d v="2025-02-04T00:00:00"/>
  </r>
  <r>
    <s v="25-009348"/>
    <x v="6"/>
    <n v="2025"/>
    <s v="February"/>
    <n v="1"/>
    <n v="6"/>
    <n v="2"/>
    <s v="Sunday"/>
    <n v="33"/>
    <n v="2"/>
    <d v="1899-12-30T17:00:00"/>
    <d v="1899-12-30T17:25:00"/>
    <x v="2"/>
    <s v="Suspicious Incident"/>
    <s v="Robbery"/>
    <s v=""/>
    <s v="Suspicious Incident, Robbery"/>
    <x v="6"/>
    <s v="144 Hudson Street"/>
    <s v="144 Hudson Street, Hackensack, NJ, 07601"/>
    <s v="E1"/>
    <n v="5"/>
    <s v="Unknown Suspect Descriptions:Unknown Suspect 1: Tall white male, crew cut, no clothing descriptionUnknown Suspects 2-5: 4 males, unknown race, wearing dark colored helmets and dark clothes with padding.         While in the area, P.O. Maceri and I were flagged down by the victim. Upon speaking with him, he advised that he had been robbed. Sgt. Farhi responded to assist.          The victim stated that on 02/02/2025 between 17:25 and 18:00 hours, he was walking north on Main Street, near the area of Main Street and Court Street with two acquaintances. He further stated that while walking in that area, a verbal dispute took place between the three of them. The victim reported that at this time, he was approached by five suspects, with four of them carrying bats. He further reported that suspect #1 threatened him, stating that he would beat him up if he didn't hand over his belongings. The victim stated that suspect #1 forcibly retrieved the wallet off his person and removed a debit card and identification card, before throwing the wallet back in his direction. He further stated that the suspect's then told him if they saw him again, they would beat him up. The suspects then fled east on Court Street, before turning left to head north on River Road.        A New Jersey Victim Notification Form was completed and provided to the victim.       The detective division was notified and advised that they would follow up with the victim."/>
    <m/>
    <m/>
    <m/>
    <m/>
    <m/>
    <m/>
    <m/>
    <m/>
    <m/>
    <m/>
    <m/>
    <m/>
    <s v="Deleon_A"/>
    <s v="Complete"/>
    <s v="P.O. Micah Gibson 365"/>
    <s v="A3"/>
    <s v="Sgt. Francesco Tripodi 134"/>
    <s v="No Investigation"/>
    <m/>
    <n v="9"/>
    <d v="2025-02-02T17:25:00"/>
    <s v="Unknown Suspect Descriptions:Unknown Suspect 1: Tall white male, crew cut, no clothing descriptionUnknown Suspects 2-5: 4 males, unknown race, wearing dark colored helmets and dark clothes with padding.         While in the area, P.O. Maceri and I were flagged down by the victim. Upon speaking with him, he advised that he had been robbed. Sgt. Farhi responded to assist.          The victim stated that on 02/02/2025 between 17:25 and 18:00 hours, he was walking north on Main Street, near the area of Main Street and Court Street with two acquaintances. He further stated that while walking in that area, a verbal dispute took place between the three of them. The victim reported that at this time, he was approached by five suspects, with four of them carrying bats. He further reported that suspect #1 threatened him, stating that he would beat him up if he didn't hand over his belongings. The victim stated that suspect #1 forcibly retrieved the wallet off his person and removed a debit card and identification card, before throwing the wallet back in his direction. He further stated that the suspect's then told him if they saw him again, they would beat him up. The suspects then fled east on Court Street, before turning left to head north on River Road.        A New Jersey Victim Notification Form was completed and provided to the victim.       The detective division was notified and advised that they would follow up with the victim."/>
    <n v="144"/>
    <d v="2025-02-02T00:00:00"/>
    <d v="1899-12-30T17:25:00"/>
    <d v="2025-02-02T00:00:00"/>
    <d v="1899-12-30T18:00:00"/>
    <d v="2025-02-03T00:00:00"/>
    <d v="1899-12-30T12:02:04"/>
    <s v="Winter"/>
    <s v="Evening Peak (1600-1959)"/>
    <s v="C2W5"/>
    <d v="2025-02-04T00:00:00"/>
  </r>
  <r>
    <s v="25-010474"/>
    <x v="7"/>
    <n v="2025"/>
    <s v="February"/>
    <n v="1"/>
    <n v="6"/>
    <n v="2"/>
    <s v="Friday"/>
    <n v="38"/>
    <n v="7"/>
    <d v="1899-12-30T06:00:00"/>
    <d v="1899-12-30T06:35:00"/>
    <x v="1"/>
    <s v="Motor Vehicle Theft"/>
    <s v=""/>
    <s v=""/>
    <s v="Motor Vehicle Theft"/>
    <x v="6"/>
    <s v="170 Hudson Street"/>
    <s v="170 Hudson Street, Hackensack, NJ, 07601"/>
    <s v="E2"/>
    <n v="5"/>
    <s v="I responded to the listed location on a motor vehicle theft. Upon arrival, I met with the complainant and the victim. The victim only spoke Spanish, so her husband (the complainant) translated. The complainant stated that his wife's vehicle was parking in the driveway of 170 Hudson Street, which was located between 170 Hudson Street and 166 Hudson Street. He stated that he left his vehicle running and went back into his house at 0635 hours. When he went to check on the vehicle at 0650 hours, he discovered it was missing. The vehicle was left unlocked with the keys in the ignition. I observed cameras in the rear of the house, but none located directly where the vehicle was parked.A victim notification form was completed and a copy was given to the victim. The victim requested to have the vehicle process if located. The estimated value of the stolen auto is $2,000.00 Dollars."/>
    <m/>
    <m/>
    <s v="NJ-T12SSE DODGE, CAR"/>
    <m/>
    <s v="T12SSE"/>
    <s v="DODGE"/>
    <s v="CAR"/>
    <s v="NJ"/>
    <m/>
    <m/>
    <m/>
    <m/>
    <s v="Swetits_M"/>
    <s v="Complete"/>
    <s v="P.O. Matthew Tedesco 316"/>
    <s v="B3"/>
    <s v="Sgt. Francesco Tripodi 134"/>
    <s v="No Investigation"/>
    <s v="240 = Theft of Motor Vehicle"/>
    <n v="9"/>
    <d v="2025-02-07T06:35:00"/>
    <s v="I responded to the listed location on a motor vehicle theft. Upon arrival, I met with the complainant and the victim. The victim only spoke Spanish, so her husband (the complainant) translated. The complainant stated that his wife's vehicle was parking in the driveway of 170 Hudson Street, which was located between 170 Hudson Street and 166 Hudson Street. He stated that he left his vehicle running and went back into his house at 0635 hours. When he went to check on the vehicle at 0650 hours, he discovered it was missing. The vehicle was left unlocked with the keys in the ignition. I observed cameras in the rear of the house, but none located directly where the vehicle was parked.A victim notification form was completed and a copy was given to the victim. The victim requested to have the vehicle process if located. The estimated value of the stolen auto is $2,000.00 Dollars."/>
    <n v="170"/>
    <d v="2025-02-07T00:00:00"/>
    <d v="1899-12-30T06:35:00"/>
    <d v="2025-02-07T00:00:00"/>
    <d v="1899-12-30T06:50:00"/>
    <d v="2025-02-07T00:00:00"/>
    <d v="1899-12-30T07:22:38"/>
    <s v="Winter"/>
    <s v="Dawn Period (0400-0759)"/>
    <s v="C2W6"/>
    <d v="2025-02-11T00:00:00"/>
  </r>
  <r>
    <s v="25-012325"/>
    <x v="8"/>
    <n v="2025"/>
    <s v="February"/>
    <n v="1"/>
    <n v="7"/>
    <n v="3"/>
    <s v="Thursday"/>
    <n v="44"/>
    <n v="13"/>
    <d v="1899-12-30T16:00:00"/>
    <d v="1899-12-30T16:00:00"/>
    <x v="3"/>
    <s v="Burglary - Auto"/>
    <s v=""/>
    <s v=""/>
    <s v="Burglary - Auto"/>
    <x v="7"/>
    <s v="East Pleasantview Avenue &amp; Kipp Street"/>
    <s v="East Pleasantview Avenue &amp; Kipp Street, Hackensack, NJ, 07601"/>
    <s v="F3"/>
    <n v="6"/>
    <s v="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
    <m/>
    <m/>
    <s v="NJ-XGDR55 FORD, R1Z"/>
    <m/>
    <s v="XGDR55"/>
    <s v="FORD"/>
    <s v="R1Z"/>
    <s v="NJ"/>
    <m/>
    <m/>
    <m/>
    <m/>
    <s v="Swetits_M"/>
    <s v="Complete"/>
    <s v="P.O. Angelo Vicale 370"/>
    <s v="B3"/>
    <s v="Sgt. Franklin Bay 162"/>
    <s v="Under Supervisor Review"/>
    <s v="23F = Theft From Motor Vehicle"/>
    <n v="9"/>
    <d v="2025-02-13T16:00:00"/>
    <s v="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
    <m/>
    <d v="2025-02-13T00:00:00"/>
    <d v="1899-12-30T16:00:00"/>
    <m/>
    <m/>
    <d v="2025-02-14T00:00:00"/>
    <d v="1899-12-30T07:10:39"/>
    <s v="Winter"/>
    <s v="Evening Peak (1600-1959)"/>
    <s v="C2W7"/>
    <d v="2025-02-18T00:00:0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s v="25-002635"/>
    <x v="0"/>
    <n v="2025"/>
    <s v="January"/>
    <n v="1"/>
    <n v="2"/>
    <n v="2"/>
    <x v="0"/>
    <n v="6"/>
    <n v="6"/>
    <x v="0"/>
    <d v="1899-12-30T15:30:00"/>
    <s v="Burglary - Auto"/>
    <s v="Burglary - Auto"/>
    <s v=""/>
    <s v=""/>
    <s v="Burglary - Auto"/>
    <s v="Prospect Ave, 0 Block"/>
    <s v="90 Prospect Avenue"/>
    <s v="90 Prospect Avenue, Hackensack, NJ, 07601"/>
    <m/>
    <n v="7"/>
    <s v="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
    <m/>
    <m/>
    <s v="NJ-XCSW43 HONDA, PIL"/>
    <m/>
    <s v="XCSW43"/>
    <s v="HONDA"/>
    <s v="PIL"/>
    <s v="NJ"/>
    <m/>
    <m/>
    <m/>
    <m/>
    <s v="Deleon_A"/>
    <s v="Complete"/>
    <s v="P.O. Ruben Almonte 359"/>
    <s v="A3"/>
    <s v="Det. Matthew DeBonis 325"/>
    <s v="Active/Administratively Closed"/>
    <s v="23F = Theft From Motor Vehicle"/>
    <n v="9"/>
    <d v="2025-01-06T15:30:00"/>
    <s v="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
    <n v="90"/>
    <d v="2025-01-06T00:00:00"/>
    <d v="1899-12-30T15:30:00"/>
    <d v="2025-01-10T00:00:00"/>
    <m/>
    <d v="2025-01-10T00:00:00"/>
    <d v="1899-12-30T19:49:52"/>
    <s v="Winter"/>
    <s v="Afternoon Period (1200-1559)"/>
    <s v="C1W1"/>
    <d v="2025-01-07T00:00:00"/>
    <s v="Yes"/>
  </r>
  <r>
    <s v="25-007074"/>
    <x v="1"/>
    <n v="2025"/>
    <s v="January"/>
    <n v="1"/>
    <n v="4"/>
    <n v="4"/>
    <x v="1"/>
    <n v="25"/>
    <n v="25"/>
    <x v="1"/>
    <d v="1899-12-30T18:27:00"/>
    <s v="Burglary - Auto"/>
    <s v="Burglary - Auto"/>
    <s v="Theft"/>
    <s v=""/>
    <s v="Burglary - Auto, Theft"/>
    <s v="Stanley Pl, 200 Block"/>
    <s v="206 Stanley Place"/>
    <s v="206 Stanley Place, Hackensack, NJ, 07601"/>
    <s v="H3"/>
    <n v="8"/>
    <s v="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
    <m/>
    <m/>
    <s v="NJ-R36GBB HONDA, CRV"/>
    <m/>
    <s v="R36GBB"/>
    <s v="HONDA"/>
    <s v="CRV"/>
    <s v="NJ"/>
    <m/>
    <m/>
    <m/>
    <m/>
    <s v="Levis_R"/>
    <s v="Complete"/>
    <s v="P.O. Massimo Gallorini 379"/>
    <s v="A2"/>
    <s v="Sgt. Franklin Bay 162"/>
    <s v="No Investigation"/>
    <s v="23F = Theft From Motor Vehicle"/>
    <n v="9"/>
    <d v="2025-01-25T18:27:00"/>
    <s v="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
    <n v="206"/>
    <d v="2025-01-25T00:00:00"/>
    <d v="1899-12-30T18:27:00"/>
    <m/>
    <m/>
    <d v="2025-01-26T00:00:00"/>
    <d v="1899-12-30T10:34:25"/>
    <s v="Winter"/>
    <s v="Evening Peak (1600-1959)"/>
    <s v="C1W4"/>
    <d v="2025-01-28T00:00:00"/>
    <s v="Yes"/>
  </r>
  <r>
    <s v="25-007197"/>
    <x v="2"/>
    <n v="2025"/>
    <s v="January"/>
    <n v="1"/>
    <n v="5"/>
    <n v="5"/>
    <x v="2"/>
    <n v="26"/>
    <n v="26"/>
    <x v="2"/>
    <d v="1899-12-30T20:10:00"/>
    <s v="Burglary - Auto"/>
    <s v="Burglary - Auto"/>
    <s v="Theft"/>
    <s v=""/>
    <s v="Burglary - Auto, Theft"/>
    <s v="Pangborn Pl, 0 Block"/>
    <s v="5 Pangborn Place"/>
    <s v="5 Pangborn Place, Hackensack, NJ, 07601"/>
    <s v="H2"/>
    <n v="9"/>
    <s v="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
    <m/>
    <m/>
    <s v="NJ-R97RYW HONDA, ODY"/>
    <m/>
    <s v="R97RYW"/>
    <s v="HONDA"/>
    <s v="ODY"/>
    <s v="NJ"/>
    <m/>
    <m/>
    <m/>
    <m/>
    <s v="Deleon_A"/>
    <s v="Complete"/>
    <s v="P.O. Micah Gibson 365"/>
    <s v="A3"/>
    <s v="Det. Matthew Dogali 338"/>
    <s v="Active Investigation"/>
    <s v="23F = Theft From Motor Vehicle"/>
    <n v="9"/>
    <d v="2025-01-26T20:10:00"/>
    <s v="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
    <n v="5"/>
    <d v="2025-01-26T00:00:00"/>
    <d v="1899-12-30T20:10:00"/>
    <d v="2025-01-26T00:00:00"/>
    <d v="1899-12-30T20:19:00"/>
    <d v="2025-01-26T00:00:00"/>
    <d v="1899-12-30T20:24:08"/>
    <s v="Winter"/>
    <s v="Night Period (2000-2359)"/>
    <s v="C1W4"/>
    <d v="2025-01-28T00:00:00"/>
    <s v="Yes"/>
  </r>
  <r>
    <s v="25-012325"/>
    <x v="3"/>
    <n v="2025"/>
    <s v="February"/>
    <n v="1"/>
    <n v="7"/>
    <n v="3"/>
    <x v="3"/>
    <n v="44"/>
    <n v="13"/>
    <x v="3"/>
    <d v="1899-12-30T16:00:00"/>
    <s v="Burglary - Auto"/>
    <s v="Burglary - Auto"/>
    <s v=""/>
    <s v=""/>
    <s v="Burglary - Auto"/>
    <m/>
    <s v="East Pleasantview Avenue &amp; Kipp Street"/>
    <s v="East Pleasantview Avenue &amp; Kipp Street, Hackensack, NJ, 07601"/>
    <s v="F3"/>
    <n v="6"/>
    <s v="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
    <m/>
    <m/>
    <s v="NJ-XGDR55 FORD, R1Z"/>
    <m/>
    <s v="XGDR55"/>
    <s v="FORD"/>
    <s v="R1Z"/>
    <s v="NJ"/>
    <m/>
    <m/>
    <m/>
    <m/>
    <s v="Swetits_M"/>
    <s v="Complete"/>
    <s v="P.O. Angelo Vicale 370"/>
    <s v="B3"/>
    <s v="Sgt. Franklin Bay 162"/>
    <s v="Under Supervisor Review"/>
    <s v="23F = Theft From Motor Vehicle"/>
    <n v="9"/>
    <d v="2025-02-13T16:00:00"/>
    <s v="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
    <m/>
    <d v="2025-02-13T00:00:00"/>
    <d v="1899-12-30T16:00:00"/>
    <m/>
    <m/>
    <d v="2025-02-14T00:00:00"/>
    <d v="1899-12-30T07:10:39"/>
    <s v="Winter"/>
    <s v="Evening Peak (1600-1959)"/>
    <s v="C2W7"/>
    <d v="2025-02-18T00:00:00"/>
    <s v="Yes"/>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s v="25-000813"/>
    <x v="0"/>
    <n v="2025"/>
    <s v="January"/>
    <n v="1"/>
    <n v="1"/>
    <n v="1"/>
    <x v="0"/>
    <n v="3"/>
    <n v="3"/>
    <x v="0"/>
    <d v="1899-12-30T21:30:00"/>
    <s v="Motor Vehicle Theft"/>
    <s v="Motor Vehicle Theft"/>
    <s v=""/>
    <s v=""/>
    <s v="Motor Vehicle Theft"/>
    <s v="Lookout Ave, 300 Block"/>
    <s v="309 Lookout Avenue"/>
    <s v="309 Lookout Avenue, Hackensack, NJ, 07601"/>
    <s v="I2"/>
    <n v="9"/>
    <s v="On Saturday, January 4th, 2025, I responded to the listed location on a report of a motor vehicle theft. Upon arrival, I met the registered owner, who reported that his vehicle was parked in the driveway at 21:30 hours on 01/03/2025. He further reported that he left his residence with his friends in his friend's vehicle and returned to his residence on the morning of 01/04/2025. He noticed his vehicle was taken from his driveway. The registered owner reported there was nothing valuable in the car and was uncertain if the spare keys were in the vehicle. Both New Jersey plates are affixed to the vehicle.      Communications advised me that the vehicle was located in Clarkstown, NY, and was involved in a motor vehicle hit-and-run accident. The registered owner was also advised of the vehicle's location. I observed no cameras in the area.      The victim did not want the vehicle processed or to sign complaints if the suspect(s) are identified.     A New Jersey Victim Notification form was completed and provided to the registered owner.     An ATTF entry was completed    A motor vehicle checklist was completed and submitted."/>
    <m/>
    <m/>
    <s v="NJ-W46ULY HONDA, ACC"/>
    <m/>
    <s v="W46ULY"/>
    <s v="HONDA"/>
    <s v="ACC"/>
    <s v="NJ"/>
    <m/>
    <m/>
    <m/>
    <m/>
    <s v="Klosk_J"/>
    <s v="Complete"/>
    <s v="P.O. Nicholas Mazzaccaro 377"/>
    <s v="B4"/>
    <s v="Det. Robert Ghirardi 150"/>
    <s v="Active/Administratively Closed"/>
    <s v="240 = Theft of Motor Vehicle"/>
    <n v="9"/>
    <d v="2025-01-03T21:30:00"/>
    <s v="On Saturday, January 4th, 2025, I responded to the listed location on a report of a motor vehicle theft. Upon arrival, I met the registered owner, who reported that his vehicle was parked in the driveway at 21:30 hours on 01/03/2025. He further reported that he left his residence with his friends in his friend's vehicle and returned to his residence on the morning of 01/04/2025. He noticed his vehicle was taken from his driveway. The registered owner reported there was nothing valuable in the car and was uncertain if the spare keys were in the vehicle. Both New Jersey plates are affixed to the vehicle.      Communications advised me that the vehicle was located in Clarkstown, NY, and was involved in a motor vehicle hit-and-run accident. The registered owner was also advised of the vehicle's location. I observed no cameras in the area.      The victim did not want the vehicle processed or to sign complaints if the suspect(s) are identified.     A New Jersey Victim Notification form was completed and provided to the registered owner.     An ATTF entry was completed    A motor vehicle checklist was completed and submitted."/>
    <n v="309"/>
    <d v="2025-01-03T00:00:00"/>
    <d v="1899-12-30T21:30:00"/>
    <d v="2025-01-04T00:00:00"/>
    <d v="1899-12-30T06:25:00"/>
    <d v="2025-01-04T00:00:00"/>
    <d v="1899-12-30T10:59:09"/>
    <s v="Winter"/>
    <s v="Night Period (2000-2359)"/>
    <s v="C1W1"/>
    <d v="2025-01-07T00:00:00"/>
    <s v="Yes"/>
  </r>
  <r>
    <s v="25-004097"/>
    <x v="1"/>
    <n v="2025"/>
    <s v="January"/>
    <n v="1"/>
    <n v="3"/>
    <n v="3"/>
    <x v="1"/>
    <n v="15"/>
    <n v="15"/>
    <x v="1"/>
    <d v="1899-12-30T12:57:26"/>
    <s v="Motor Vehicle Theft"/>
    <s v="Motor Vehicle Theft"/>
    <s v=""/>
    <s v=""/>
    <s v="Motor Vehicle Theft"/>
    <s v="First St, 200 Block"/>
    <s v="244 First Street"/>
    <s v="244 First Street, Hackensack, NJ, 07601"/>
    <s v="H3"/>
    <n v="8"/>
    <s v="On 01/15/2025 I responded to 244 First Street on a reported motor vehicle theft. Upon arrival I met with the driver of the stolen vehicle, Jeffrey Mejiamorquecho. He reported he parked his motor vehicle in front of 244 First Street facing north at around 24:00 hours. He further reported his mother left his residence at 05:00 hours on the listed date and noticed the vehicle was gone. The driver also reported he received a notification from EZ Pass with a charge from the George Washington Bridge toll at 04:13 hours on the listed date. The driver then walked out with me to where his vehicle was parked and observed broken glass which he suspected to be from his rear passenger side window. The driver advised me the vehicle had 1 plate in the rear and was worth approximately $50,000.00 as the vehicle was fairly new. He further reported he attempted to track the vehicle as it contains tracking equipment but was unsuccessful as it was not connecting. He believes it was disconnected somehow after the vehicle was stolen.240 First Street has cameras in the general direction of where the vehicle was parked. It is unknown at this time if they captured the incident occur.Insurance Information: Company: Geico (369)Policy Number: 6183163036The driver was provided with a completed New Jersey Victim Notification Form.The driver wished to have the vehicle processed if located and a Hackensack Police Consent to Search from was completed.The vehicle was entered into NCIC as stolen by Communications.The vehicle was entered into ATTF as stolen."/>
    <m/>
    <m/>
    <s v="NJ-U38ULG HONDA, CIV"/>
    <m/>
    <s v="U38ULG"/>
    <s v="HONDA"/>
    <s v="CIV"/>
    <s v="NJ"/>
    <m/>
    <m/>
    <m/>
    <m/>
    <s v="Swetits_M"/>
    <s v="Complete"/>
    <s v="P.O. Frank Lorenzo 371"/>
    <s v="B1"/>
    <s v="Det. Matthew DeBonis 325"/>
    <s v="Active/Administratively Closed"/>
    <s v="240 = Theft of Motor Vehicle"/>
    <n v="9"/>
    <d v="2025-01-15T12:57:00"/>
    <s v="On 01/15/2025 I responded to 244 First Street on a reported motor vehicle theft. Upon arrival I met with the driver of the stolen vehicle, Jeffrey Mejiamorquecho. He reported he parked his motor vehicle in front of 244 First Street facing north at around 24:00 hours. He further reported his mother left his residence at 05:00 hours on the listed date and noticed the vehicle was gone. The driver also reported he received a notification from EZ Pass with a charge from the George Washington Bridge toll at 04:13 hours on the listed date. The driver then walked out with me to where his vehicle was parked and observed broken glass which he suspected to be from his rear passenger side window. The driver advised me the vehicle had 1 plate in the rear and was worth approximately $50,000.00 as the vehicle was fairly new. He further reported he attempted to track the vehicle as it contains tracking equipment but was unsuccessful as it was not connecting. He believes it was disconnected somehow after the vehicle was stolen.240 First Street has cameras in the general direction of where the vehicle was parked. It is unknown at this time if they captured the incident occur.Insurance Information: Company: Geico (369)Policy Number: 6183163036The driver was provided with a completed New Jersey Victim Notification Form.The driver wished to have the vehicle processed if located and a Hackensack Police Consent to Search from was completed.The vehicle was entered into NCIC as stolen by Communications.The vehicle was entered into ATTF as stolen."/>
    <n v="244"/>
    <d v="2025-01-15T00:00:00"/>
    <d v="1899-12-30T12:57:26"/>
    <m/>
    <m/>
    <d v="2025-01-15T00:00:00"/>
    <d v="1899-12-30T12:57:26"/>
    <s v="Winter"/>
    <s v="Afternoon Period (1200-1559)"/>
    <s v="C1W3"/>
    <d v="2025-01-21T00:00:00"/>
    <s v="Yes"/>
  </r>
  <r>
    <s v="25-005871"/>
    <x v="2"/>
    <n v="2025"/>
    <s v="January"/>
    <n v="1"/>
    <n v="4"/>
    <n v="4"/>
    <x v="2"/>
    <n v="21"/>
    <n v="21"/>
    <x v="2"/>
    <d v="1899-12-30T19:00:00"/>
    <s v="Motor Vehicle Theft"/>
    <s v="Motor Vehicle Theft"/>
    <s v=""/>
    <s v=""/>
    <s v="Motor Vehicle Theft"/>
    <s v="Ross Ave, 0 Block"/>
    <s v="33 Ross Avenue"/>
    <s v="33 Ross Avenue, Hackensack, NJ, 07601"/>
    <s v="I1"/>
    <n v="9"/>
    <s v="On January 22, 2025, I responded to the listed location on a report on a stolen motor vehicle. Upon arrival, I met with the registered owner, Kamil Garcia. The registered owner stated on January 21, 2025 at approximately 1800 hours he parked his vehicle, a 2023 Honda Passport color red bearing NJ registration U22RSV in front of 33 Ross Ave facing West. The registered owner stated that he currently has possession of the two key fobs that belong to the vehicle. At approximately 0309 hours on January 22, 2025 he responded to his vehicle where he last parked it and the vehicle was no longer there.       The registered owner received a completed victim notification. The vehicle was entered as stolen into NCIC (NIC #  V956704006) along with a stolen motor vehicle form. The vehicle was also entered as stolen into the  ATTF website. The registered owner does not wish to have the vehicle processed at this time. Approximate value for the above vehicle is 46,000.00 USD."/>
    <m/>
    <m/>
    <s v="NJ-U22RSV HONDA, PAS"/>
    <m/>
    <s v="U22RSV"/>
    <s v="HONDA"/>
    <s v="PAS"/>
    <s v="NJ"/>
    <m/>
    <m/>
    <m/>
    <m/>
    <s v="Tovbin_S"/>
    <s v="Complete"/>
    <s v="P.O. Roselys Salas 369"/>
    <s v="B4"/>
    <s v="Det. John Tanucilli 335"/>
    <s v="Active/Administratively Closed"/>
    <s v="240 = Theft of Motor Vehicle"/>
    <n v="9"/>
    <d v="2025-01-21T19:00:00"/>
    <s v="On January 22, 2025, I responded to the listed location on a report on a stolen motor vehicle. Upon arrival, I met with the registered owner, Kamil Garcia. The registered owner stated on January 21, 2025 at approximately 1800 hours he parked his vehicle, a 2023 Honda Passport color red bearing NJ registration U22RSV in front of 33 Ross Ave facing West. The registered owner stated that he currently has possession of the two key fobs that belong to the vehicle. At approximately 0309 hours on January 22, 2025 he responded to his vehicle where he last parked it and the vehicle was no longer there.       The registered owner received a completed victim notification. The vehicle was entered as stolen into NCIC (NIC #  V956704006) along with a stolen motor vehicle form. The vehicle was also entered as stolen into the  ATTF website. The registered owner does not wish to have the vehicle processed at this time. Approximate value for the above vehicle is 46,000.00 USD."/>
    <n v="33"/>
    <d v="2025-01-21T00:00:00"/>
    <d v="1899-12-30T19:00:00"/>
    <d v="2025-01-22T00:00:00"/>
    <d v="1899-12-30T03:09:00"/>
    <d v="2025-01-22T00:00:00"/>
    <d v="1899-12-30T03:10:53"/>
    <s v="Winter"/>
    <s v="Evening Peak (1600-1959)"/>
    <s v="C1W4"/>
    <d v="2025-01-21T00:00:00"/>
    <s v="Yes"/>
  </r>
  <r>
    <s v="25-006083"/>
    <x v="3"/>
    <n v="2025"/>
    <s v="January"/>
    <n v="1"/>
    <n v="4"/>
    <n v="4"/>
    <x v="1"/>
    <n v="22"/>
    <n v="22"/>
    <x v="3"/>
    <d v="1899-12-30T08:00:00"/>
    <s v="Motor Vehicle Theft"/>
    <s v="Motor Vehicle Theft"/>
    <s v=""/>
    <s v=""/>
    <s v="Motor Vehicle Theft"/>
    <s v="Hudson St, 400 Block"/>
    <s v="443 Hudson Street"/>
    <s v="443 Hudson Street, Hackensack, NJ, 07601"/>
    <s v="E3"/>
    <n v="5"/>
    <s v="On January 22, 2025, I responded to the listed location on a report of a stolen motor vehicle. Upon arrival, I met with the victim, Melisssa Williams, also registered owner. The victim stated the vehicle has been lodged at 443 Hudson Street with permission of the resident Jermal Clark. The victim stated upon speaking to Jermal Clark he stated &quot;the vehicle was towed off the property early morning and he got some money for it.&quot;  Sgt. Tovbin and I spoke to Jermal Clark, who stated that he does not know which towing company towed the vehicle. I asked Jermal Clark if he towed the vehicle off the property and he was uncooperative in answering the question.       The vehicle, a 2006 Nissan Pathfinder color black bearing NJ registration Y62SRJ, was last seen on January 21, 2025 at approximately 1600 hours parked facing South on the listed property. The victim stated that she currently does not have possession of the key. The victim indicated the one key was last in possession of Jermal Clark.       The registered owner received a completed victim notification. The vehicle was entered as stolen into NCIC (NIC # V146697789 ) along with a stolen motor vehicle form. The vehicle was also entered as stolen into the  ATTF website. The registered owner does not wish to have the vehicle processed at this time. Approximate value for the above vehicle is 2,500.00 USD."/>
    <m/>
    <m/>
    <s v="NJ-Y62SRJ NISSAN, PTH"/>
    <m/>
    <s v="Y62SRJ"/>
    <s v="NISSAN"/>
    <s v="PTH"/>
    <s v="NJ"/>
    <m/>
    <m/>
    <m/>
    <m/>
    <s v="Swetits_M"/>
    <s v="Complete"/>
    <s v="P.O. Roselys Salas 369"/>
    <s v="B4"/>
    <s v="Det. Demetrius Carroll 133"/>
    <s v="Active/Administratively Closed"/>
    <s v="240 = Theft of Motor Vehicle"/>
    <n v="9"/>
    <d v="2025-01-22T08:00:00"/>
    <s v="On January 22, 2025, I responded to the listed location on a report of a stolen motor vehicle. Upon arrival, I met with the victim, Melisssa Williams, also registered owner. The victim stated the vehicle has been lodged at 443 Hudson Street with permission of the resident Jermal Clark. The victim stated upon speaking to Jermal Clark he stated &quot;the vehicle was towed off the property early morning and he got some money for it.&quot;  Sgt. Tovbin and I spoke to Jermal Clark, who stated that he does not know which towing company towed the vehicle. I asked Jermal Clark if he towed the vehicle off the property and he was uncooperative in answering the question.       The vehicle, a 2006 Nissan Pathfinder color black bearing NJ registration Y62SRJ, was last seen on January 21, 2025 at approximately 1600 hours parked facing South on the listed property. The victim stated that she currently does not have possession of the key. The victim indicated the one key was last in possession of Jermal Clark.       The registered owner received a completed victim notification. The vehicle was entered as stolen into NCIC (NIC # V146697789 ) along with a stolen motor vehicle form. The vehicle was also entered as stolen into the  ATTF website. The registered owner does not wish to have the vehicle processed at this time. Approximate value for the above vehicle is 2,500.00 USD."/>
    <n v="443"/>
    <d v="2025-01-22T00:00:00"/>
    <d v="1899-12-30T08:00:00"/>
    <d v="2025-01-22T00:00:00"/>
    <d v="1899-12-30T19:13:00"/>
    <d v="2025-01-22T00:00:00"/>
    <d v="1899-12-30T19:14:56"/>
    <s v="Winter"/>
    <s v="Morning Peak (0800-1159)"/>
    <s v="C1W4"/>
    <d v="2025-01-28T00:00:00"/>
    <s v="Yes"/>
  </r>
  <r>
    <s v="25-008075"/>
    <x v="4"/>
    <n v="2025"/>
    <s v="January"/>
    <n v="1"/>
    <n v="5"/>
    <n v="5"/>
    <x v="2"/>
    <n v="28"/>
    <n v="28"/>
    <x v="4"/>
    <d v="1899-12-30T15:00:00"/>
    <s v="Motor Vehicle Theft"/>
    <s v="Motor Vehicle Theft"/>
    <s v="Theft"/>
    <s v=""/>
    <s v="Motor Vehicle Theft, Theft"/>
    <s v="Essex St, 100 Block"/>
    <s v="119 Essex Street"/>
    <s v="119 Essex Street, Hackensack, NJ, 07601"/>
    <s v="F1"/>
    <n v="6"/>
    <s v="On January 29, 2025, I responded to the listed location on a report on a stolen motor vehicle. Upon arrival, I met with the registered owner, Trina Coley. The registered owner stated on January 28, 2025 during the afternoon hours she parked her vehicle , a 2012 Lexus ES color black bearing NJ registration K84CXU in her residence private parking lot facing East. The registered owner stated that she currently does not have possession of the key fob as it was left inside of the vehicle along with her cell phone. At approximately 0930 hours on January 29, 2025 she responded to her vehicle where she last parked it,and the vehicle was no longer there.       The registered owner received a completed victim notification. The vehicle was entered as stolen into NCIC (NIC #V686695547 ) along with a stolen motor vehicle form. The vehicle was also entered as stolen into the ATTF web site. The registered owner does not wish to have the vehicle processed at this time. Approximate value for the above vehicle is 7,000.00 USD and the iPhone 15 at $800.00 USD."/>
    <m/>
    <m/>
    <s v="NJ-K84CXU LEXUS, ES"/>
    <m/>
    <s v="K84CXU"/>
    <s v="LEXUS"/>
    <s v="ES"/>
    <s v="NJ"/>
    <m/>
    <m/>
    <m/>
    <m/>
    <s v="Swetits_M"/>
    <s v="Complete"/>
    <s v="P.O. Roselys Salas 369"/>
    <s v="B4"/>
    <s v="Det. Matthew DeBonis 325"/>
    <s v="Ex-Cleared / Closed"/>
    <s v="240 = Theft of Motor Vehicle"/>
    <n v="9"/>
    <d v="2025-01-28T15:00:00"/>
    <s v="On January 29, 2025, I responded to the listed location on a report on a stolen motor vehicle. Upon arrival, I met with the registered owner, Trina Coley. The registered owner stated on January 28, 2025 during the afternoon hours she parked her vehicle , a 2012 Lexus ES color black bearing NJ registration K84CXU in her residence private parking lot facing East. The registered owner stated that she currently does not have possession of the key fob as it was left inside of the vehicle along with her cell phone. At approximately 0930 hours on January 29, 2025 she responded to her vehicle where she last parked it,and the vehicle was no longer there.       The registered owner received a completed victim notification. The vehicle was entered as stolen into NCIC (NIC #V686695547 ) along with a stolen motor vehicle form. The vehicle was also entered as stolen into the ATTF web site. The registered owner does not wish to have the vehicle processed at this time. Approximate value for the above vehicle is 7,000.00 USD and the iPhone 15 at $800.00 USD."/>
    <n v="119"/>
    <d v="2025-01-28T00:00:00"/>
    <d v="1899-12-30T15:00:00"/>
    <d v="2025-01-29T00:00:00"/>
    <d v="1899-12-30T22:01:00"/>
    <d v="2025-01-29T00:00:00"/>
    <d v="1899-12-30T22:02:24"/>
    <s v="Winter"/>
    <s v="Afternoon Period (1200-1559)"/>
    <s v="C2W5"/>
    <d v="2025-01-28T00:00:00"/>
    <s v="Yes"/>
  </r>
  <r>
    <s v="25-010788"/>
    <x v="5"/>
    <n v="2025"/>
    <s v="January"/>
    <n v="1"/>
    <n v="5"/>
    <n v="5"/>
    <x v="0"/>
    <n v="31"/>
    <n v="31"/>
    <x v="1"/>
    <d v="1899-12-30T12:00:00"/>
    <s v="Motor Vehicle Theft"/>
    <s v="Motor Vehicle Theft"/>
    <s v=""/>
    <s v=""/>
    <s v="Motor Vehicle Theft"/>
    <s v="Hudson St, 500 Block"/>
    <s v="535 Hudson Street"/>
    <s v="535 Hudson Street, Hackensack, NJ, 07601"/>
    <s v="E3"/>
    <n v="5"/>
    <s v="The victim responded to police headquarters on a report of a motor vehicle theft.  The victim, Clever Asitimbay Mora, reported that he parked the vehicle in the area of 535 Hudson Street in this jurisdiction on 01/31/2025.  The victim reported that on 02/7/2025 at approximately 13:00 hours, he checked the GPS location of his vehicle on his phone and noticed that his vehicle was located at 3945 Frankford Avenue, Philadelphia, PA 19124.  He reported he possessed one (1) key to the vehicle, and the other key was broken.  Both the front and rear license plates were attached to the vehicle.  The victim did not want the vehicle processed if located.  The vehicle is insured by GEICO unknown policy number at this time.  The value of the vehicle is approximately $6,000.00.  A victim notification form was completed, and the vehicle was entered into N.C.I.C and the Auto Theft Task Force (ATTF) as stolen.  I contacted Philadelphia Police Department District 24 and spoke with P.O. Kane and advised him of the location of the vehicle."/>
    <m/>
    <m/>
    <s v="NJ-S70MPZ"/>
    <m/>
    <s v="S70MPZ"/>
    <m/>
    <s v="CIV"/>
    <s v="NJ"/>
    <m/>
    <m/>
    <m/>
    <m/>
    <s v="Swetits_M"/>
    <s v="Complete"/>
    <s v="P.O. Daniel Francavilla 329"/>
    <s v="B4"/>
    <s v="Det. Matthew Dogali 338"/>
    <s v="Active Investigation"/>
    <s v="240 = Theft of Motor Vehicle"/>
    <n v="9"/>
    <d v="2025-01-31T12:00:00"/>
    <s v="The victim responded to police headquarters on a report of a motor vehicle theft.  The victim, Clever Asitimbay Mora, reported that he parked the vehicle in the area of 535 Hudson Street in this jurisdiction on 01/31/2025.  The victim reported that on 02/7/2025 at approximately 13:00 hours, he checked the GPS location of his vehicle on his phone and noticed that his vehicle was located at 3945 Frankford Avenue, Philadelphia, PA 19124.  He reported he possessed one (1) key to the vehicle, and the other key was broken.  Both the front and rear license plates were attached to the vehicle.  The victim did not want the vehicle processed if located.  The vehicle is insured by GEICO unknown policy number at this time.  The value of the vehicle is approximately $6,000.00.  A victim notification form was completed, and the vehicle was entered into N.C.I.C and the Auto Theft Task Force (ATTF) as stolen.  I contacted Philadelphia Police Department District 24 and spoke with P.O. Kane and advised him of the location of the vehicle."/>
    <n v="535"/>
    <d v="2025-01-31T00:00:00"/>
    <d v="1899-12-30T12:00:00"/>
    <d v="2025-02-07T00:00:00"/>
    <d v="1899-12-30T13:00:00"/>
    <d v="2025-02-08T00:00:00"/>
    <d v="1899-12-30T09:22:04"/>
    <s v="Winter"/>
    <s v="Afternoon Period (1200-1559)"/>
    <s v="C2W5"/>
    <d v="2025-02-04T00:00:00"/>
    <s v="Yes"/>
  </r>
  <r>
    <s v="25-008777"/>
    <x v="6"/>
    <n v="2025"/>
    <s v="February"/>
    <n v="1"/>
    <n v="5"/>
    <n v="1"/>
    <x v="3"/>
    <n v="32"/>
    <n v="1"/>
    <x v="5"/>
    <d v="1899-12-30T01:00:00"/>
    <s v="Motor Vehicle Theft"/>
    <s v="Motor Vehicle Theft"/>
    <s v=""/>
    <s v=""/>
    <s v="Motor Vehicle Theft"/>
    <s v="Sutton Ave, 400 Block"/>
    <s v="453 Sutton Avenue"/>
    <s v="453 Sutton Avenue, Hackensack, NJ, 07601"/>
    <s v="F2"/>
    <n v="6"/>
    <s v="On February 1, 2025, I responded to the listed location on a report on a stolen motor vehicle. Upon arrival, I met with the registered owner, Mohammed Almowail. The registered owner stated on February 1, 2025 at approximately 0100 hours he parked his vehicle, a 2012 Ford Crown Victoria color grey bearing NJ registration P77UZJ in front of 453 Sutton Avenue facing East. At approximately 0230 hours, while inside of the residence he heard the vehicle being turned on and when he walked out to where he last parked it the vehicle was no longer there.      The registered owner stated that he currently has possession of the two keys that belong to the vehicle. The vehicle has two NJ plates(P77UZJ) attached.     It should be noted the victim was in the process of selling the vehicle today to someone by the alias of Taylor Jacobs via Facebook marketplace. The victim provided the above listed address and videos of where the vehicle was going to be located to the above listed alias of Taylor Jacobs.     The vehicle also contained a black wallet inside with three Bank of America Credit Cards and 4 Bank of Kuwaitt Credit Cards issued to Abdull Alhajeri. The victim was advised to report and lock all cards.      The registered owner received a completed victim notification. The vehicle was entered as stolen into NCIC (NIC # V786677145 ) along with a stolen motor vehicle form. The vehicle was also entered as stolen into the  ATTF site. The registered owner does not wish to have the vehicle processed at this time. Approximate value for the above vehicle is 3,000.00 USD. The value of the black wallet is approximately $30.00 USD."/>
    <m/>
    <m/>
    <s v="NJ-P77UZJ FORD, CRO"/>
    <m/>
    <s v="P77UZJ"/>
    <s v="FORD"/>
    <s v="CRO"/>
    <s v="NJ"/>
    <m/>
    <m/>
    <m/>
    <m/>
    <s v="Swetits_M"/>
    <s v="Complete"/>
    <s v="P.O. Roselys Salas 369"/>
    <s v="B4"/>
    <s v="Det. Demetrius Carroll 133"/>
    <s v="Active/Administratively Closed"/>
    <s v="240 = Theft of Motor Vehicle"/>
    <n v="9"/>
    <d v="2025-02-01T01:00:00"/>
    <s v="On February 1, 2025, I responded to the listed location on a report on a stolen motor vehicle. Upon arrival, I met with the registered owner, Mohammed Almowail. The registered owner stated on February 1, 2025 at approximately 0100 hours he parked his vehicle, a 2012 Ford Crown Victoria color grey bearing NJ registration P77UZJ in front of 453 Sutton Avenue facing East. At approximately 0230 hours, while inside of the residence he heard the vehicle being turned on and when he walked out to where he last parked it the vehicle was no longer there.      The registered owner stated that he currently has possession of the two keys that belong to the vehicle. The vehicle has two NJ plates(P77UZJ) attached.     It should be noted the victim was in the process of selling the vehicle today to someone by the alias of Taylor Jacobs via Facebook marketplace. The victim provided the above listed address and videos of where the vehicle was going to be located to the above listed alias of Taylor Jacobs.     The vehicle also contained a black wallet inside with three Bank of America Credit Cards and 4 Bank of Kuwaitt Credit Cards issued to Abdull Alhajeri. The victim was advised to report and lock all cards.      The registered owner received a completed victim notification. The vehicle was entered as stolen into NCIC (NIC # V786677145 ) along with a stolen motor vehicle form. The vehicle was also entered as stolen into the  ATTF site. The registered owner does not wish to have the vehicle processed at this time. Approximate value for the above vehicle is 3,000.00 USD. The value of the black wallet is approximately $30.00 USD."/>
    <n v="453"/>
    <d v="2025-02-01T00:00:00"/>
    <d v="1899-12-30T01:00:00"/>
    <m/>
    <d v="1899-12-30T02:30:00"/>
    <d v="2025-02-01T00:00:00"/>
    <d v="1899-12-30T02:52:33"/>
    <s v="Winter"/>
    <s v="Early Morning (0000-0359)"/>
    <s v="C2W5"/>
    <d v="2025-02-04T00:00:00"/>
    <s v="Yes"/>
  </r>
  <r>
    <s v="25-009657"/>
    <x v="7"/>
    <n v="2025"/>
    <s v="February"/>
    <n v="1"/>
    <n v="6"/>
    <n v="2"/>
    <x v="4"/>
    <n v="34"/>
    <n v="3"/>
    <x v="6"/>
    <d v="1899-12-30T18:30:00"/>
    <s v="Motor Vehicle Theft"/>
    <s v="Motor Vehicle Theft"/>
    <s v=""/>
    <s v=""/>
    <s v="Motor Vehicle Theft"/>
    <s v="Midtown Bridge Approach, 0 Block"/>
    <s v="55 Midtown Bridge Approach"/>
    <s v="55 Midtown Bridge Approach, Hackensack, NJ, 07601"/>
    <s v="H1"/>
    <n v="8"/>
    <s v="I responded to the listed location on a reported motor vehicle theft. Upon arrival, I spoke with the complainant. She stated that on 02/04/2025 at 11:29 hours, she received a text from her boss, asking her to check on one of their U-Haul vehicles. She further stated that upon searching the parking lot, she could not locate the vehicle. The complainant reported that the vehicle had been rented out, so she contacted the contract holder to ensure the vehicle was dropped off. Upon verifying such and checking camera footage, the vehicle is seen on camera being dropped off by the customer. He is then approached by the suspect, where a brief verbal exchange is had. The customer is then seen leaving the area. The suspect is then seen retrieving keys from a lock box, before entering the van and fleeing the area.     I then spoke with the customer. He stated that he had dropped the vehicle off at the listed location at approximately 18:40 hours. He further stated that upon dropping it off, he was greeted by the suspect, who acted as an employee of the business. The customer reported that after a brief discussion, he was wary of the suspect and secured the keys in the lock box himself. He further stated that he then left the area.       A check in house of our tow list was conducted, with the vehicle not having been reported as towed or repossessed.  The complainant was advised of the recovery process, including fingerprinting of the vehicle. The complainant stated that she would like the vehicle held for prints on behalf of U-Haul and signed a Consent to Search Form. The complainant advised that she was unsure if the vehicle had a tracking system.       The vehicle is valued at approximately $45,000.00.            The complainant has video footage of the incident, available upon request.       Vehicle was entered into the ATTF website.    A New Jersey Victim Notification Form was completed.Insurance Info: Self-InsuredCertificate #:S012Exp: 06/30/2025"/>
    <m/>
    <m/>
    <s v="AZ-AM82732 RAM, PROMASTER"/>
    <m/>
    <s v="AM82732"/>
    <s v="RAM"/>
    <s v="PROMASTER"/>
    <s v="AZ"/>
    <m/>
    <m/>
    <m/>
    <m/>
    <s v="Deleon_A"/>
    <s v="Complete"/>
    <s v="P.O. Micah Gibson 365"/>
    <s v="A3"/>
    <s v="Det. Matthew DeBonis 325"/>
    <s v="Complaint Signed"/>
    <s v="240 = Theft of Motor Vehicle"/>
    <n v="9"/>
    <d v="2025-02-03T18:30:00"/>
    <s v="I responded to the listed location on a reported motor vehicle theft. Upon arrival, I spoke with the complainant. She stated that on 02/04/2025 at 11:29 hours, she received a text from her boss, asking her to check on one of their U-Haul vehicles. She further stated that upon searching the parking lot, she could not locate the vehicle. The complainant reported that the vehicle had been rented out, so she contacted the contract holder to ensure the vehicle was dropped off. Upon verifying such and checking camera footage, the vehicle is seen on camera being dropped off by the customer. He is then approached by the suspect, where a brief verbal exchange is had. The customer is then seen leaving the area. The suspect is then seen retrieving keys from a lock box, before entering the van and fleeing the area.     I then spoke with the customer. He stated that he had dropped the vehicle off at the listed location at approximately 18:40 hours. He further stated that upon dropping it off, he was greeted by the suspect, who acted as an employee of the business. The customer reported that after a brief discussion, he was wary of the suspect and secured the keys in the lock box himself. He further stated that he then left the area.       A check in house of our tow list was conducted, with the vehicle not having been reported as towed or repossessed.  The complainant was advised of the recovery process, including fingerprinting of the vehicle. The complainant stated that she would like the vehicle held for prints on behalf of U-Haul and signed a Consent to Search Form. The complainant advised that she was unsure if the vehicle had a tracking system.       The vehicle is valued at approximately $45,000.00.            The complainant has video footage of the incident, available upon request.       Vehicle was entered into the ATTF website.    A New Jersey Victim Notification Form was completed.Insurance Info: Self-InsuredCertificate #:S012Exp: 06/30/2025"/>
    <n v="55"/>
    <d v="2025-02-03T00:00:00"/>
    <d v="1899-12-30T18:30:00"/>
    <d v="2025-02-04T00:00:00"/>
    <d v="1899-12-30T19:00:00"/>
    <d v="2025-02-04T00:00:00"/>
    <d v="1899-12-30T12:43:32"/>
    <s v="Winter"/>
    <s v="Evening Peak (1600-1959)"/>
    <s v="C2W5"/>
    <d v="2025-02-04T00:00:00"/>
    <s v="Yes"/>
  </r>
  <r>
    <s v="25-010474"/>
    <x v="8"/>
    <n v="2025"/>
    <s v="February"/>
    <n v="1"/>
    <n v="6"/>
    <n v="2"/>
    <x v="0"/>
    <n v="38"/>
    <n v="7"/>
    <x v="7"/>
    <d v="1899-12-30T06:35:00"/>
    <s v="Motor Vehicle Theft"/>
    <s v="Motor Vehicle Theft"/>
    <s v=""/>
    <s v=""/>
    <s v="Motor Vehicle Theft"/>
    <s v="Hudson St, 100 Block"/>
    <s v="170 Hudson Street"/>
    <s v="170 Hudson Street, Hackensack, NJ, 07601"/>
    <s v="E2"/>
    <n v="5"/>
    <s v="I responded to the listed location on a motor vehicle theft. Upon arrival, I met with the complainant and the victim. The victim only spoke Spanish, so her husband (the complainant) translated. The complainant stated that his wife's vehicle was parking in the driveway of 170 Hudson Street, which was located between 170 Hudson Street and 166 Hudson Street. He stated that he left his vehicle running and went back into his house at 0635 hours. When he went to check on the vehicle at 0650 hours, he discovered it was missing. The vehicle was left unlocked with the keys in the ignition. I observed cameras in the rear of the house, but none located directly where the vehicle was parked.A victim notification form was completed and a copy was given to the victim. The victim requested to have the vehicle process if located. The estimated value of the stolen auto is $2,000.00 Dollars."/>
    <m/>
    <m/>
    <s v="NJ-T12SSE DODGE, CAR"/>
    <m/>
    <s v="T12SSE"/>
    <s v="DODGE"/>
    <s v="CAR"/>
    <s v="NJ"/>
    <m/>
    <m/>
    <m/>
    <m/>
    <s v="Swetits_M"/>
    <s v="Complete"/>
    <s v="P.O. Matthew Tedesco 316"/>
    <s v="B3"/>
    <s v="Sgt. Francesco Tripodi 134"/>
    <s v="No Investigation"/>
    <s v="240 = Theft of Motor Vehicle"/>
    <n v="9"/>
    <d v="2025-02-07T06:35:00"/>
    <s v="I responded to the listed location on a motor vehicle theft. Upon arrival, I met with the complainant and the victim. The victim only spoke Spanish, so her husband (the complainant) translated. The complainant stated that his wife's vehicle was parking in the driveway of 170 Hudson Street, which was located between 170 Hudson Street and 166 Hudson Street. He stated that he left his vehicle running and went back into his house at 0635 hours. When he went to check on the vehicle at 0650 hours, he discovered it was missing. The vehicle was left unlocked with the keys in the ignition. I observed cameras in the rear of the house, but none located directly where the vehicle was parked.A victim notification form was completed and a copy was given to the victim. The victim requested to have the vehicle process if located. The estimated value of the stolen auto is $2,000.00 Dollars."/>
    <n v="170"/>
    <d v="2025-02-07T00:00:00"/>
    <d v="1899-12-30T06:35:00"/>
    <d v="2025-02-07T00:00:00"/>
    <d v="1899-12-30T06:50:00"/>
    <d v="2025-02-07T00:00:00"/>
    <d v="1899-12-30T07:22:38"/>
    <s v="Winter"/>
    <s v="Dawn Period (0400-0759)"/>
    <s v="C2W6"/>
    <d v="2025-02-11T00:00:00"/>
    <s v="Yes"/>
  </r>
  <r>
    <s v="25-013091"/>
    <x v="9"/>
    <n v="2025"/>
    <s v="February"/>
    <n v="1"/>
    <n v="8"/>
    <n v="4"/>
    <x v="4"/>
    <n v="48"/>
    <n v="17"/>
    <x v="3"/>
    <d v="1899-12-30T08:22:14"/>
    <s v="Motor Vehicle Theft"/>
    <s v="Motor Vehicle Theft"/>
    <s v="Recovered Stolen Vehicle"/>
    <s v=""/>
    <s v="Motor Vehicle Theft, Recovered Stolen Vehicle"/>
    <s v="Second St, 100 Block"/>
    <s v="100 Second Street"/>
    <s v="100 Second Street, Hackensack, NJ, 07601"/>
    <s v="G3"/>
    <n v="7"/>
    <s v="Suspect(s): Unknown     The victim, Kimberly Trujillo, responded to Police Headquarters on a report of a Motor Vehicle Theft.  Upon arrival, the victim stated that her 2022 grey 4-door Honda Accord bearing NJ reg: L17PUM had been stolen from her apartment complex's parking lot and had been located in Rochelle Park. The victim further stated the listed vehicle was parked in assigned space number #2 and was last known to be parked there at approximately 2300 hours. The victim advised me she was in possession of the master key and no other party had access to her vehicle. The victim further advised me the spare key to her vehicle was misplaced approximately two (2) years in the past. Both license plates were attached to the vehicle at the time the victim parked the vehicle.     The victim stated on 02/17/2025 at approximately 0800, she received a phone call from Rochelle Park Police Department Det. Galina #151 advising her the listed vehicle had been located behind a CrossFit gym in Rochelle Park. Det. Gallina #151 further advised the victim, that the listed vehicle was located with all four (4) wheels removed from the vehicle. The victim further stated upon receiving the phone call, they responded to their second vehicle which was also parked in their apartment complex's parking lot. At this time, the victim observed an E-Z Pass and Camera from the stolen vehicle left on the hood of her second vehicle.      The victim stated she would like to have the vehicle processed should it be recovered and signed a consent to search form. A victim notification form was completed and a copy was given to the victim. The vehicle's insurance information was unable to be provided due to the paperwork being inside the glove box of the stolen vehicle.The vehicle registration was given to dispatch and was entered into NCIC. A stolen vehicle entry was made into the Auto Theft Task Force website.The vehicle's estimated value is approximately $22,000 USD.  See Rochelle Park Case #2025-002492."/>
    <m/>
    <m/>
    <s v="NJ-L17PUM HONDA, ACC"/>
    <m/>
    <s v="L17PUM"/>
    <s v="HONDA"/>
    <s v="ACC"/>
    <s v="NJ"/>
    <m/>
    <m/>
    <m/>
    <m/>
    <s v="Deleon_A"/>
    <s v="Complete"/>
    <s v="P.O. Ruben Almonte 359"/>
    <s v="A3"/>
    <s v="Det. Demetrius Carroll 133"/>
    <s v="Active/Administratively Closed"/>
    <m/>
    <n v="9"/>
    <d v="2025-02-17T08:22:00"/>
    <s v="Suspect(s): Unknown     The victim, Kimberly Trujillo, responded to Police Headquarters on a report of a Motor Vehicle Theft.  Upon arrival, the victim stated that her 2022 grey 4-door Honda Accord bearing NJ reg: L17PUM had been stolen from her apartment complex's parking lot and had been located in Rochelle Park. The victim further stated the listed vehicle was parked in assigned space number #2 and was last known to be parked there at approximately 2300 hours. The victim advised me she was in possession of the master key and no other party had access to her vehicle. The victim further advised me the spare key to her vehicle was misplaced approximately two (2) years in the past. Both license plates were attached to the vehicle at the time the victim parked the vehicle.     The victim stated on 02/17/2025 at approximately 0800, she received a phone call from Rochelle Park Police Department Det. Galina #151 advising her the listed vehicle had been located behind a CrossFit gym in Rochelle Park. Det. Gallina #151 further advised the victim, that the listed vehicle was located with all four (4) wheels removed from the vehicle. The victim further stated upon receiving the phone call, they responded to their second vehicle which was also parked in their apartment complex's parking lot. At this time, the victim observed an E-Z Pass and Camera from the stolen vehicle left on the hood of her second vehicle.      The victim stated she would like to have the vehicle processed should it be recovered and signed a consent to search form. A victim notification form was completed and a copy was given to the victim. The vehicle's insurance information was unable to be provided due to the paperwork being inside the glove box of the stolen vehicle.The vehicle registration was given to dispatch and was entered into NCIC. A stolen vehicle entry was made into the Auto Theft Task Force website.The vehicle's estimated value is approximately $22,000 USD.  See Rochelle Park Case #2025-002492."/>
    <n v="100"/>
    <d v="2025-02-17T00:00:00"/>
    <d v="1899-12-30T08:22:14"/>
    <m/>
    <m/>
    <d v="2025-02-17T00:00:00"/>
    <d v="1899-12-30T08:22:14"/>
    <s v="Winter"/>
    <s v="Morning Peak (0800-1159)"/>
    <s v="C2W7"/>
    <d v="2025-02-18T00:00:00"/>
    <s v="Yes"/>
  </r>
  <r>
    <s v="25-013106"/>
    <x v="9"/>
    <n v="2025"/>
    <s v="February"/>
    <n v="1"/>
    <n v="8"/>
    <n v="4"/>
    <x v="4"/>
    <n v="48"/>
    <n v="17"/>
    <x v="8"/>
    <d v="1899-12-30T09:31:55"/>
    <s v="Motor Vehicle Theft"/>
    <s v="Motor Vehicle Theft"/>
    <s v=""/>
    <s v=""/>
    <s v="Motor Vehicle Theft"/>
    <s v="Prospect Ave, 0 Block"/>
    <s v="30 Prospect Avenue"/>
    <s v="30 Prospect Avenue, Hackensack, NJ, 07601"/>
    <s v="G4"/>
    <n v="7"/>
    <s v="On February 17, 2025 I responded to 300 Atlantic Street (HUMC Parking Garage) on a report of a motor vehicle theft. Upon arrival, I met with the victim who is the registered owner of the vehicle and his wife. The victim advised me that his wife parked the vehicle (2020 Honda Accord blue) inside the monthly permit parking section near the entrance of the garage at approximately 2000 hours last night. This morning around 0900 hours they arrived to the garage and discovered that the vehicle was missing. They advised me that they only have one key and checked the area for the vehicle but were met with negative results. I advised Headquarters to check if the vehicle was towed from the premises which also yielded negative results. At this time I advised the registered owner the procedure with reporting a stolen vehicle. At this time he stated he wanted the vehicle processed and signed a consent to search form. A victim notification form was also completed and a copy was provided to the victim. Upon completion the vehicle was placed into NCIC and ATTF as stolen."/>
    <m/>
    <m/>
    <s v="NJ-Z53RVG HONDA, ACC"/>
    <m/>
    <s v="Z53RVG"/>
    <s v="HONDA"/>
    <s v="ACC"/>
    <s v="NJ"/>
    <m/>
    <m/>
    <m/>
    <m/>
    <s v="Deleon_A"/>
    <s v="Complete"/>
    <s v="P.O. Anzour Marza 356"/>
    <s v="A3"/>
    <s v="Det. Demetrius Carroll 133"/>
    <s v="Active Investigation"/>
    <m/>
    <n v="9"/>
    <d v="2025-02-17T09:31:00"/>
    <s v="On February 17, 2025 I responded to 300 Atlantic Street (HUMC Parking Garage) on a report of a motor vehicle theft. Upon arrival, I met with the victim who is the registered owner of the vehicle and his wife. The victim advised me that his wife parked the vehicle (2020 Honda Accord blue) inside the monthly permit parking section near the entrance of the garage at approximately 2000 hours last night. This morning around 0900 hours they arrived to the garage and discovered that the vehicle was missing. They advised me that they only have one key and checked the area for the vehicle but were met with negative results. I advised Headquarters to check if the vehicle was towed from the premises which also yielded negative results. At this time I advised the registered owner the procedure with reporting a stolen vehicle. At this time he stated he wanted the vehicle processed and signed a consent to search form. A victim notification form was also completed and a copy was provided to the victim. Upon completion the vehicle was placed into NCIC and ATTF as stolen."/>
    <n v="30"/>
    <d v="2025-02-17T00:00:00"/>
    <d v="1899-12-30T09:31:55"/>
    <m/>
    <m/>
    <d v="2025-02-17T00:00:00"/>
    <d v="1899-12-30T09:31:55"/>
    <s v="Winter"/>
    <s v="Morning Peak (0800-1159)"/>
    <s v="C2W7"/>
    <d v="2025-02-18T00:00:00"/>
    <s v="Yes"/>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s v="25-003362"/>
    <x v="0"/>
    <n v="2025"/>
    <s v="January"/>
    <n v="1"/>
    <n v="3"/>
    <n v="3"/>
    <x v="0"/>
    <n v="13"/>
    <n v="13"/>
    <x v="0"/>
    <d v="1899-12-30T12:05:00"/>
    <s v="Robbery"/>
    <s v="Dispute"/>
    <s v="Criminal Attempt"/>
    <s v="Robbery"/>
    <s v="Dispute, Criminal Attempt, Robbery"/>
    <s v="Clay St, 200 Block"/>
    <s v="204 Clay Street"/>
    <s v="204 Clay Street, Hackensack, NJ, 07601"/>
    <s v="H3"/>
    <n v="8"/>
    <s v="On Monday, January 13th, 2025, at approximately 12:07 hours, P.O. Alvarez and I responded to the listed location on a dispute report. Before our arrival, headquarters had advised us that the male suspect, described as wearing a grey hoodie and sweatpants, had fled southbound on First Street. Upon arrival, we met with Maria Romero Peralta, the mother of the juvenile victim, A.R.      She reported that the described suspect, later identified as D.T., had punched her in the left eye and her right breast. With the mother's permission and in her presence, we spoke to the victim, a juvenile male, A.R., who reported that the suspect, D.T., had stolen a red electronic moped bike and had dropped it off at his house. He further reported that the suspect asked the victim if he could drop off the stolen moped for a couple of days. The victim also reported giving the stolen moped bike to another friend since he did not know how to operate the bike. A.R. later noted that the suspect, D.T., recovered the stolen moped bike from the said friend they have in common and had the bike confiscated byLaw Enforcement in another jurisdiction.      Today, the victim reported that the suspect arrived at his residence demanding $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He also reported that a fight ensued between him and the suspect, and the three (3) witnesses stood by.      The victim also reported that his mother, Maria Romero Peralta, heard the commotion and broke up the fight, retreating with the victim and herself back into the residence. A.R. reported that the front entrance door closed and was being held by his mother when the suspect breached the door with physical force and continued to assault the victim while demanding $400.00 for the red moped electric bike.  I then requested a supervisor, and Sgt. Williams responded to assist.     Maria Romero Peralta reported that while attempting to break up the fight, she was punched in the left eye and right breast by the suspect, D.T. She also reported that the suspect and the three (3) witnesses fled the scene after she threatened to call the police. Maria Romero Peralta, along with A.R. declined medical attention at the scene. The mother and the victim wanted to provide statements to detectives and were transported to headquarters by P.O. Alvarez as I followed.      At headquarters, Detectives Mora and Garrett responded to report room 2 and met with the victim and his mother. Before providing statements to the detectives, Maria Romero Peralta began to have complaints of pain in her left eye and right breast. I observed her left eye to be swollen and red. Maria Romero Peralta then requested to be transported to the hospital for evaluation and treatment. I requested an ambulance, and Hackensack University Medical Center BLS #136 arrived. The mother, now a patient, was transported to the HUMC along with A.R. for treatment. The patient reported that she would respond to headquarters at a later time to provide statements to the detectives. I contacted DCP&amp;P Christine #1718 and advised of the incident. She reported that the incident would only be documented. I completed a victim notification form and provided a copy to the victim.It should be noted that the victim, A.R., reported that he had dropped out of school as of today; therefore, a handle with care was not completed. See Detectives report for additional information."/>
    <m/>
    <m/>
    <m/>
    <m/>
    <m/>
    <m/>
    <m/>
    <m/>
    <m/>
    <m/>
    <m/>
    <m/>
    <s v="Klosk_J"/>
    <s v="Complete"/>
    <s v="P.O. Forrod Bonsu 353"/>
    <s v="B1"/>
    <s v="Det. Frankie Garrett 323"/>
    <s v="Active Investigation"/>
    <s v="120 = Robbery"/>
    <n v="9"/>
    <d v="2025-01-13T12:05:00"/>
    <s v="On Monday, January 13th, 2025, at approximately 12:07 hours, P.O. Alvarez and I responded to the listed location on a dispute report. Before our arrival, headquarters had advised us that the male suspect, described as wearing a grey hoodie and sweatpants, had fled southbound on First Street. Upon arrival, we met with Maria Romero Peralta, the mother of the juvenile victim, A.R.      She reported that the described suspect, later identified as D.T., had punched her in the left eye and her right breast. With the mother's permission and in her presence, we spoke to the victim, a juvenile male, A.R., who reported that the suspect, D.T., had stolen a red electronic moped bike and had dropped it off at his house. He further reported that the suspect asked the victim if he could drop off the stolen moped for a couple of days. The victim also reported giving the stolen moped bike to another friend since he did not know how to operate the bike. A.R. later noted that the suspect, D.T., recovered the stolen moped bike from the said friend they have in common and had the bike confiscated byLaw Enforcement in another jurisdiction.      Today, the victim reported that the suspect arrived at his residence demanding $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He also reported that a fight ensued between him and the suspect, and the three (3) witnesses stood by.      The victim also reported that his mother, Maria Romero Peralta, heard the commotion and broke up the fight, retreating with the victim and herself back into the residence. A.R. reported that the front entrance door closed and was being held by his mother when the suspect breached the door with physical force and continued to assault the victim while demanding $400.00 for the red moped electric bike.  I then requested a supervisor, and Sgt. Williams responded to assist.     Maria Romero Peralta reported that while attempting to break up the fight, she was punched in the left eye and right breast by the suspect, D.T. She also reported that the suspect and the three (3) witnesses fled the scene after she threatened to call the police. Maria Romero Peralta, along with A.R. declined medical attention at the scene. The mother and the victim wanted to provide statements to detectives and were transported to headquarters by P.O. Alvarez as I followed.      At headquarters, Detectives Mora and Garrett responded to report room 2 and met with the victim and his mother. Before providing statements to the detectives, Maria Romero Peralta began to have complaints of pain in her left eye and right breast. I observed her left eye to be swollen and red. Maria Romero Peralta then requested to be transported to the hospital for evaluation and treatment. I requested an ambulance, and Hackensack University Medical Center BLS #136 arrived. The mother, now a patient, was transported to the HUMC along with A.R. for treatment. The patient reported that she would respond to headquarters at a later time to provide statements to the detectives. I contacted DCP&amp;P Christine #1718 and advised of the incident. She reported that the incident would only be documented. I completed a victim notification form and provided a copy to the victim.It should be noted that the victim, A.R., reported that he had dropped out of school as of today; therefore, a handle with care was not completed. See Detectives report for additional information."/>
    <n v="204"/>
    <d v="2025-01-13T00:00:00"/>
    <d v="1899-12-30T12:05:00"/>
    <m/>
    <m/>
    <d v="2025-01-13T00:00:00"/>
    <d v="1899-12-30T12:07:44"/>
    <s v="Winter"/>
    <s v="Afternoon Period (1200-1559)"/>
    <s v="C1W2"/>
    <d v="2025-01-14T00:00:00"/>
    <s v="Yes"/>
  </r>
  <r>
    <s v="25-003813"/>
    <x v="1"/>
    <n v="2025"/>
    <s v="January"/>
    <n v="1"/>
    <n v="3"/>
    <n v="3"/>
    <x v="1"/>
    <n v="14"/>
    <n v="14"/>
    <x v="1"/>
    <d v="1899-12-30T15:22:34"/>
    <s v="Robbery"/>
    <s v="Robbery"/>
    <s v="Resisting Arrest/Eluding"/>
    <s v="Suspicious Person"/>
    <s v="Robbery, Resisting Arrest/Eluding, Suspicious Person"/>
    <s v="Hackensack Ave, 400 Block"/>
    <s v="450 Hackensack Avenue"/>
    <s v="450 Hackensack Avenue, Hackensack, NJ, 07601"/>
    <s v="I6"/>
    <n v="9"/>
    <s v="On Tuesday, January 14th, 2025, P.O. Conlon. P.O. Voorhis, and I responded to 450 Hackensack Avenue for a report of a trespasser on the premises who had shoplifted in the past and has also been aggressive with staff in the past.    Upon my arrival, I observed the arrestee enter a white Volkswagon (NJ-Y82VDS) that was leaving the parking lot. The security officers at Home Depot also pointed out the arrestee as he entered the car. I conducted a motor vehicle stop with the vehicle at the traffic light exiting the parking lot. As I approached the vehicle, the arrestee exited the vehicle and started running West on Hackensack Avenue. P.O. Conlon, P.O. Voorhis, and I began running after the arrestee and announcing ourselves as Hackensack Police. When the arrestee approached the other side of Hackensack Avenue, he stopped, and P.O. Conlon apprehended him. The arrestee was flailing his arms while I was attempting to place him in handcuffs. The arrestee was then put in handcuffs with his hands behind his back. The arrestee was then searched, which yielded negative for contraband.   The Loss Prevention Officers stated that the arrestee entered the front door of Home Depot with a black ski covering his face. The loss prevention officers noticed the arrestee from previous shoplifting. The arrestee then concealed several power tools totaling $1,284.00 and placed them in a shopping cart. The arrestee then went past all points of sale and tried to exit the store. Prior to exiting the store, the loss prevention officers approached him and tried to stop him from leaving. The arrestee then pushed the loss prevention officers and fled the store on foot. The loss prevention officer recovered the items. The arrestee then entered the listed vehicle and fled the parking lot for the exit of the mall. A photo copy of the receipt was placed into the BCI mailbox located at the front at the front desk.  The items that were recovered: M18 Jobsite Radio priced at $189.00Two 20V Atomic BL Combo Kit priced at $149.00 eachM18 Fuel Jig Saw priced at $199.00MKE M12 Packout Flood Light priced at $149.00M18 Fuel 10 Miter Saw priced at $449.00     Totaling at $1,284.00.The arrestee was placed in radio car 114 and transported to police headquarters for processing. The vehicle was checked before and after the transport for contraband which yielded negative   The arrestee was processed at police headquarters by P.O. Caero. Complaint W-2025-000016 was authored by Lt. Swetits against the arrestee and was signed for 2C:29-2a(1), 2C:29-2a(2), and two counts of 2C:15-1A(1).  The arrestee also had multiple outstanding warrants from various jurisdictions.The arrestee was remanded to the Bergen County Jail."/>
    <m/>
    <m/>
    <s v="NJ-Y82VDS VOLKS, ATL"/>
    <m/>
    <s v="Y82VDS"/>
    <s v="VOLKS"/>
    <s v="ATL"/>
    <s v="NJ"/>
    <m/>
    <m/>
    <m/>
    <m/>
    <s v="Swetits_M"/>
    <s v="Complete"/>
    <s v="P.O. Nicholas Mazzaccaro 377"/>
    <s v="B2"/>
    <s v="Det. John Tanucilli 335"/>
    <s v="Active Investigation"/>
    <s v="120 = Robbery"/>
    <n v="9"/>
    <d v="2025-01-14T15:22:00"/>
    <s v="On Tuesday, January 14th, 2025, P.O. Conlon. P.O. Voorhis, and I responded to 450 Hackensack Avenue for a report of a trespasser on the premises who had shoplifted in the past and has also been aggressive with staff in the past.    Upon my arrival, I observed the arrestee enter a white Volkswagon (NJ-Y82VDS) that was leaving the parking lot. The security officers at Home Depot also pointed out the arrestee as he entered the car. I conducted a motor vehicle stop with the vehicle at the traffic light exiting the parking lot. As I approached the vehicle, the arrestee exited the vehicle and started running West on Hackensack Avenue. P.O. Conlon, P.O. Voorhis, and I began running after the arrestee and announcing ourselves as Hackensack Police. When the arrestee approached the other side of Hackensack Avenue, he stopped, and P.O. Conlon apprehended him. The arrestee was flailing his arms while I was attempting to place him in handcuffs. The arrestee was then put in handcuffs with his hands behind his back. The arrestee was then searched, which yielded negative for contraband.   The Loss Prevention Officers stated that the arrestee entered the front door of Home Depot with a black ski covering his face. The loss prevention officers noticed the arrestee from previous shoplifting. The arrestee then concealed several power tools totaling $1,284.00 and placed them in a shopping cart. The arrestee then went past all points of sale and tried to exit the store. Prior to exiting the store, the loss prevention officers approached him and tried to stop him from leaving. The arrestee then pushed the loss prevention officers and fled the store on foot. The loss prevention officer recovered the items. The arrestee then entered the listed vehicle and fled the parking lot for the exit of the mall. A photo copy of the receipt was placed into the BCI mailbox located at the front at the front desk.  The items that were recovered: M18 Jobsite Radio priced at $189.00Two 20V Atomic BL Combo Kit priced at $149.00 eachM18 Fuel Jig Saw priced at $199.00MKE M12 Packout Flood Light priced at $149.00M18 Fuel 10 Miter Saw priced at $449.00     Totaling at $1,284.00.The arrestee was placed in radio car 114 and transported to police headquarters for processing. The vehicle was checked before and after the transport for contraband which yielded negative   The arrestee was processed at police headquarters by P.O. Caero. Complaint W-2025-000016 was authored by Lt. Swetits against the arrestee and was signed for 2C:29-2a(1), 2C:29-2a(2), and two counts of 2C:15-1A(1).  The arrestee also had multiple outstanding warrants from various jurisdictions.The arrestee was remanded to the Bergen County Jail."/>
    <n v="450"/>
    <d v="2025-01-14T00:00:00"/>
    <d v="1899-12-30T15:22:34"/>
    <m/>
    <m/>
    <d v="2025-01-14T00:00:00"/>
    <d v="1899-12-30T15:22:34"/>
    <s v="Winter"/>
    <s v="Afternoon Period (1200-1559)"/>
    <s v="C1W3"/>
    <d v="2025-01-14T00:00:00"/>
    <s v="Yes"/>
  </r>
  <r>
    <s v="25-004629"/>
    <x v="2"/>
    <n v="2025"/>
    <s v="January"/>
    <n v="1"/>
    <n v="3"/>
    <n v="3"/>
    <x v="2"/>
    <n v="16"/>
    <n v="16"/>
    <x v="2"/>
    <d v="1899-12-30T21:03:00"/>
    <s v="Robbery"/>
    <s v="Robbery"/>
    <s v=""/>
    <s v=""/>
    <s v="Robbery"/>
    <s v="Main St, 600 Block"/>
    <s v="630 Main Street"/>
    <s v="630 Main Street, Hackensack, NJ, 07601"/>
    <s v="I1"/>
    <n v="9"/>
    <s v="Suspect 1: Hispanic male, approximately early 30' s in age, approximately 5'10&quot; in height, approximately 180 in weight, wearing a tan hooded sweater, brown &quot;NY&quot; Yankees logo hat, black sweatpants and white sneakers.Suspect 2: Hispanic female, approximately mid 20's in age, approximately 5'5&quot; in height, approximately 140 in weight, wearing a black jacket, grey hooded sweater, tan pants and cream colored shoes. Suspect Vehicle: 4 door Silver in color Hyundai Sonata (unknown registration).On 1/17/25 P.O. Papanikolaou and I responded to 630 Main Street, Target on a reported shoplifting. While   speaking with Target Loss Prevention they wanted to report an additional incident, which occurred in the past.Target Loss Prevention / victim, Cheikh Gaye, reported on 1/16/25 at approximately 21:03 hours suspect 1 and suspect 2 entered Target. It was further reported on 1/16/25 at approximately 21:16 hours suspect 1 and 2 passed all points of sale with unpaid merchandise in a shopping cart. The unpaid merchandise (furniture, grocery, health and beauty, home and kitchen products) totaled $452.71. Prior to exiting Target Loss Prevention / the victim confronted both suspects. Target Loss Prevention were able to recover all merchandise that both suspects attempted to steal. While recovering the stolen merchandise suspect 1 punched the victim in the head, specifically the top left side, with a closed fist one time. The victim reported having a complaint of pain hours after being assaulted. Both suspect later left the area in the suspect vehicle. A Sgt. was requested and Sgt. Competiello responded. Detectives were notified. The victim later responded to headquarters to provide a voluntary statement. The victim refused medical attention at this time.A receipt of the unpaid merchandise was provided by Target Loss Prevention. The receipt was later secured in the Detective Bureau Mailbox."/>
    <m/>
    <m/>
    <s v="HYUNDAI, SONATA"/>
    <m/>
    <m/>
    <s v="HYUNDAI"/>
    <s v="SONATA"/>
    <m/>
    <m/>
    <m/>
    <m/>
    <m/>
    <s v="Deleon_A"/>
    <s v="Complete"/>
    <s v="P.O. Massimo Gallorini 379"/>
    <s v="A2"/>
    <s v="Det. John Mora 257"/>
    <s v="Active Investigation"/>
    <s v="120 = Robbery"/>
    <n v="9"/>
    <d v="2025-01-16T21:03:00"/>
    <s v="Suspect 1: Hispanic male, approximately early 30' s in age, approximately 5'10&quot; in height, approximately 180 in weight, wearing a tan hooded sweater, brown &quot;NY&quot; Yankees logo hat, black sweatpants and white sneakers.Suspect 2: Hispanic female, approximately mid 20's in age, approximately 5'5&quot; in height, approximately 140 in weight, wearing a black jacket, grey hooded sweater, tan pants and cream colored shoes. Suspect Vehicle: 4 door Silver in color Hyundai Sonata (unknown registration).On 1/17/25 P.O. Papanikolaou and I responded to 630 Main Street, Target on a reported shoplifting. While   speaking with Target Loss Prevention they wanted to report an additional incident, which occurred in the past.Target Loss Prevention / victim, Cheikh Gaye, reported on 1/16/25 at approximately 21:03 hours suspect 1 and suspect 2 entered Target. It was further reported on 1/16/25 at approximately 21:16 hours suspect 1 and 2 passed all points of sale with unpaid merchandise in a shopping cart. The unpaid merchandise (furniture, grocery, health and beauty, home and kitchen products) totaled $452.71. Prior to exiting Target Loss Prevention / the victim confronted both suspects. Target Loss Prevention were able to recover all merchandise that both suspects attempted to steal. While recovering the stolen merchandise suspect 1 punched the victim in the head, specifically the top left side, with a closed fist one time. The victim reported having a complaint of pain hours after being assaulted. Both suspect later left the area in the suspect vehicle. A Sgt. was requested and Sgt. Competiello responded. Detectives were notified. The victim later responded to headquarters to provide a voluntary statement. The victim refused medical attention at this time.A receipt of the unpaid merchandise was provided by Target Loss Prevention. The receipt was later secured in the Detective Bureau Mailbox."/>
    <n v="630"/>
    <d v="2025-01-16T00:00:00"/>
    <d v="1899-12-30T21:03:00"/>
    <d v="2025-01-16T00:00:00"/>
    <d v="1899-12-30T21:16:00"/>
    <d v="2025-01-17T00:00:00"/>
    <d v="1899-12-30T12:16:59"/>
    <s v="Winter"/>
    <s v="Night Period (2000-2359)"/>
    <s v="C1W3"/>
    <d v="2025-01-21T00:00:00"/>
    <s v="Yes"/>
  </r>
  <r>
    <s v="25-009348"/>
    <x v="3"/>
    <n v="2025"/>
    <s v="February"/>
    <n v="1"/>
    <n v="6"/>
    <n v="2"/>
    <x v="3"/>
    <n v="33"/>
    <n v="2"/>
    <x v="3"/>
    <d v="1899-12-30T17:25:00"/>
    <s v="Robbery"/>
    <s v="Suspicious Incident"/>
    <s v="Robbery"/>
    <s v=""/>
    <s v="Suspicious Incident, Robbery"/>
    <s v="Hudson St, 100 Block"/>
    <s v="144 Hudson Street"/>
    <s v="144 Hudson Street, Hackensack, NJ, 07601"/>
    <s v="E1"/>
    <n v="5"/>
    <s v="Unknown Suspect Descriptions:Unknown Suspect 1: Tall white male, crew cut, no clothing descriptionUnknown Suspects 2-5: 4 males, unknown race, wearing dark colored helmets and dark clothes with padding.         While in the area, P.O. Maceri and I were flagged down by the victim. Upon speaking with him, he advised that he had been robbed. Sgt. Farhi responded to assist.          The victim stated that on 02/02/2025 between 17:25 and 18:00 hours, he was walking north on Main Street, near the area of Main Street and Court Street with two acquaintances. He further stated that while walking in that area, a verbal dispute took place between the three of them. The victim reported that at this time, he was approached by five suspects, with four of them carrying bats. He further reported that suspect #1 threatened him, stating that he would beat him up if he didn't hand over his belongings. The victim stated that suspect #1 forcibly retrieved the wallet off his person and removed a debit card and identification card, before throwing the wallet back in his direction. He further stated that the suspect's then told him if they saw him again, they would beat him up. The suspects then fled east on Court Street, before turning left to head north on River Road.        A New Jersey Victim Notification Form was completed and provided to the victim.       The detective division was notified and advised that they would follow up with the victim."/>
    <m/>
    <m/>
    <m/>
    <m/>
    <m/>
    <m/>
    <m/>
    <m/>
    <m/>
    <m/>
    <m/>
    <m/>
    <s v="Deleon_A"/>
    <s v="Complete"/>
    <s v="P.O. Micah Gibson 365"/>
    <s v="A3"/>
    <s v="Sgt. Francesco Tripodi 134"/>
    <s v="No Investigation"/>
    <m/>
    <n v="9"/>
    <d v="2025-02-02T17:25:00"/>
    <s v="Unknown Suspect Descriptions:Unknown Suspect 1: Tall white male, crew cut, no clothing descriptionUnknown Suspects 2-5: 4 males, unknown race, wearing dark colored helmets and dark clothes with padding.         While in the area, P.O. Maceri and I were flagged down by the victim. Upon speaking with him, he advised that he had been robbed. Sgt. Farhi responded to assist.          The victim stated that on 02/02/2025 between 17:25 and 18:00 hours, he was walking north on Main Street, near the area of Main Street and Court Street with two acquaintances. He further stated that while walking in that area, a verbal dispute took place between the three of them. The victim reported that at this time, he was approached by five suspects, with four of them carrying bats. He further reported that suspect #1 threatened him, stating that he would beat him up if he didn't hand over his belongings. The victim stated that suspect #1 forcibly retrieved the wallet off his person and removed a debit card and identification card, before throwing the wallet back in his direction. He further stated that the suspect's then told him if they saw him again, they would beat him up. The suspects then fled east on Court Street, before turning left to head north on River Road.        A New Jersey Victim Notification Form was completed and provided to the victim.       The detective division was notified and advised that they would follow up with the victim."/>
    <n v="144"/>
    <d v="2025-02-02T00:00:00"/>
    <d v="1899-12-30T17:25:00"/>
    <d v="2025-02-02T00:00:00"/>
    <d v="1899-12-30T18:00:00"/>
    <d v="2025-02-03T00:00:00"/>
    <d v="1899-12-30T12:02:04"/>
    <s v="Winter"/>
    <s v="Evening Peak (1600-1959)"/>
    <s v="C2W5"/>
    <d v="2025-02-04T00:00:00"/>
    <s v="Yes"/>
  </r>
  <r>
    <s v="25-009438"/>
    <x v="4"/>
    <n v="2025"/>
    <s v="February"/>
    <n v="1"/>
    <n v="6"/>
    <n v="2"/>
    <x v="0"/>
    <n v="34"/>
    <n v="3"/>
    <x v="4"/>
    <d v="1899-12-30T16:40:35"/>
    <s v="Robbery"/>
    <s v="Robbery"/>
    <s v=""/>
    <s v=""/>
    <s v="Robbery"/>
    <s v="Hackensack Ave, 400 Block"/>
    <s v="400 Hackensack Avenue"/>
    <s v="400 Hackensack Avenue, Hackensack, NJ, 07601"/>
    <s v="I6"/>
    <n v="9"/>
    <s v="On Monday, February 3, 2025 at approximately 1640 hours, Sgt. Farhi and I responded to 400 Hackensack Avenue (Marc Jacobs) on a reported robbery. Upon arrival, I met with the victim who reported that three suspects (1 male, 2 females) entered the establishment at approximately 1600 hours. The suspects reportedly exited and reentered the store multiples time prior to committing the offense, with the last entry being made only by the male suspect.     The victim further reported that the suspect grabbed three small purses from the display shelf before he began to walk toward the exit. At that time, the victim stated that he attempted to stop the suspect, who immediately shoved him into a store fixture. The suspect reportedly proceeded to run out of the store toward the nearest mall exit, where he entered a black vehicle and fled in an unknown direction. The victim stated that he was able to recover one of the purses during the incident.     The victim advised that he sustained minor injuries to his left arm as result of the incident, in which he refused any medical attention. The victim wished to provide a recorded statement to detectives. He was transported to police headquarters where he was turned over to Det. Dogali. The total loss suffered by the establishment for the two purses was approximately $650.00. The store manager (witness) wished to have complaints signed against the suspects if they were able to be identified.     Suspect 1: Black male, slim build, 5'8&quot;, black beanie, black puffer, dark pants, white/blue sneakers     Suspect 2: Black female, heavy build, 5'8&quot;, short hair, black puffer, black leggings, black pocketbook     Suspect 3: Black female, heavy build, 5'7&quot;, long cornrows, gray puffer, light blue jeans"/>
    <m/>
    <m/>
    <m/>
    <m/>
    <m/>
    <m/>
    <m/>
    <m/>
    <m/>
    <m/>
    <m/>
    <m/>
    <s v="Levis_R"/>
    <s v="Complete"/>
    <s v="P.O. Aziah Miller 357"/>
    <s v="A3"/>
    <s v="Det. Matthew Dogali 338"/>
    <s v="Active/Administratively Closed"/>
    <s v="120 = Robbery"/>
    <n v="9"/>
    <d v="2025-02-03T16:40:00"/>
    <s v="On Monday, February 3, 2025 at approximately 1640 hours, Sgt. Farhi and I responded to 400 Hackensack Avenue (Marc Jacobs) on a reported robbery. Upon arrival, I met with the victim who reported that three suspects (1 male, 2 females) entered the establishment at approximately 1600 hours. The suspects reportedly exited and reentered the store multiples time prior to committing the offense, with the last entry being made only by the male suspect.     The victim further reported that the suspect grabbed three small purses from the display shelf before he began to walk toward the exit. At that time, the victim stated that he attempted to stop the suspect, who immediately shoved him into a store fixture. The suspect reportedly proceeded to run out of the store toward the nearest mall exit, where he entered a black vehicle and fled in an unknown direction. The victim stated that he was able to recover one of the purses during the incident.     The victim advised that he sustained minor injuries to his left arm as result of the incident, in which he refused any medical attention. The victim wished to provide a recorded statement to detectives. He was transported to police headquarters where he was turned over to Det. Dogali. The total loss suffered by the establishment for the two purses was approximately $650.00. The store manager (witness) wished to have complaints signed against the suspects if they were able to be identified.     Suspect 1: Black male, slim build, 5'8&quot;, black beanie, black puffer, dark pants, white/blue sneakers     Suspect 2: Black female, heavy build, 5'8&quot;, short hair, black puffer, black leggings, black pocketbook     Suspect 3: Black female, heavy build, 5'7&quot;, long cornrows, gray puffer, light blue jeans"/>
    <n v="400"/>
    <m/>
    <m/>
    <m/>
    <m/>
    <d v="2025-02-03T00:00:00"/>
    <d v="1899-12-30T16:40:35"/>
    <s v="Winter"/>
    <s v="Evening Peak (1600-1959)"/>
    <s v="C2W5"/>
    <d v="2025-02-04T00:00:00"/>
    <s v="Yes"/>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s v="25-002564"/>
    <x v="0"/>
    <n v="2025"/>
    <s v="January"/>
    <n v="1"/>
    <n v="2"/>
    <n v="2"/>
    <x v="0"/>
    <n v="7"/>
    <n v="7"/>
    <x v="0"/>
    <d v="1899-12-30T14:00:00"/>
    <s v="Criminal Sexual Contact"/>
    <s v="Criminal Sexual Contact"/>
    <s v="Juvenile Investigation"/>
    <s v=""/>
    <s v="Criminal Sexual Contact, Juvenile Investigation"/>
    <s v="First St, 100 Block"/>
    <s v="135 First Street"/>
    <s v="135 First Street, Hackensack, NJ, 07601"/>
    <s v="G3"/>
    <n v="7"/>
    <s v="On Friday January 10, 2025, I was assigned as the Hackensack High School SRO. I was advised that a student wanted to report a crime and was currently in the main office. Upon arriving to the main office I met the victim, A.R.       As I began to speak with the victim she immediately began to cry. She stated that she was inappropriately touched by the suspect who is also student. The suspect was identified as Manuel Martinez Perez. The victim stated that on Tuesday January 7, 2025  she was in her 9th period class ESL 2 in room 276. She shares this class with the suspect and his cousin Esmeralda Perez Martinez who is a potential witness.       The victim stated during class the suspect gave her a hug. As he was hugging her he dropped his hand down and grabbed her breast over her clothing. She immediately became angry and told him not to touch her. She then advised Esmeralda Perez Martinez that she was touched inappropriately by the suspect. The victim stated that she reported this incident to her her teacher Mrs. Magdalene Symmonds, but she did not understand her due to a language barrier.  The victim reported that this was not the first time she was inappropriately touched by the suspect. She reported that the prior week a similar incident occurred. I notified assistant Principal Celso King of this report.      I spoke to Esmeralda Perez Martinez who may have witness the incident. Perez Martinez stated that she sits in a group with the victim and the suspect. The day of the incident she did not observe the suspect touch the victim because she was busy doing her class work. The witness did confirm that the victim mentioned to her that she was inappropriately touched by the suspect.       The victim's mother, Raquel Lelio, was notified of the incident and responded to the school. She advised me that she was not sure if she wanted to sign criminal complaints against the suspect. She wants to speak with her daughter and husband before making a decision.       Det. E. Reyes was advised of the incident and will follow up with the complainant at a later time."/>
    <m/>
    <m/>
    <m/>
    <m/>
    <m/>
    <m/>
    <m/>
    <m/>
    <m/>
    <m/>
    <m/>
    <m/>
    <s v="Dominguez_L"/>
    <s v="Complete"/>
    <s v="Det. Cristobal Lara-Nunez 341"/>
    <s v="STA"/>
    <s v="Det. Evelyn Reyes 336"/>
    <s v="Active/Administratively Closed"/>
    <s v="11D = Fondling"/>
    <n v="9"/>
    <d v="2025-01-07T14:00:00"/>
    <s v="On Friday January 10, 2025, I was assigned as the Hackensack High School SRO. I was advised that a student wanted to report a crime and was currently in the main office. Upon arriving to the main office I met the victim, A.R.       As I began to speak with the victim she immediately began to cry. She stated that she was inappropriately touched by the suspect who is also student. The suspect was identified as Manuel Martinez Perez. The victim stated that on Tuesday January 7, 2025  she was in her 9th period class ESL 2 in room 276. She shares this class with the suspect and his cousin Esmeralda Perez Martinez who is a potential witness.       The victim stated during class the suspect gave her a hug. As he was hugging her he dropped his hand down and grabbed her breast over her clothing. She immediately became angry and told him not to touch her. She then advised Esmeralda Perez Martinez that she was touched inappropriately by the suspect. The victim stated that she reported this incident to her her teacher Mrs. Magdalene Symmonds, but she did not understand her due to a language barrier.  The victim reported that this was not the first time she was inappropriately touched by the suspect. She reported that the prior week a similar incident occurred. I notified assistant Principal Celso King of this report.      I spoke to Esmeralda Perez Martinez who may have witness the incident. Perez Martinez stated that she sits in a group with the victim and the suspect. The day of the incident she did not observe the suspect touch the victim because she was busy doing her class work. The witness did confirm that the victim mentioned to her that she was inappropriately touched by the suspect.       The victim's mother, Raquel Lelio, was notified of the incident and responded to the school. She advised me that she was not sure if she wanted to sign criminal complaints against the suspect. She wants to speak with her daughter and husband before making a decision.       Det. E. Reyes was advised of the incident and will follow up with the complainant at a later time."/>
    <n v="135"/>
    <d v="2025-01-07T00:00:00"/>
    <d v="1899-12-30T14:00:00"/>
    <m/>
    <m/>
    <d v="2025-01-10T00:00:00"/>
    <d v="1899-12-30T14:20:51"/>
    <s v="Winter"/>
    <s v="Afternoon Period (1200-1559)"/>
    <s v="C1W2"/>
    <d v="2025-01-07T00:00:00"/>
    <s v="Yes"/>
  </r>
  <r>
    <s v="25-006324"/>
    <x v="1"/>
    <n v="2025"/>
    <s v="January"/>
    <n v="1"/>
    <n v="4"/>
    <n v="4"/>
    <x v="1"/>
    <n v="23"/>
    <n v="23"/>
    <x v="1"/>
    <d v="1899-12-30T15:00:00"/>
    <s v="Sexual Assault"/>
    <s v="Sexual Assault"/>
    <s v="Juvenile Investigation"/>
    <s v=""/>
    <s v="Sexual Assault, Juvenile Investigation"/>
    <s v="Berdan Pl, 100 Block"/>
    <s v="176  Berdan Place"/>
    <s v="176  Berdan Place, Hackensack, NJ, 07601"/>
    <s v="H3"/>
    <n v="8"/>
    <s v="On Thursday, 01/23/2025 I was notified by D/Sgt. Dominguez of a possible sexual assault involving a juvenile. I was advised that 10 y/o S.S. disclosed to a school teacher that her mothers boyfriend has been touching her while her mother was sleeping. This reportedly has occurred on multiple occasions. No further information was available at this time. S.S. is a student at Nelly K. Parker school, who already notified DCP&amp;P as per protocol.    I contacted DCP&amp;P social worker Jennifer Diaz who was assigned to the initial investigation. Ms. Diaz advised me that she was currently enroute to Nelly K. Parker to meet with S.S., and school staff. She advised me that she already contacted BCPO/SVU. I advised her that I will meet her at the school. Upon arrival I met with Ms. Diaz, who advised me that S.S. was set to be picked up from school by another unknown adult possibly the suspect. Due to the circumstances it was determined that S.S. will be transported to BCPO (100 Eisenhower Drive, Paramus NJ) to undergo a forensic interview with SVU. Contact was made to S.S. mother, Ibys Sandoval, who was advised that a police investigation is underway and her presence is required. Ms. Sandoval expressed that she has transportation issues, therefore this agency arranged transport for her.  Det. Reyes responded to pick up Ms. Sandoval at her residence (176 Berdan Place, Hackensack NJ). Ms. Sandoval was transported to Nelly K. Parker to meet up with her daughter, and ultimately transported to BCPO for the interview.   Contact information was limited at the time of this report (See Det. Reyes Supplemental report for further details)"/>
    <m/>
    <m/>
    <m/>
    <m/>
    <m/>
    <m/>
    <m/>
    <m/>
    <m/>
    <m/>
    <m/>
    <m/>
    <s v="Bay_F"/>
    <s v="Complete"/>
    <s v="Det. Frankie Garrett 323"/>
    <s v="DET"/>
    <s v="Det. Evelyn Reyes 336"/>
    <s v="TOT DCP&amp;P"/>
    <m/>
    <n v="9"/>
    <d v="2025-01-23T15:00:00"/>
    <s v="On Thursday, 01/23/2025 I was notified by D/Sgt. Dominguez of a possible sexual assault involving a juvenile. I was advised that 10 y/o S.S. disclosed to a school teacher that her mothers boyfriend has been touching her while her mother was sleeping. This reportedly has occurred on multiple occasions. No further information was available at this time. S.S. is a student at Nelly K. Parker school, who already notified DCP&amp;P as per protocol.    I contacted DCP&amp;P social worker Jennifer Diaz who was assigned to the initial investigation. Ms. Diaz advised me that she was currently enroute to Nelly K. Parker to meet with S.S., and school staff. She advised me that she already contacted BCPO/SVU. I advised her that I will meet her at the school. Upon arrival I met with Ms. Diaz, who advised me that S.S. was set to be picked up from school by another unknown adult possibly the suspect. Due to the circumstances it was determined that S.S. will be transported to BCPO (100 Eisenhower Drive, Paramus NJ) to undergo a forensic interview with SVU. Contact was made to S.S. mother, Ibys Sandoval, who was advised that a police investigation is underway and her presence is required. Ms. Sandoval expressed that she has transportation issues, therefore this agency arranged transport for her.  Det. Reyes responded to pick up Ms. Sandoval at her residence (176 Berdan Place, Hackensack NJ). Ms. Sandoval was transported to Nelly K. Parker to meet up with her daughter, and ultimately transported to BCPO for the interview.   Contact information was limited at the time of this report (See Det. Reyes Supplemental report for further details)"/>
    <n v="176"/>
    <d v="2025-01-23T00:00:00"/>
    <d v="1899-12-30T15:00:00"/>
    <m/>
    <m/>
    <d v="2025-01-23T00:00:00"/>
    <d v="1899-12-30T15:58:15"/>
    <s v="Winter"/>
    <s v="Afternoon Period (1200-1559)"/>
    <s v="C1W4"/>
    <d v="2025-01-28T00:00:00"/>
    <s v="Y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8CDE9FE-8D91-49CF-AAC4-820F727F3245}"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G5:H8" firstHeaderRow="1" firstDataRow="1" firstDataCol="1" rowPageCount="2" colPageCount="1"/>
  <pivotFields count="58">
    <pivotField dataField="1" showAll="0" defaultSubtotal="0"/>
    <pivotField axis="axisPage" numFmtId="165" showAll="0" defaultSubtotal="0">
      <items count="5">
        <item x="0"/>
        <item x="1"/>
        <item x="2"/>
        <item x="3"/>
        <item x="4"/>
      </items>
    </pivotField>
    <pivotField showAll="0" defaultSubtotal="0"/>
    <pivotField showAll="0" defaultSubtotal="0"/>
    <pivotField numFmtId="166" showAll="0" defaultSubtotal="0"/>
    <pivotField numFmtId="166" showAll="0" defaultSubtotal="0"/>
    <pivotField numFmtId="166" showAll="0" defaultSubtotal="0"/>
    <pivotField axis="axisRow" showAll="0" defaultSubtotal="0">
      <items count="5">
        <item x="4"/>
        <item x="3"/>
        <item x="0"/>
        <item x="2"/>
        <item x="1"/>
      </items>
    </pivotField>
    <pivotField numFmtId="167" showAll="0" defaultSubtotal="0"/>
    <pivotField numFmtId="166" showAll="0" defaultSubtotal="0"/>
    <pivotField axis="axisRow" numFmtId="169" showAll="0" defaultSubtotal="0">
      <items count="4">
        <item x="3"/>
        <item x="2"/>
        <item x="0"/>
        <item x="1"/>
      </items>
    </pivotField>
    <pivotField numFmtId="169"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numFmtId="165" showAll="0" defaultSubtotal="0"/>
    <pivotField numFmtId="169" showAll="0" defaultSubtotal="0"/>
    <pivotField showAll="0" defaultSubtotal="0"/>
    <pivotField showAll="0" defaultSubtotal="0"/>
    <pivotField numFmtId="14" showAll="0" defaultSubtotal="0"/>
    <pivotField numFmtId="164" showAll="0" defaultSubtotal="0"/>
    <pivotField showAll="0" defaultSubtotal="0"/>
    <pivotField showAll="0" defaultSubtotal="0"/>
    <pivotField showAll="0" defaultSubtotal="0"/>
    <pivotField axis="axisPage" numFmtId="165" showAll="0" defaultSubtotal="0">
      <items count="5">
        <item x="0"/>
        <item x="1"/>
        <item x="2"/>
        <item x="3"/>
        <item x="4"/>
      </items>
    </pivotField>
    <pivotField showAll="0" defaultSubtotal="0"/>
    <pivotField numFmtId="169" showAll="0" defaultSubtotal="0">
      <items count="26">
        <item sd="0" x="0"/>
        <item sd="0" x="1"/>
        <item sd="0" x="2"/>
        <item sd="0" x="3"/>
        <item sd="0" x="4"/>
        <item sd="0" x="5"/>
        <item sd="0" x="6"/>
        <item sd="0" x="7"/>
        <item sd="0" x="8"/>
        <item sd="0" x="9"/>
        <item sd="0" x="10"/>
        <item sd="0" x="11"/>
        <item x="12"/>
        <item sd="0" x="13"/>
        <item sd="0" x="14"/>
        <item sd="0" x="15"/>
        <item sd="0" x="16"/>
        <item sd="0" x="17"/>
        <item sd="0" x="18"/>
        <item sd="0" x="19"/>
        <item sd="0" x="20"/>
        <item sd="0" x="21"/>
        <item sd="0" x="22"/>
        <item sd="0" x="23"/>
        <item sd="0" x="24"/>
        <item sd="0" x="25"/>
      </items>
    </pivotField>
  </pivotFields>
  <rowFields count="2">
    <field x="7"/>
    <field x="10"/>
  </rowFields>
  <rowItems count="3">
    <i>
      <x/>
    </i>
    <i r="1">
      <x v="2"/>
    </i>
    <i t="grand">
      <x/>
    </i>
  </rowItems>
  <colItems count="1">
    <i/>
  </colItems>
  <pageFields count="2">
    <pageField fld="1" item="4" hier="-1"/>
    <pageField fld="55" hier="-1"/>
  </pageFields>
  <dataFields count="1">
    <dataField name="Count of Case Number" fld="0" subtotal="count" baseField="0" baseItem="0"/>
  </dataFields>
  <formats count="22">
    <format dxfId="866">
      <pivotArea type="all" dataOnly="0" outline="0" fieldPosition="0"/>
    </format>
    <format dxfId="865">
      <pivotArea outline="0" collapsedLevelsAreSubtotals="1" fieldPosition="0"/>
    </format>
    <format dxfId="864">
      <pivotArea field="7" type="button" dataOnly="0" labelOnly="1" outline="0" axis="axisRow" fieldPosition="0"/>
    </format>
    <format dxfId="863">
      <pivotArea dataOnly="0" labelOnly="1" fieldPosition="0">
        <references count="1">
          <reference field="7" count="0"/>
        </references>
      </pivotArea>
    </format>
    <format dxfId="862">
      <pivotArea dataOnly="0" labelOnly="1" grandRow="1" outline="0" fieldPosition="0"/>
    </format>
    <format dxfId="861">
      <pivotArea dataOnly="0" labelOnly="1" fieldPosition="0">
        <references count="2">
          <reference field="7" count="1" selected="0">
            <x v="0"/>
          </reference>
          <reference field="10" count="1">
            <x v="2"/>
          </reference>
        </references>
      </pivotArea>
    </format>
    <format dxfId="860">
      <pivotArea dataOnly="0" labelOnly="1" fieldPosition="0">
        <references count="2">
          <reference field="7" count="1" selected="0">
            <x v="1"/>
          </reference>
          <reference field="10" count="1">
            <x v="0"/>
          </reference>
        </references>
      </pivotArea>
    </format>
    <format dxfId="859">
      <pivotArea dataOnly="0" labelOnly="1" fieldPosition="0">
        <references count="2">
          <reference field="7" count="1" selected="0">
            <x v="2"/>
          </reference>
          <reference field="10" count="2">
            <x v="2"/>
            <x v="3"/>
          </reference>
        </references>
      </pivotArea>
    </format>
    <format dxfId="858">
      <pivotArea dataOnly="0" labelOnly="1" fieldPosition="0">
        <references count="2">
          <reference field="7" count="1" selected="0">
            <x v="3"/>
          </reference>
          <reference field="10" count="1">
            <x v="1"/>
          </reference>
        </references>
      </pivotArea>
    </format>
    <format dxfId="857">
      <pivotArea dataOnly="0" labelOnly="1" fieldPosition="0">
        <references count="2">
          <reference field="7" count="1" selected="0">
            <x v="4"/>
          </reference>
          <reference field="10" count="1">
            <x v="1"/>
          </reference>
        </references>
      </pivotArea>
    </format>
    <format dxfId="856">
      <pivotArea dataOnly="0" labelOnly="1" outline="0" axis="axisValues" fieldPosition="0"/>
    </format>
    <format dxfId="855">
      <pivotArea type="all" dataOnly="0" outline="0" fieldPosition="0"/>
    </format>
    <format dxfId="854">
      <pivotArea outline="0" collapsedLevelsAreSubtotals="1" fieldPosition="0"/>
    </format>
    <format dxfId="853">
      <pivotArea field="7" type="button" dataOnly="0" labelOnly="1" outline="0" axis="axisRow" fieldPosition="0"/>
    </format>
    <format dxfId="852">
      <pivotArea dataOnly="0" labelOnly="1" fieldPosition="0">
        <references count="1">
          <reference field="7" count="0"/>
        </references>
      </pivotArea>
    </format>
    <format dxfId="851">
      <pivotArea dataOnly="0" labelOnly="1" grandRow="1" outline="0" fieldPosition="0"/>
    </format>
    <format dxfId="850">
      <pivotArea dataOnly="0" labelOnly="1" fieldPosition="0">
        <references count="2">
          <reference field="7" count="1" selected="0">
            <x v="0"/>
          </reference>
          <reference field="10" count="1">
            <x v="2"/>
          </reference>
        </references>
      </pivotArea>
    </format>
    <format dxfId="849">
      <pivotArea dataOnly="0" labelOnly="1" fieldPosition="0">
        <references count="2">
          <reference field="7" count="1" selected="0">
            <x v="1"/>
          </reference>
          <reference field="10" count="1">
            <x v="0"/>
          </reference>
        </references>
      </pivotArea>
    </format>
    <format dxfId="848">
      <pivotArea dataOnly="0" labelOnly="1" fieldPosition="0">
        <references count="2">
          <reference field="7" count="1" selected="0">
            <x v="2"/>
          </reference>
          <reference field="10" count="2">
            <x v="2"/>
            <x v="3"/>
          </reference>
        </references>
      </pivotArea>
    </format>
    <format dxfId="847">
      <pivotArea dataOnly="0" labelOnly="1" fieldPosition="0">
        <references count="2">
          <reference field="7" count="1" selected="0">
            <x v="3"/>
          </reference>
          <reference field="10" count="1">
            <x v="1"/>
          </reference>
        </references>
      </pivotArea>
    </format>
    <format dxfId="846">
      <pivotArea dataOnly="0" labelOnly="1" fieldPosition="0">
        <references count="2">
          <reference field="7" count="1" selected="0">
            <x v="4"/>
          </reference>
          <reference field="10" count="1">
            <x v="1"/>
          </reference>
        </references>
      </pivotArea>
    </format>
    <format dxfId="845">
      <pivotArea dataOnly="0" labelOnly="1" outline="0" axis="axisValues" fieldPosition="0"/>
    </format>
  </formats>
  <chartFormats count="1">
    <chartFormat chart="0" format="18" series="1">
      <pivotArea type="data" outline="0" fieldPosition="0">
        <references count="1">
          <reference field="4294967294" count="1" selected="0">
            <x v="0"/>
          </reference>
        </references>
      </pivotArea>
    </chartFormat>
  </chartFormats>
  <pivotTableStyleInfo name="PivotStyleLight17"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AEA80A5-4821-41C3-B15E-6D6B3C1A8490}"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D5:E12" firstHeaderRow="1" firstDataRow="1" firstDataCol="1" rowPageCount="2" colPageCount="1"/>
  <pivotFields count="58">
    <pivotField dataField="1" showAll="0" defaultSubtotal="0"/>
    <pivotField axis="axisPage" numFmtId="165" multipleItemSelectionAllowed="1" showAll="0" defaultSubtotal="0">
      <items count="5">
        <item h="1" x="0"/>
        <item h="1" x="1"/>
        <item x="2"/>
        <item x="3"/>
        <item x="4"/>
      </items>
    </pivotField>
    <pivotField showAll="0" defaultSubtotal="0"/>
    <pivotField showAll="0" defaultSubtotal="0"/>
    <pivotField numFmtId="166" showAll="0" defaultSubtotal="0"/>
    <pivotField numFmtId="166" showAll="0" defaultSubtotal="0"/>
    <pivotField numFmtId="166" showAll="0" defaultSubtotal="0"/>
    <pivotField axis="axisRow" showAll="0" defaultSubtotal="0">
      <items count="5">
        <item x="4"/>
        <item x="3"/>
        <item x="0"/>
        <item x="2"/>
        <item x="1"/>
      </items>
    </pivotField>
    <pivotField numFmtId="167" showAll="0" defaultSubtotal="0"/>
    <pivotField numFmtId="166" showAll="0" defaultSubtotal="0"/>
    <pivotField axis="axisRow" numFmtId="169" showAll="0" defaultSubtotal="0">
      <items count="4">
        <item x="3"/>
        <item x="2"/>
        <item x="0"/>
        <item x="1"/>
      </items>
    </pivotField>
    <pivotField numFmtId="169"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numFmtId="165" showAll="0" defaultSubtotal="0"/>
    <pivotField numFmtId="169" showAll="0" defaultSubtotal="0"/>
    <pivotField showAll="0" defaultSubtotal="0"/>
    <pivotField showAll="0" defaultSubtotal="0"/>
    <pivotField numFmtId="14" showAll="0" defaultSubtotal="0"/>
    <pivotField numFmtId="164" showAll="0" defaultSubtotal="0"/>
    <pivotField showAll="0" defaultSubtotal="0"/>
    <pivotField showAll="0" defaultSubtotal="0"/>
    <pivotField showAll="0" defaultSubtotal="0"/>
    <pivotField axis="axisPage" numFmtId="165" showAll="0" defaultSubtotal="0">
      <items count="5">
        <item x="0"/>
        <item x="1"/>
        <item x="2"/>
        <item x="3"/>
        <item x="4"/>
      </items>
    </pivotField>
    <pivotField showAll="0" defaultSubtotal="0"/>
    <pivotField numFmtId="169" showAll="0" defaultSubtotal="0">
      <items count="26">
        <item sd="0" x="0"/>
        <item sd="0" x="1"/>
        <item sd="0" x="2"/>
        <item sd="0" x="3"/>
        <item sd="0" x="4"/>
        <item sd="0" x="5"/>
        <item sd="0" x="6"/>
        <item sd="0" x="7"/>
        <item sd="0" x="8"/>
        <item sd="0" x="9"/>
        <item sd="0" x="10"/>
        <item sd="0" x="11"/>
        <item x="12"/>
        <item sd="0" x="13"/>
        <item sd="0" x="14"/>
        <item sd="0" x="15"/>
        <item sd="0" x="16"/>
        <item sd="0" x="17"/>
        <item sd="0" x="18"/>
        <item sd="0" x="19"/>
        <item sd="0" x="20"/>
        <item sd="0" x="21"/>
        <item sd="0" x="22"/>
        <item sd="0" x="23"/>
        <item sd="0" x="24"/>
        <item sd="0" x="25"/>
      </items>
    </pivotField>
  </pivotFields>
  <rowFields count="2">
    <field x="7"/>
    <field x="10"/>
  </rowFields>
  <rowItems count="7">
    <i>
      <x/>
    </i>
    <i r="1">
      <x v="2"/>
    </i>
    <i>
      <x v="1"/>
    </i>
    <i r="1">
      <x/>
    </i>
    <i>
      <x v="3"/>
    </i>
    <i r="1">
      <x v="1"/>
    </i>
    <i t="grand">
      <x/>
    </i>
  </rowItems>
  <colItems count="1">
    <i/>
  </colItems>
  <pageFields count="2">
    <pageField fld="1" hier="-1"/>
    <pageField fld="55" hier="-1"/>
  </pageFields>
  <dataFields count="1">
    <dataField name="Count of Case Number" fld="0" subtotal="count" baseField="0" baseItem="0"/>
  </dataFields>
  <formats count="22">
    <format dxfId="888">
      <pivotArea type="all" dataOnly="0" outline="0" fieldPosition="0"/>
    </format>
    <format dxfId="887">
      <pivotArea outline="0" collapsedLevelsAreSubtotals="1" fieldPosition="0"/>
    </format>
    <format dxfId="886">
      <pivotArea field="7" type="button" dataOnly="0" labelOnly="1" outline="0" axis="axisRow" fieldPosition="0"/>
    </format>
    <format dxfId="885">
      <pivotArea dataOnly="0" labelOnly="1" fieldPosition="0">
        <references count="1">
          <reference field="7" count="0"/>
        </references>
      </pivotArea>
    </format>
    <format dxfId="884">
      <pivotArea dataOnly="0" labelOnly="1" grandRow="1" outline="0" fieldPosition="0"/>
    </format>
    <format dxfId="883">
      <pivotArea dataOnly="0" labelOnly="1" fieldPosition="0">
        <references count="2">
          <reference field="7" count="1" selected="0">
            <x v="0"/>
          </reference>
          <reference field="10" count="1">
            <x v="2"/>
          </reference>
        </references>
      </pivotArea>
    </format>
    <format dxfId="882">
      <pivotArea dataOnly="0" labelOnly="1" fieldPosition="0">
        <references count="2">
          <reference field="7" count="1" selected="0">
            <x v="1"/>
          </reference>
          <reference field="10" count="1">
            <x v="0"/>
          </reference>
        </references>
      </pivotArea>
    </format>
    <format dxfId="881">
      <pivotArea dataOnly="0" labelOnly="1" fieldPosition="0">
        <references count="2">
          <reference field="7" count="1" selected="0">
            <x v="2"/>
          </reference>
          <reference field="10" count="2">
            <x v="2"/>
            <x v="3"/>
          </reference>
        </references>
      </pivotArea>
    </format>
    <format dxfId="880">
      <pivotArea dataOnly="0" labelOnly="1" fieldPosition="0">
        <references count="2">
          <reference field="7" count="1" selected="0">
            <x v="3"/>
          </reference>
          <reference field="10" count="1">
            <x v="1"/>
          </reference>
        </references>
      </pivotArea>
    </format>
    <format dxfId="879">
      <pivotArea dataOnly="0" labelOnly="1" fieldPosition="0">
        <references count="2">
          <reference field="7" count="1" selected="0">
            <x v="4"/>
          </reference>
          <reference field="10" count="1">
            <x v="1"/>
          </reference>
        </references>
      </pivotArea>
    </format>
    <format dxfId="878">
      <pivotArea dataOnly="0" labelOnly="1" outline="0" axis="axisValues" fieldPosition="0"/>
    </format>
    <format dxfId="877">
      <pivotArea type="all" dataOnly="0" outline="0" fieldPosition="0"/>
    </format>
    <format dxfId="876">
      <pivotArea outline="0" collapsedLevelsAreSubtotals="1" fieldPosition="0"/>
    </format>
    <format dxfId="875">
      <pivotArea field="7" type="button" dataOnly="0" labelOnly="1" outline="0" axis="axisRow" fieldPosition="0"/>
    </format>
    <format dxfId="874">
      <pivotArea dataOnly="0" labelOnly="1" fieldPosition="0">
        <references count="1">
          <reference field="7" count="0"/>
        </references>
      </pivotArea>
    </format>
    <format dxfId="873">
      <pivotArea dataOnly="0" labelOnly="1" grandRow="1" outline="0" fieldPosition="0"/>
    </format>
    <format dxfId="872">
      <pivotArea dataOnly="0" labelOnly="1" fieldPosition="0">
        <references count="2">
          <reference field="7" count="1" selected="0">
            <x v="0"/>
          </reference>
          <reference field="10" count="1">
            <x v="2"/>
          </reference>
        </references>
      </pivotArea>
    </format>
    <format dxfId="871">
      <pivotArea dataOnly="0" labelOnly="1" fieldPosition="0">
        <references count="2">
          <reference field="7" count="1" selected="0">
            <x v="1"/>
          </reference>
          <reference field="10" count="1">
            <x v="0"/>
          </reference>
        </references>
      </pivotArea>
    </format>
    <format dxfId="870">
      <pivotArea dataOnly="0" labelOnly="1" fieldPosition="0">
        <references count="2">
          <reference field="7" count="1" selected="0">
            <x v="2"/>
          </reference>
          <reference field="10" count="2">
            <x v="2"/>
            <x v="3"/>
          </reference>
        </references>
      </pivotArea>
    </format>
    <format dxfId="869">
      <pivotArea dataOnly="0" labelOnly="1" fieldPosition="0">
        <references count="2">
          <reference field="7" count="1" selected="0">
            <x v="3"/>
          </reference>
          <reference field="10" count="1">
            <x v="1"/>
          </reference>
        </references>
      </pivotArea>
    </format>
    <format dxfId="868">
      <pivotArea dataOnly="0" labelOnly="1" fieldPosition="0">
        <references count="2">
          <reference field="7" count="1" selected="0">
            <x v="4"/>
          </reference>
          <reference field="10" count="1">
            <x v="1"/>
          </reference>
        </references>
      </pivotArea>
    </format>
    <format dxfId="867">
      <pivotArea dataOnly="0" labelOnly="1" outline="0" axis="axisValues" fieldPosition="0"/>
    </format>
  </formats>
  <chartFormats count="1">
    <chartFormat chart="0" format="14" series="1">
      <pivotArea type="data" outline="0" fieldPosition="0">
        <references count="1">
          <reference field="4294967294" count="1" selected="0">
            <x v="0"/>
          </reference>
        </references>
      </pivotArea>
    </chartFormat>
  </chartFormats>
  <pivotTableStyleInfo name="PivotStyleLight19"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61D87E3-4A86-405F-BE19-C6B51968E30B}"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A5:B17" firstHeaderRow="1" firstDataRow="1" firstDataCol="1" rowPageCount="2" colPageCount="1"/>
  <pivotFields count="58">
    <pivotField dataField="1" showAll="0"/>
    <pivotField axis="axisPage" numFmtId="165" showAll="0">
      <items count="6">
        <item x="0"/>
        <item x="1"/>
        <item x="2"/>
        <item x="3"/>
        <item x="4"/>
        <item t="default"/>
      </items>
    </pivotField>
    <pivotField showAll="0"/>
    <pivotField showAll="0"/>
    <pivotField numFmtId="166" showAll="0"/>
    <pivotField numFmtId="166" showAll="0"/>
    <pivotField numFmtId="166" showAll="0"/>
    <pivotField axis="axisRow" showAll="0">
      <items count="6">
        <item x="4"/>
        <item x="3"/>
        <item x="0"/>
        <item x="2"/>
        <item x="1"/>
        <item t="default"/>
      </items>
    </pivotField>
    <pivotField numFmtId="167" showAll="0"/>
    <pivotField numFmtId="166" showAll="0"/>
    <pivotField axis="axisRow" numFmtId="169" showAll="0">
      <items count="5">
        <item x="3"/>
        <item x="2"/>
        <item x="0"/>
        <item x="1"/>
        <item t="default"/>
      </items>
    </pivotField>
    <pivotField numFmtId="169"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showAll="0"/>
    <pivotField showAll="0"/>
    <pivotField numFmtId="165" showAll="0"/>
    <pivotField numFmtId="169" showAll="0"/>
    <pivotField showAll="0"/>
    <pivotField showAll="0"/>
    <pivotField numFmtId="14" showAll="0"/>
    <pivotField numFmtId="164" showAll="0"/>
    <pivotField showAll="0"/>
    <pivotField showAll="0"/>
    <pivotField showAll="0"/>
    <pivotField axis="axisPage" numFmtId="165" showAll="0">
      <items count="6">
        <item x="0"/>
        <item x="1"/>
        <item x="2"/>
        <item x="3"/>
        <item x="4"/>
        <item t="default"/>
      </items>
    </pivotField>
    <pivotField showAll="0"/>
    <pivotField numFmtId="169"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2">
    <field x="7"/>
    <field x="10"/>
  </rowFields>
  <rowItems count="12">
    <i>
      <x/>
    </i>
    <i r="1">
      <x v="2"/>
    </i>
    <i>
      <x v="1"/>
    </i>
    <i r="1">
      <x/>
    </i>
    <i>
      <x v="2"/>
    </i>
    <i r="1">
      <x v="2"/>
    </i>
    <i r="1">
      <x v="3"/>
    </i>
    <i>
      <x v="3"/>
    </i>
    <i r="1">
      <x v="1"/>
    </i>
    <i>
      <x v="4"/>
    </i>
    <i r="1">
      <x v="1"/>
    </i>
    <i t="grand">
      <x/>
    </i>
  </rowItems>
  <colItems count="1">
    <i/>
  </colItems>
  <pageFields count="2">
    <pageField fld="1" hier="-1"/>
    <pageField fld="55" hier="-1"/>
  </pageFields>
  <dataFields count="1">
    <dataField name="Count of Case Number" fld="0" subtotal="count" baseField="0" baseItem="0"/>
  </dataFields>
  <formats count="15">
    <format dxfId="903">
      <pivotArea type="all" dataOnly="0" outline="0" fieldPosition="0"/>
    </format>
    <format dxfId="902">
      <pivotArea outline="0" collapsedLevelsAreSubtotals="1" fieldPosition="0"/>
    </format>
    <format dxfId="901">
      <pivotArea field="7" type="button" dataOnly="0" labelOnly="1" outline="0" axis="axisRow" fieldPosition="0"/>
    </format>
    <format dxfId="900">
      <pivotArea dataOnly="0" labelOnly="1" grandRow="1" outline="0" fieldPosition="0"/>
    </format>
    <format dxfId="899">
      <pivotArea dataOnly="0" labelOnly="1" outline="0" axis="axisValues" fieldPosition="0"/>
    </format>
    <format dxfId="898">
      <pivotArea type="all" dataOnly="0" outline="0" fieldPosition="0"/>
    </format>
    <format dxfId="897">
      <pivotArea outline="0" collapsedLevelsAreSubtotals="1" fieldPosition="0"/>
    </format>
    <format dxfId="896">
      <pivotArea field="7" type="button" dataOnly="0" labelOnly="1" outline="0" axis="axisRow" fieldPosition="0"/>
    </format>
    <format dxfId="895">
      <pivotArea dataOnly="0" labelOnly="1" grandRow="1" outline="0" fieldPosition="0"/>
    </format>
    <format dxfId="894">
      <pivotArea dataOnly="0" labelOnly="1" outline="0" axis="axisValues" fieldPosition="0"/>
    </format>
    <format dxfId="893">
      <pivotArea type="all" dataOnly="0" outline="0" fieldPosition="0"/>
    </format>
    <format dxfId="892">
      <pivotArea outline="0" collapsedLevelsAreSubtotals="1" fieldPosition="0"/>
    </format>
    <format dxfId="891">
      <pivotArea field="7" type="button" dataOnly="0" labelOnly="1" outline="0" axis="axisRow" fieldPosition="0"/>
    </format>
    <format dxfId="890">
      <pivotArea dataOnly="0" labelOnly="1" grandRow="1" outline="0" fieldPosition="0"/>
    </format>
    <format dxfId="889">
      <pivotArea dataOnly="0" labelOnly="1" outline="0" axis="axisValues" fieldPosition="0"/>
    </format>
  </formats>
  <chartFormats count="1">
    <chartFormat chart="0" format="14" series="1">
      <pivotArea type="data" outline="0" fieldPosition="0">
        <references count="1">
          <reference field="4294967294" count="1" selected="0">
            <x v="0"/>
          </reference>
        </references>
      </pivotArea>
    </chartFormat>
  </chartFormats>
  <pivotTableStyleInfo name="PivotStyleLight17 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66044E-CE3C-4650-952E-FB35E2E2D32B}" name="PivotTable8" cacheId="5" applyNumberFormats="0" applyBorderFormats="0" applyFontFormats="0" applyPatternFormats="0" applyAlignmentFormats="0" applyWidthHeightFormats="1" dataCaption="Values" updatedVersion="8" minRefreshableVersion="3" useAutoFormatting="1" itemPrintTitles="1" createdVersion="8" indent="0" multipleFieldFilters="0">
  <location ref="G4:H7" firstHeaderRow="1" firstDataRow="1" firstDataCol="1" rowPageCount="1" colPageCount="1"/>
  <pivotFields count="58">
    <pivotField dataField="1" showAll="0" defaultSubtotal="0"/>
    <pivotField axis="axisPage" numFmtId="165" showAll="0" defaultSubtotal="0">
      <items count="4">
        <item x="0"/>
        <item x="1"/>
        <item x="2"/>
        <item x="3"/>
      </items>
    </pivotField>
    <pivotField showAll="0" defaultSubtotal="0"/>
    <pivotField showAll="0" defaultSubtotal="0"/>
    <pivotField numFmtId="166" showAll="0" defaultSubtotal="0"/>
    <pivotField numFmtId="166" showAll="0" defaultSubtotal="0"/>
    <pivotField numFmtId="166" showAll="0" defaultSubtotal="0"/>
    <pivotField axis="axisRow" showAll="0" defaultSubtotal="0">
      <items count="4">
        <item x="2"/>
        <item x="0"/>
        <item x="3"/>
        <item x="1"/>
      </items>
    </pivotField>
    <pivotField numFmtId="167" showAll="0" defaultSubtotal="0"/>
    <pivotField numFmtId="166" showAll="0" defaultSubtotal="0"/>
    <pivotField axis="axisRow" numFmtId="169" showAll="0" defaultSubtotal="0">
      <items count="4">
        <item x="0"/>
        <item x="3"/>
        <item x="1"/>
        <item x="2"/>
      </items>
    </pivotField>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numFmtId="165" showAll="0" defaultSubtotal="0"/>
    <pivotField numFmtId="169" showAll="0" defaultSubtotal="0"/>
    <pivotField showAll="0" defaultSubtotal="0"/>
    <pivotField showAll="0" defaultSubtotal="0"/>
    <pivotField numFmtId="14" showAll="0" defaultSubtotal="0"/>
    <pivotField numFmtId="164" showAll="0" defaultSubtotal="0"/>
    <pivotField showAll="0" defaultSubtotal="0"/>
    <pivotField showAll="0" defaultSubtotal="0"/>
    <pivotField showAll="0" defaultSubtotal="0"/>
    <pivotField numFmtId="165" showAll="0" defaultSubtotal="0"/>
    <pivotField showAll="0" defaultSubtotal="0"/>
    <pivotField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s>
  <rowFields count="2">
    <field x="7"/>
    <field x="10"/>
  </rowFields>
  <rowItems count="3">
    <i>
      <x v="2"/>
    </i>
    <i r="1">
      <x v="1"/>
    </i>
    <i t="grand">
      <x/>
    </i>
  </rowItems>
  <colItems count="1">
    <i/>
  </colItems>
  <pageFields count="1">
    <pageField fld="1" item="3" hier="-1"/>
  </pageFields>
  <dataFields count="1">
    <dataField name="Count of Case Number" fld="0" subtotal="count" baseField="0" baseItem="0"/>
  </dataFields>
  <formats count="20">
    <format dxfId="702">
      <pivotArea type="all" dataOnly="0" outline="0" fieldPosition="0"/>
    </format>
    <format dxfId="701">
      <pivotArea outline="0" collapsedLevelsAreSubtotals="1" fieldPosition="0"/>
    </format>
    <format dxfId="700">
      <pivotArea field="7" type="button" dataOnly="0" labelOnly="1" outline="0" axis="axisRow" fieldPosition="0"/>
    </format>
    <format dxfId="699">
      <pivotArea dataOnly="0" labelOnly="1" fieldPosition="0">
        <references count="1">
          <reference field="7" count="0"/>
        </references>
      </pivotArea>
    </format>
    <format dxfId="698">
      <pivotArea dataOnly="0" labelOnly="1" grandRow="1" outline="0" fieldPosition="0"/>
    </format>
    <format dxfId="697">
      <pivotArea dataOnly="0" labelOnly="1" fieldPosition="0">
        <references count="2">
          <reference field="7" count="1" selected="0">
            <x v="0"/>
          </reference>
          <reference field="10" count="1">
            <x v="3"/>
          </reference>
        </references>
      </pivotArea>
    </format>
    <format dxfId="696">
      <pivotArea dataOnly="0" labelOnly="1" fieldPosition="0">
        <references count="2">
          <reference field="7" count="1" selected="0">
            <x v="1"/>
          </reference>
          <reference field="10" count="1">
            <x v="0"/>
          </reference>
        </references>
      </pivotArea>
    </format>
    <format dxfId="695">
      <pivotArea dataOnly="0" labelOnly="1" fieldPosition="0">
        <references count="2">
          <reference field="7" count="1" selected="0">
            <x v="2"/>
          </reference>
          <reference field="10" count="1">
            <x v="1"/>
          </reference>
        </references>
      </pivotArea>
    </format>
    <format dxfId="694">
      <pivotArea dataOnly="0" labelOnly="1" fieldPosition="0">
        <references count="2">
          <reference field="7" count="1" selected="0">
            <x v="3"/>
          </reference>
          <reference field="10" count="1">
            <x v="2"/>
          </reference>
        </references>
      </pivotArea>
    </format>
    <format dxfId="693">
      <pivotArea dataOnly="0" labelOnly="1" outline="0" axis="axisValues" fieldPosition="0"/>
    </format>
    <format dxfId="692">
      <pivotArea type="all" dataOnly="0" outline="0" fieldPosition="0"/>
    </format>
    <format dxfId="691">
      <pivotArea outline="0" collapsedLevelsAreSubtotals="1" fieldPosition="0"/>
    </format>
    <format dxfId="690">
      <pivotArea field="7" type="button" dataOnly="0" labelOnly="1" outline="0" axis="axisRow" fieldPosition="0"/>
    </format>
    <format dxfId="689">
      <pivotArea dataOnly="0" labelOnly="1" fieldPosition="0">
        <references count="1">
          <reference field="7" count="0"/>
        </references>
      </pivotArea>
    </format>
    <format dxfId="688">
      <pivotArea dataOnly="0" labelOnly="1" grandRow="1" outline="0" fieldPosition="0"/>
    </format>
    <format dxfId="687">
      <pivotArea dataOnly="0" labelOnly="1" fieldPosition="0">
        <references count="2">
          <reference field="7" count="1" selected="0">
            <x v="0"/>
          </reference>
          <reference field="10" count="1">
            <x v="3"/>
          </reference>
        </references>
      </pivotArea>
    </format>
    <format dxfId="686">
      <pivotArea dataOnly="0" labelOnly="1" fieldPosition="0">
        <references count="2">
          <reference field="7" count="1" selected="0">
            <x v="1"/>
          </reference>
          <reference field="10" count="1">
            <x v="0"/>
          </reference>
        </references>
      </pivotArea>
    </format>
    <format dxfId="685">
      <pivotArea dataOnly="0" labelOnly="1" fieldPosition="0">
        <references count="2">
          <reference field="7" count="1" selected="0">
            <x v="2"/>
          </reference>
          <reference field="10" count="1">
            <x v="1"/>
          </reference>
        </references>
      </pivotArea>
    </format>
    <format dxfId="684">
      <pivotArea dataOnly="0" labelOnly="1" fieldPosition="0">
        <references count="2">
          <reference field="7" count="1" selected="0">
            <x v="3"/>
          </reference>
          <reference field="10" count="1">
            <x v="2"/>
          </reference>
        </references>
      </pivotArea>
    </format>
    <format dxfId="683">
      <pivotArea dataOnly="0" labelOnly="1" outline="0" axis="axisValues" fieldPosition="0"/>
    </format>
  </formats>
  <pivotTableStyleInfo name="PivotStyleLight17"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50E6A43-20D7-4138-8C6F-D33E2C2A6A3A}" name="PivotTable7" cacheId="5" applyNumberFormats="0" applyBorderFormats="0" applyFontFormats="0" applyPatternFormats="0" applyAlignmentFormats="0" applyWidthHeightFormats="1" dataCaption="Values" updatedVersion="8" minRefreshableVersion="3" useAutoFormatting="1" itemPrintTitles="1" createdVersion="8" indent="0" multipleFieldFilters="0" chartFormat="12">
  <location ref="D4:E7" firstHeaderRow="1" firstDataRow="1" firstDataCol="1" rowPageCount="1" colPageCount="1"/>
  <pivotFields count="58">
    <pivotField dataField="1" showAll="0" defaultSubtotal="0"/>
    <pivotField axis="axisPage" numFmtId="165" showAll="0" defaultSubtotal="0">
      <items count="4">
        <item x="0"/>
        <item x="1"/>
        <item x="2"/>
        <item x="3"/>
      </items>
    </pivotField>
    <pivotField showAll="0" defaultSubtotal="0"/>
    <pivotField showAll="0" defaultSubtotal="0"/>
    <pivotField numFmtId="166" showAll="0" defaultSubtotal="0"/>
    <pivotField numFmtId="166" showAll="0" defaultSubtotal="0"/>
    <pivotField numFmtId="166" showAll="0" defaultSubtotal="0"/>
    <pivotField axis="axisRow" showAll="0" defaultSubtotal="0">
      <items count="4">
        <item x="2"/>
        <item x="0"/>
        <item x="3"/>
        <item x="1"/>
      </items>
    </pivotField>
    <pivotField numFmtId="167" showAll="0" defaultSubtotal="0"/>
    <pivotField numFmtId="166" showAll="0" defaultSubtotal="0"/>
    <pivotField axis="axisRow" numFmtId="169" showAll="0" defaultSubtotal="0">
      <items count="4">
        <item x="0"/>
        <item x="3"/>
        <item x="1"/>
        <item x="2"/>
      </items>
    </pivotField>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numFmtId="165" showAll="0" defaultSubtotal="0"/>
    <pivotField numFmtId="169" showAll="0" defaultSubtotal="0"/>
    <pivotField showAll="0" defaultSubtotal="0"/>
    <pivotField showAll="0" defaultSubtotal="0"/>
    <pivotField numFmtId="14" showAll="0" defaultSubtotal="0"/>
    <pivotField numFmtId="164" showAll="0" defaultSubtotal="0"/>
    <pivotField showAll="0" defaultSubtotal="0"/>
    <pivotField showAll="0" defaultSubtotal="0"/>
    <pivotField showAll="0" defaultSubtotal="0"/>
    <pivotField numFmtId="165" showAll="0" defaultSubtotal="0"/>
    <pivotField showAll="0" defaultSubtotal="0"/>
    <pivotField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s>
  <rowFields count="2">
    <field x="7"/>
    <field x="10"/>
  </rowFields>
  <rowItems count="3">
    <i>
      <x v="2"/>
    </i>
    <i r="1">
      <x v="1"/>
    </i>
    <i t="grand">
      <x/>
    </i>
  </rowItems>
  <colItems count="1">
    <i/>
  </colItems>
  <pageFields count="1">
    <pageField fld="1" item="3" hier="-1"/>
  </pageFields>
  <dataFields count="1">
    <dataField name="Count of Case Number" fld="0" subtotal="count" baseField="0" baseItem="0"/>
  </dataFields>
  <formats count="20">
    <format dxfId="722">
      <pivotArea type="all" dataOnly="0" outline="0" fieldPosition="0"/>
    </format>
    <format dxfId="721">
      <pivotArea outline="0" collapsedLevelsAreSubtotals="1" fieldPosition="0"/>
    </format>
    <format dxfId="720">
      <pivotArea field="7" type="button" dataOnly="0" labelOnly="1" outline="0" axis="axisRow" fieldPosition="0"/>
    </format>
    <format dxfId="719">
      <pivotArea dataOnly="0" labelOnly="1" fieldPosition="0">
        <references count="1">
          <reference field="7" count="0"/>
        </references>
      </pivotArea>
    </format>
    <format dxfId="718">
      <pivotArea dataOnly="0" labelOnly="1" grandRow="1" outline="0" fieldPosition="0"/>
    </format>
    <format dxfId="717">
      <pivotArea dataOnly="0" labelOnly="1" fieldPosition="0">
        <references count="2">
          <reference field="7" count="1" selected="0">
            <x v="0"/>
          </reference>
          <reference field="10" count="1">
            <x v="3"/>
          </reference>
        </references>
      </pivotArea>
    </format>
    <format dxfId="716">
      <pivotArea dataOnly="0" labelOnly="1" fieldPosition="0">
        <references count="2">
          <reference field="7" count="1" selected="0">
            <x v="1"/>
          </reference>
          <reference field="10" count="1">
            <x v="0"/>
          </reference>
        </references>
      </pivotArea>
    </format>
    <format dxfId="715">
      <pivotArea dataOnly="0" labelOnly="1" fieldPosition="0">
        <references count="2">
          <reference field="7" count="1" selected="0">
            <x v="2"/>
          </reference>
          <reference field="10" count="1">
            <x v="1"/>
          </reference>
        </references>
      </pivotArea>
    </format>
    <format dxfId="714">
      <pivotArea dataOnly="0" labelOnly="1" fieldPosition="0">
        <references count="2">
          <reference field="7" count="1" selected="0">
            <x v="3"/>
          </reference>
          <reference field="10" count="1">
            <x v="2"/>
          </reference>
        </references>
      </pivotArea>
    </format>
    <format dxfId="713">
      <pivotArea dataOnly="0" labelOnly="1" outline="0" axis="axisValues" fieldPosition="0"/>
    </format>
    <format dxfId="712">
      <pivotArea type="all" dataOnly="0" outline="0" fieldPosition="0"/>
    </format>
    <format dxfId="711">
      <pivotArea outline="0" collapsedLevelsAreSubtotals="1" fieldPosition="0"/>
    </format>
    <format dxfId="710">
      <pivotArea field="7" type="button" dataOnly="0" labelOnly="1" outline="0" axis="axisRow" fieldPosition="0"/>
    </format>
    <format dxfId="709">
      <pivotArea dataOnly="0" labelOnly="1" fieldPosition="0">
        <references count="1">
          <reference field="7" count="0"/>
        </references>
      </pivotArea>
    </format>
    <format dxfId="708">
      <pivotArea dataOnly="0" labelOnly="1" grandRow="1" outline="0" fieldPosition="0"/>
    </format>
    <format dxfId="707">
      <pivotArea dataOnly="0" labelOnly="1" fieldPosition="0">
        <references count="2">
          <reference field="7" count="1" selected="0">
            <x v="0"/>
          </reference>
          <reference field="10" count="1">
            <x v="3"/>
          </reference>
        </references>
      </pivotArea>
    </format>
    <format dxfId="706">
      <pivotArea dataOnly="0" labelOnly="1" fieldPosition="0">
        <references count="2">
          <reference field="7" count="1" selected="0">
            <x v="1"/>
          </reference>
          <reference field="10" count="1">
            <x v="0"/>
          </reference>
        </references>
      </pivotArea>
    </format>
    <format dxfId="705">
      <pivotArea dataOnly="0" labelOnly="1" fieldPosition="0">
        <references count="2">
          <reference field="7" count="1" selected="0">
            <x v="2"/>
          </reference>
          <reference field="10" count="1">
            <x v="1"/>
          </reference>
        </references>
      </pivotArea>
    </format>
    <format dxfId="704">
      <pivotArea dataOnly="0" labelOnly="1" fieldPosition="0">
        <references count="2">
          <reference field="7" count="1" selected="0">
            <x v="3"/>
          </reference>
          <reference field="10" count="1">
            <x v="2"/>
          </reference>
        </references>
      </pivotArea>
    </format>
    <format dxfId="703">
      <pivotArea dataOnly="0" labelOnly="1" outline="0" axis="axisValues" fieldPosition="0"/>
    </format>
  </formats>
  <chartFormats count="4">
    <chartFormat chart="0" format="17" series="1">
      <pivotArea type="data" outline="0" fieldPosition="0">
        <references count="1">
          <reference field="4294967294" count="1" selected="0">
            <x v="0"/>
          </reference>
        </references>
      </pivotArea>
    </chartFormat>
    <chartFormat chart="5" format="21" series="1">
      <pivotArea type="data" outline="0" fieldPosition="0">
        <references count="1">
          <reference field="4294967294" count="1" selected="0">
            <x v="0"/>
          </reference>
        </references>
      </pivotArea>
    </chartFormat>
    <chartFormat chart="8" format="22" series="1">
      <pivotArea type="data" outline="0" fieldPosition="0">
        <references count="1">
          <reference field="4294967294" count="1" selected="0">
            <x v="0"/>
          </reference>
        </references>
      </pivotArea>
    </chartFormat>
    <chartFormat chart="9" format="23" series="1">
      <pivotArea type="data" outline="0" fieldPosition="0">
        <references count="1">
          <reference field="4294967294" count="1" selected="0">
            <x v="0"/>
          </reference>
        </references>
      </pivotArea>
    </chartFormat>
  </chartFormats>
  <pivotTableStyleInfo name="PivotStyleLight19"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1BDD7D4-2DE5-47DD-B54F-0D126632ACD5}" name="PivotTable6" cacheId="5"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A4:B13" firstHeaderRow="1" firstDataRow="1" firstDataCol="1" rowPageCount="1" colPageCount="1"/>
  <pivotFields count="58">
    <pivotField dataField="1" showAll="0" defaultSubtotal="0"/>
    <pivotField axis="axisPage" numFmtId="165" showAll="0" defaultSubtotal="0">
      <items count="4">
        <item x="0"/>
        <item x="1"/>
        <item x="2"/>
        <item x="3"/>
      </items>
    </pivotField>
    <pivotField showAll="0" defaultSubtotal="0"/>
    <pivotField showAll="0" defaultSubtotal="0"/>
    <pivotField numFmtId="166" showAll="0" defaultSubtotal="0"/>
    <pivotField numFmtId="166" showAll="0" defaultSubtotal="0"/>
    <pivotField numFmtId="166" showAll="0" defaultSubtotal="0"/>
    <pivotField axis="axisRow" showAll="0" defaultSubtotal="0">
      <items count="4">
        <item x="2"/>
        <item x="0"/>
        <item x="3"/>
        <item x="1"/>
      </items>
    </pivotField>
    <pivotField numFmtId="167" showAll="0" defaultSubtotal="0"/>
    <pivotField numFmtId="166" showAll="0" defaultSubtotal="0"/>
    <pivotField axis="axisRow" numFmtId="169" showAll="0" defaultSubtotal="0">
      <items count="4">
        <item x="0"/>
        <item x="3"/>
        <item x="1"/>
        <item x="2"/>
      </items>
    </pivotField>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numFmtId="165" showAll="0" defaultSubtotal="0"/>
    <pivotField numFmtId="169" showAll="0" defaultSubtotal="0"/>
    <pivotField showAll="0" defaultSubtotal="0"/>
    <pivotField showAll="0" defaultSubtotal="0"/>
    <pivotField numFmtId="14" showAll="0" defaultSubtotal="0"/>
    <pivotField numFmtId="164" showAll="0" defaultSubtotal="0"/>
    <pivotField showAll="0" defaultSubtotal="0"/>
    <pivotField showAll="0" defaultSubtotal="0"/>
    <pivotField showAll="0" defaultSubtotal="0"/>
    <pivotField numFmtId="165" showAll="0" defaultSubtotal="0"/>
    <pivotField showAll="0" defaultSubtotal="0"/>
    <pivotField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s>
  <rowFields count="2">
    <field x="7"/>
    <field x="10"/>
  </rowFields>
  <rowItems count="9">
    <i>
      <x/>
    </i>
    <i r="1">
      <x v="3"/>
    </i>
    <i>
      <x v="1"/>
    </i>
    <i r="1">
      <x/>
    </i>
    <i>
      <x v="2"/>
    </i>
    <i r="1">
      <x v="1"/>
    </i>
    <i>
      <x v="3"/>
    </i>
    <i r="1">
      <x v="2"/>
    </i>
    <i t="grand">
      <x/>
    </i>
  </rowItems>
  <colItems count="1">
    <i/>
  </colItems>
  <pageFields count="1">
    <pageField fld="1" hier="-1"/>
  </pageFields>
  <dataFields count="1">
    <dataField name="Count of Case Number" fld="0" subtotal="count" baseField="0" baseItem="0"/>
  </dataFields>
  <formats count="20">
    <format dxfId="742">
      <pivotArea type="all" dataOnly="0" outline="0" fieldPosition="0"/>
    </format>
    <format dxfId="741">
      <pivotArea outline="0" collapsedLevelsAreSubtotals="1" fieldPosition="0"/>
    </format>
    <format dxfId="740">
      <pivotArea field="7" type="button" dataOnly="0" labelOnly="1" outline="0" axis="axisRow" fieldPosition="0"/>
    </format>
    <format dxfId="739">
      <pivotArea dataOnly="0" labelOnly="1" fieldPosition="0">
        <references count="1">
          <reference field="7" count="0"/>
        </references>
      </pivotArea>
    </format>
    <format dxfId="738">
      <pivotArea dataOnly="0" labelOnly="1" grandRow="1" outline="0" fieldPosition="0"/>
    </format>
    <format dxfId="737">
      <pivotArea dataOnly="0" labelOnly="1" fieldPosition="0">
        <references count="2">
          <reference field="7" count="1" selected="0">
            <x v="0"/>
          </reference>
          <reference field="10" count="1">
            <x v="3"/>
          </reference>
        </references>
      </pivotArea>
    </format>
    <format dxfId="736">
      <pivotArea dataOnly="0" labelOnly="1" fieldPosition="0">
        <references count="2">
          <reference field="7" count="1" selected="0">
            <x v="1"/>
          </reference>
          <reference field="10" count="1">
            <x v="0"/>
          </reference>
        </references>
      </pivotArea>
    </format>
    <format dxfId="735">
      <pivotArea dataOnly="0" labelOnly="1" fieldPosition="0">
        <references count="2">
          <reference field="7" count="1" selected="0">
            <x v="2"/>
          </reference>
          <reference field="10" count="1">
            <x v="1"/>
          </reference>
        </references>
      </pivotArea>
    </format>
    <format dxfId="734">
      <pivotArea dataOnly="0" labelOnly="1" fieldPosition="0">
        <references count="2">
          <reference field="7" count="1" selected="0">
            <x v="3"/>
          </reference>
          <reference field="10" count="1">
            <x v="2"/>
          </reference>
        </references>
      </pivotArea>
    </format>
    <format dxfId="733">
      <pivotArea dataOnly="0" labelOnly="1" outline="0" axis="axisValues" fieldPosition="0"/>
    </format>
    <format dxfId="732">
      <pivotArea type="all" dataOnly="0" outline="0" fieldPosition="0"/>
    </format>
    <format dxfId="731">
      <pivotArea outline="0" collapsedLevelsAreSubtotals="1" fieldPosition="0"/>
    </format>
    <format dxfId="730">
      <pivotArea field="7" type="button" dataOnly="0" labelOnly="1" outline="0" axis="axisRow" fieldPosition="0"/>
    </format>
    <format dxfId="729">
      <pivotArea dataOnly="0" labelOnly="1" fieldPosition="0">
        <references count="1">
          <reference field="7" count="0"/>
        </references>
      </pivotArea>
    </format>
    <format dxfId="728">
      <pivotArea dataOnly="0" labelOnly="1" grandRow="1" outline="0" fieldPosition="0"/>
    </format>
    <format dxfId="727">
      <pivotArea dataOnly="0" labelOnly="1" fieldPosition="0">
        <references count="2">
          <reference field="7" count="1" selected="0">
            <x v="0"/>
          </reference>
          <reference field="10" count="1">
            <x v="3"/>
          </reference>
        </references>
      </pivotArea>
    </format>
    <format dxfId="726">
      <pivotArea dataOnly="0" labelOnly="1" fieldPosition="0">
        <references count="2">
          <reference field="7" count="1" selected="0">
            <x v="1"/>
          </reference>
          <reference field="10" count="1">
            <x v="0"/>
          </reference>
        </references>
      </pivotArea>
    </format>
    <format dxfId="725">
      <pivotArea dataOnly="0" labelOnly="1" fieldPosition="0">
        <references count="2">
          <reference field="7" count="1" selected="0">
            <x v="2"/>
          </reference>
          <reference field="10" count="1">
            <x v="1"/>
          </reference>
        </references>
      </pivotArea>
    </format>
    <format dxfId="724">
      <pivotArea dataOnly="0" labelOnly="1" fieldPosition="0">
        <references count="2">
          <reference field="7" count="1" selected="0">
            <x v="3"/>
          </reference>
          <reference field="10" count="1">
            <x v="2"/>
          </reference>
        </references>
      </pivotArea>
    </format>
    <format dxfId="723">
      <pivotArea dataOnly="0" labelOnly="1" outline="0" axis="axisValues" fieldPosition="0"/>
    </format>
  </formats>
  <chartFormats count="1">
    <chartFormat chart="0" format="17" series="1">
      <pivotArea type="data" outline="0" fieldPosition="0">
        <references count="1">
          <reference field="4294967294" count="1" selected="0">
            <x v="0"/>
          </reference>
        </references>
      </pivotArea>
    </chartFormat>
  </chartFormats>
  <pivotTableStyleInfo name="PivotStyleLight17 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8AB0191-BDE7-4577-A756-80BAA425102B}" name="PivotTable9" cacheId="6"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A4:B21" firstHeaderRow="1" firstDataRow="1" firstDataCol="1" rowPageCount="1" colPageCount="1"/>
  <pivotFields count="58">
    <pivotField dataField="1" showAll="0" defaultSubtotal="0"/>
    <pivotField axis="axisPage" numFmtId="165" showAll="0" defaultSubtotal="0">
      <items count="10">
        <item x="0"/>
        <item x="1"/>
        <item x="2"/>
        <item x="3"/>
        <item x="4"/>
        <item x="5"/>
        <item x="6"/>
        <item x="7"/>
        <item x="8"/>
        <item x="9"/>
      </items>
    </pivotField>
    <pivotField showAll="0" defaultSubtotal="0"/>
    <pivotField showAll="0" defaultSubtotal="0"/>
    <pivotField numFmtId="166" showAll="0" defaultSubtotal="0"/>
    <pivotField numFmtId="166" showAll="0" defaultSubtotal="0"/>
    <pivotField numFmtId="166" showAll="0" defaultSubtotal="0"/>
    <pivotField axis="axisRow" showAll="0" defaultSubtotal="0">
      <items count="5">
        <item x="4"/>
        <item x="2"/>
        <item x="1"/>
        <item x="0"/>
        <item x="3"/>
      </items>
    </pivotField>
    <pivotField numFmtId="167" showAll="0" defaultSubtotal="0"/>
    <pivotField numFmtId="166" showAll="0" defaultSubtotal="0"/>
    <pivotField axis="axisRow" numFmtId="169" showAll="0" defaultSubtotal="0">
      <items count="9">
        <item x="5"/>
        <item x="7"/>
        <item x="3"/>
        <item x="8"/>
        <item x="1"/>
        <item x="4"/>
        <item x="6"/>
        <item x="2"/>
        <item x="0"/>
      </items>
    </pivotField>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numFmtId="165" showAll="0" defaultSubtotal="0"/>
    <pivotField numFmtId="169" showAll="0" defaultSubtotal="0"/>
    <pivotField showAll="0" defaultSubtotal="0"/>
    <pivotField showAll="0" defaultSubtotal="0"/>
    <pivotField numFmtId="14" showAll="0" defaultSubtotal="0"/>
    <pivotField numFmtId="164" showAll="0" defaultSubtotal="0"/>
    <pivotField showAll="0" defaultSubtotal="0"/>
    <pivotField showAll="0" defaultSubtotal="0"/>
    <pivotField showAll="0" defaultSubtotal="0"/>
    <pivotField numFmtId="165" showAll="0" defaultSubtotal="0"/>
    <pivotField showAll="0" defaultSubtotal="0"/>
    <pivotField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s>
  <rowFields count="2">
    <field x="7"/>
    <field x="10"/>
  </rowFields>
  <rowItems count="17">
    <i>
      <x/>
    </i>
    <i r="1">
      <x v="2"/>
    </i>
    <i r="1">
      <x v="3"/>
    </i>
    <i r="1">
      <x v="6"/>
    </i>
    <i>
      <x v="1"/>
    </i>
    <i r="1">
      <x v="5"/>
    </i>
    <i r="1">
      <x v="7"/>
    </i>
    <i>
      <x v="2"/>
    </i>
    <i r="1">
      <x v="2"/>
    </i>
    <i r="1">
      <x v="4"/>
    </i>
    <i>
      <x v="3"/>
    </i>
    <i r="1">
      <x v="1"/>
    </i>
    <i r="1">
      <x v="4"/>
    </i>
    <i r="1">
      <x v="8"/>
    </i>
    <i>
      <x v="4"/>
    </i>
    <i r="1">
      <x/>
    </i>
    <i t="grand">
      <x/>
    </i>
  </rowItems>
  <colItems count="1">
    <i/>
  </colItems>
  <pageFields count="1">
    <pageField fld="1" hier="-1"/>
  </pageFields>
  <dataFields count="1">
    <dataField name="Count of Case Number" fld="0" subtotal="count" baseField="0" baseItem="0"/>
  </dataFields>
  <formats count="22">
    <format dxfId="588">
      <pivotArea type="all" dataOnly="0" outline="0" fieldPosition="0"/>
    </format>
    <format dxfId="587">
      <pivotArea outline="0" collapsedLevelsAreSubtotals="1" fieldPosition="0"/>
    </format>
    <format dxfId="586">
      <pivotArea field="7" type="button" dataOnly="0" labelOnly="1" outline="0" axis="axisRow" fieldPosition="0"/>
    </format>
    <format dxfId="585">
      <pivotArea dataOnly="0" labelOnly="1" fieldPosition="0">
        <references count="1">
          <reference field="7" count="0"/>
        </references>
      </pivotArea>
    </format>
    <format dxfId="584">
      <pivotArea dataOnly="0" labelOnly="1" grandRow="1" outline="0" fieldPosition="0"/>
    </format>
    <format dxfId="583">
      <pivotArea dataOnly="0" labelOnly="1" fieldPosition="0">
        <references count="2">
          <reference field="7" count="1" selected="0">
            <x v="0"/>
          </reference>
          <reference field="10" count="3">
            <x v="2"/>
            <x v="3"/>
            <x v="6"/>
          </reference>
        </references>
      </pivotArea>
    </format>
    <format dxfId="582">
      <pivotArea dataOnly="0" labelOnly="1" fieldPosition="0">
        <references count="2">
          <reference field="7" count="1" selected="0">
            <x v="1"/>
          </reference>
          <reference field="10" count="2">
            <x v="5"/>
            <x v="7"/>
          </reference>
        </references>
      </pivotArea>
    </format>
    <format dxfId="581">
      <pivotArea dataOnly="0" labelOnly="1" fieldPosition="0">
        <references count="2">
          <reference field="7" count="1" selected="0">
            <x v="2"/>
          </reference>
          <reference field="10" count="2">
            <x v="2"/>
            <x v="4"/>
          </reference>
        </references>
      </pivotArea>
    </format>
    <format dxfId="580">
      <pivotArea dataOnly="0" labelOnly="1" fieldPosition="0">
        <references count="2">
          <reference field="7" count="1" selected="0">
            <x v="3"/>
          </reference>
          <reference field="10" count="3">
            <x v="1"/>
            <x v="4"/>
            <x v="8"/>
          </reference>
        </references>
      </pivotArea>
    </format>
    <format dxfId="579">
      <pivotArea dataOnly="0" labelOnly="1" fieldPosition="0">
        <references count="2">
          <reference field="7" count="1" selected="0">
            <x v="4"/>
          </reference>
          <reference field="10" count="1">
            <x v="0"/>
          </reference>
        </references>
      </pivotArea>
    </format>
    <format dxfId="578">
      <pivotArea dataOnly="0" labelOnly="1" outline="0" axis="axisValues" fieldPosition="0"/>
    </format>
    <format dxfId="577">
      <pivotArea type="all" dataOnly="0" outline="0" fieldPosition="0"/>
    </format>
    <format dxfId="576">
      <pivotArea outline="0" collapsedLevelsAreSubtotals="1" fieldPosition="0"/>
    </format>
    <format dxfId="575">
      <pivotArea field="7" type="button" dataOnly="0" labelOnly="1" outline="0" axis="axisRow" fieldPosition="0"/>
    </format>
    <format dxfId="574">
      <pivotArea dataOnly="0" labelOnly="1" fieldPosition="0">
        <references count="1">
          <reference field="7" count="0"/>
        </references>
      </pivotArea>
    </format>
    <format dxfId="573">
      <pivotArea dataOnly="0" labelOnly="1" grandRow="1" outline="0" fieldPosition="0"/>
    </format>
    <format dxfId="572">
      <pivotArea dataOnly="0" labelOnly="1" fieldPosition="0">
        <references count="2">
          <reference field="7" count="1" selected="0">
            <x v="0"/>
          </reference>
          <reference field="10" count="3">
            <x v="2"/>
            <x v="3"/>
            <x v="6"/>
          </reference>
        </references>
      </pivotArea>
    </format>
    <format dxfId="571">
      <pivotArea dataOnly="0" labelOnly="1" fieldPosition="0">
        <references count="2">
          <reference field="7" count="1" selected="0">
            <x v="1"/>
          </reference>
          <reference field="10" count="2">
            <x v="5"/>
            <x v="7"/>
          </reference>
        </references>
      </pivotArea>
    </format>
    <format dxfId="570">
      <pivotArea dataOnly="0" labelOnly="1" fieldPosition="0">
        <references count="2">
          <reference field="7" count="1" selected="0">
            <x v="2"/>
          </reference>
          <reference field="10" count="2">
            <x v="2"/>
            <x v="4"/>
          </reference>
        </references>
      </pivotArea>
    </format>
    <format dxfId="569">
      <pivotArea dataOnly="0" labelOnly="1" fieldPosition="0">
        <references count="2">
          <reference field="7" count="1" selected="0">
            <x v="3"/>
          </reference>
          <reference field="10" count="3">
            <x v="1"/>
            <x v="4"/>
            <x v="8"/>
          </reference>
        </references>
      </pivotArea>
    </format>
    <format dxfId="568">
      <pivotArea dataOnly="0" labelOnly="1" fieldPosition="0">
        <references count="2">
          <reference field="7" count="1" selected="0">
            <x v="4"/>
          </reference>
          <reference field="10" count="1">
            <x v="0"/>
          </reference>
        </references>
      </pivotArea>
    </format>
    <format dxfId="567">
      <pivotArea dataOnly="0" labelOnly="1" outline="0" axis="axisValues" fieldPosition="0"/>
    </format>
  </formats>
  <chartFormats count="1">
    <chartFormat chart="0" format="15" series="1">
      <pivotArea type="data" outline="0" fieldPosition="0">
        <references count="1">
          <reference field="4294967294" count="1" selected="0">
            <x v="0"/>
          </reference>
        </references>
      </pivotArea>
    </chartFormat>
  </chartFormats>
  <pivotTableStyleInfo name="PivotStyleLight17 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ACFA140-D833-4833-BC45-8F6269E74781}" name="PivotTable11" cacheId="6"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G4:H8" firstHeaderRow="1" firstDataRow="1" firstDataCol="1" rowPageCount="1" colPageCount="1"/>
  <pivotFields count="58">
    <pivotField dataField="1" showAll="0" defaultSubtotal="0"/>
    <pivotField axis="axisPage" numFmtId="165" multipleItemSelectionAllowed="1" showAll="0" defaultSubtotal="0">
      <items count="10">
        <item h="1" x="0"/>
        <item h="1" x="1"/>
        <item h="1" x="2"/>
        <item h="1" x="3"/>
        <item h="1" x="4"/>
        <item h="1" x="5"/>
        <item h="1" x="6"/>
        <item h="1" x="7"/>
        <item h="1" x="8"/>
        <item x="9"/>
      </items>
    </pivotField>
    <pivotField showAll="0" defaultSubtotal="0"/>
    <pivotField showAll="0" defaultSubtotal="0"/>
    <pivotField numFmtId="166" showAll="0" defaultSubtotal="0"/>
    <pivotField numFmtId="166" showAll="0" defaultSubtotal="0"/>
    <pivotField numFmtId="166" showAll="0" defaultSubtotal="0"/>
    <pivotField axis="axisRow" showAll="0" defaultSubtotal="0">
      <items count="5">
        <item x="4"/>
        <item x="2"/>
        <item x="1"/>
        <item x="0"/>
        <item x="3"/>
      </items>
    </pivotField>
    <pivotField numFmtId="167" showAll="0" defaultSubtotal="0"/>
    <pivotField numFmtId="166" showAll="0" defaultSubtotal="0"/>
    <pivotField axis="axisRow" numFmtId="169" showAll="0" defaultSubtotal="0">
      <items count="9">
        <item x="5"/>
        <item x="7"/>
        <item x="3"/>
        <item x="8"/>
        <item x="1"/>
        <item x="4"/>
        <item x="6"/>
        <item x="2"/>
        <item x="0"/>
      </items>
    </pivotField>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numFmtId="165" showAll="0" defaultSubtotal="0"/>
    <pivotField numFmtId="169" showAll="0" defaultSubtotal="0"/>
    <pivotField showAll="0" defaultSubtotal="0"/>
    <pivotField showAll="0" defaultSubtotal="0"/>
    <pivotField numFmtId="14" showAll="0" defaultSubtotal="0"/>
    <pivotField numFmtId="164" showAll="0" defaultSubtotal="0"/>
    <pivotField showAll="0" defaultSubtotal="0"/>
    <pivotField showAll="0" defaultSubtotal="0"/>
    <pivotField showAll="0" defaultSubtotal="0"/>
    <pivotField numFmtId="165" showAll="0" defaultSubtotal="0"/>
    <pivotField showAll="0" defaultSubtotal="0"/>
    <pivotField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s>
  <rowFields count="2">
    <field x="7"/>
    <field x="10"/>
  </rowFields>
  <rowItems count="4">
    <i>
      <x/>
    </i>
    <i r="1">
      <x v="2"/>
    </i>
    <i r="1">
      <x v="3"/>
    </i>
    <i t="grand">
      <x/>
    </i>
  </rowItems>
  <colItems count="1">
    <i/>
  </colItems>
  <pageFields count="1">
    <pageField fld="1" hier="-1"/>
  </pageFields>
  <dataFields count="1">
    <dataField name="Count of Case Number" fld="0" subtotal="count" baseField="0" baseItem="0"/>
  </dataFields>
  <formats count="22">
    <format dxfId="610">
      <pivotArea type="all" dataOnly="0" outline="0" fieldPosition="0"/>
    </format>
    <format dxfId="609">
      <pivotArea outline="0" collapsedLevelsAreSubtotals="1" fieldPosition="0"/>
    </format>
    <format dxfId="608">
      <pivotArea field="7" type="button" dataOnly="0" labelOnly="1" outline="0" axis="axisRow" fieldPosition="0"/>
    </format>
    <format dxfId="607">
      <pivotArea dataOnly="0" labelOnly="1" fieldPosition="0">
        <references count="1">
          <reference field="7" count="0"/>
        </references>
      </pivotArea>
    </format>
    <format dxfId="606">
      <pivotArea dataOnly="0" labelOnly="1" grandRow="1" outline="0" fieldPosition="0"/>
    </format>
    <format dxfId="605">
      <pivotArea dataOnly="0" labelOnly="1" fieldPosition="0">
        <references count="2">
          <reference field="7" count="1" selected="0">
            <x v="0"/>
          </reference>
          <reference field="10" count="3">
            <x v="2"/>
            <x v="3"/>
            <x v="6"/>
          </reference>
        </references>
      </pivotArea>
    </format>
    <format dxfId="604">
      <pivotArea dataOnly="0" labelOnly="1" fieldPosition="0">
        <references count="2">
          <reference field="7" count="1" selected="0">
            <x v="1"/>
          </reference>
          <reference field="10" count="2">
            <x v="5"/>
            <x v="7"/>
          </reference>
        </references>
      </pivotArea>
    </format>
    <format dxfId="603">
      <pivotArea dataOnly="0" labelOnly="1" fieldPosition="0">
        <references count="2">
          <reference field="7" count="1" selected="0">
            <x v="2"/>
          </reference>
          <reference field="10" count="2">
            <x v="2"/>
            <x v="4"/>
          </reference>
        </references>
      </pivotArea>
    </format>
    <format dxfId="602">
      <pivotArea dataOnly="0" labelOnly="1" fieldPosition="0">
        <references count="2">
          <reference field="7" count="1" selected="0">
            <x v="3"/>
          </reference>
          <reference field="10" count="3">
            <x v="1"/>
            <x v="4"/>
            <x v="8"/>
          </reference>
        </references>
      </pivotArea>
    </format>
    <format dxfId="601">
      <pivotArea dataOnly="0" labelOnly="1" fieldPosition="0">
        <references count="2">
          <reference field="7" count="1" selected="0">
            <x v="4"/>
          </reference>
          <reference field="10" count="1">
            <x v="0"/>
          </reference>
        </references>
      </pivotArea>
    </format>
    <format dxfId="600">
      <pivotArea dataOnly="0" labelOnly="1" outline="0" axis="axisValues" fieldPosition="0"/>
    </format>
    <format dxfId="599">
      <pivotArea type="all" dataOnly="0" outline="0" fieldPosition="0"/>
    </format>
    <format dxfId="598">
      <pivotArea outline="0" collapsedLevelsAreSubtotals="1" fieldPosition="0"/>
    </format>
    <format dxfId="597">
      <pivotArea field="7" type="button" dataOnly="0" labelOnly="1" outline="0" axis="axisRow" fieldPosition="0"/>
    </format>
    <format dxfId="596">
      <pivotArea dataOnly="0" labelOnly="1" fieldPosition="0">
        <references count="1">
          <reference field="7" count="0"/>
        </references>
      </pivotArea>
    </format>
    <format dxfId="595">
      <pivotArea dataOnly="0" labelOnly="1" grandRow="1" outline="0" fieldPosition="0"/>
    </format>
    <format dxfId="594">
      <pivotArea dataOnly="0" labelOnly="1" fieldPosition="0">
        <references count="2">
          <reference field="7" count="1" selected="0">
            <x v="0"/>
          </reference>
          <reference field="10" count="3">
            <x v="2"/>
            <x v="3"/>
            <x v="6"/>
          </reference>
        </references>
      </pivotArea>
    </format>
    <format dxfId="593">
      <pivotArea dataOnly="0" labelOnly="1" fieldPosition="0">
        <references count="2">
          <reference field="7" count="1" selected="0">
            <x v="1"/>
          </reference>
          <reference field="10" count="2">
            <x v="5"/>
            <x v="7"/>
          </reference>
        </references>
      </pivotArea>
    </format>
    <format dxfId="592">
      <pivotArea dataOnly="0" labelOnly="1" fieldPosition="0">
        <references count="2">
          <reference field="7" count="1" selected="0">
            <x v="2"/>
          </reference>
          <reference field="10" count="2">
            <x v="2"/>
            <x v="4"/>
          </reference>
        </references>
      </pivotArea>
    </format>
    <format dxfId="591">
      <pivotArea dataOnly="0" labelOnly="1" fieldPosition="0">
        <references count="2">
          <reference field="7" count="1" selected="0">
            <x v="3"/>
          </reference>
          <reference field="10" count="3">
            <x v="1"/>
            <x v="4"/>
            <x v="8"/>
          </reference>
        </references>
      </pivotArea>
    </format>
    <format dxfId="590">
      <pivotArea dataOnly="0" labelOnly="1" fieldPosition="0">
        <references count="2">
          <reference field="7" count="1" selected="0">
            <x v="4"/>
          </reference>
          <reference field="10" count="1">
            <x v="0"/>
          </reference>
        </references>
      </pivotArea>
    </format>
    <format dxfId="589">
      <pivotArea dataOnly="0" labelOnly="1" outline="0" axis="axisValues" fieldPosition="0"/>
    </format>
  </formats>
  <chartFormats count="1">
    <chartFormat chart="0" format="18" series="1">
      <pivotArea type="data" outline="0" fieldPosition="0">
        <references count="1">
          <reference field="4294967294" count="1" selected="0">
            <x v="0"/>
          </reference>
        </references>
      </pivotArea>
    </chartFormat>
  </chartFormats>
  <pivotTableStyleInfo name="PivotStyleLight17"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1F002EF-402C-43D1-97CE-5F94E9280660}" name="PivotTable10" cacheId="6"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D4:E16" firstHeaderRow="1" firstDataRow="1" firstDataCol="1" rowPageCount="1" colPageCount="1"/>
  <pivotFields count="58">
    <pivotField dataField="1" showAll="0" defaultSubtotal="0"/>
    <pivotField axis="axisPage" numFmtId="165" multipleItemSelectionAllowed="1" showAll="0" defaultSubtotal="0">
      <items count="10">
        <item h="1" x="0"/>
        <item h="1" x="1"/>
        <item h="1" x="2"/>
        <item h="1" x="3"/>
        <item x="4"/>
        <item x="5"/>
        <item x="6"/>
        <item x="7"/>
        <item x="8"/>
        <item x="9"/>
      </items>
    </pivotField>
    <pivotField showAll="0" defaultSubtotal="0"/>
    <pivotField showAll="0" defaultSubtotal="0"/>
    <pivotField numFmtId="166" showAll="0" defaultSubtotal="0"/>
    <pivotField numFmtId="166" showAll="0" defaultSubtotal="0"/>
    <pivotField numFmtId="166" showAll="0" defaultSubtotal="0"/>
    <pivotField axis="axisRow" showAll="0" defaultSubtotal="0">
      <items count="5">
        <item x="4"/>
        <item x="2"/>
        <item x="1"/>
        <item x="0"/>
        <item x="3"/>
      </items>
    </pivotField>
    <pivotField numFmtId="167" showAll="0" defaultSubtotal="0"/>
    <pivotField numFmtId="166" showAll="0" defaultSubtotal="0"/>
    <pivotField axis="axisRow" numFmtId="169" showAll="0" defaultSubtotal="0">
      <items count="9">
        <item x="5"/>
        <item x="7"/>
        <item x="3"/>
        <item x="8"/>
        <item x="1"/>
        <item x="4"/>
        <item x="6"/>
        <item x="2"/>
        <item x="0"/>
      </items>
    </pivotField>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numFmtId="165" showAll="0" defaultSubtotal="0"/>
    <pivotField numFmtId="169" showAll="0" defaultSubtotal="0"/>
    <pivotField showAll="0" defaultSubtotal="0"/>
    <pivotField showAll="0" defaultSubtotal="0"/>
    <pivotField numFmtId="14" showAll="0" defaultSubtotal="0"/>
    <pivotField numFmtId="164" showAll="0" defaultSubtotal="0"/>
    <pivotField showAll="0" defaultSubtotal="0"/>
    <pivotField showAll="0" defaultSubtotal="0"/>
    <pivotField showAll="0" defaultSubtotal="0"/>
    <pivotField numFmtId="165" showAll="0" defaultSubtotal="0"/>
    <pivotField showAll="0" defaultSubtotal="0"/>
    <pivotField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s>
  <rowFields count="2">
    <field x="7"/>
    <field x="10"/>
  </rowFields>
  <rowItems count="12">
    <i>
      <x/>
    </i>
    <i r="1">
      <x v="2"/>
    </i>
    <i r="1">
      <x v="3"/>
    </i>
    <i r="1">
      <x v="6"/>
    </i>
    <i>
      <x v="1"/>
    </i>
    <i r="1">
      <x v="5"/>
    </i>
    <i>
      <x v="3"/>
    </i>
    <i r="1">
      <x v="1"/>
    </i>
    <i r="1">
      <x v="4"/>
    </i>
    <i>
      <x v="4"/>
    </i>
    <i r="1">
      <x/>
    </i>
    <i t="grand">
      <x/>
    </i>
  </rowItems>
  <colItems count="1">
    <i/>
  </colItems>
  <pageFields count="1">
    <pageField fld="1" hier="-1"/>
  </pageFields>
  <dataFields count="1">
    <dataField name="Count of Case Number" fld="0" subtotal="count" baseField="0" baseItem="0"/>
  </dataFields>
  <formats count="22">
    <format dxfId="632">
      <pivotArea type="all" dataOnly="0" outline="0" fieldPosition="0"/>
    </format>
    <format dxfId="631">
      <pivotArea outline="0" collapsedLevelsAreSubtotals="1" fieldPosition="0"/>
    </format>
    <format dxfId="630">
      <pivotArea field="7" type="button" dataOnly="0" labelOnly="1" outline="0" axis="axisRow" fieldPosition="0"/>
    </format>
    <format dxfId="629">
      <pivotArea dataOnly="0" labelOnly="1" fieldPosition="0">
        <references count="1">
          <reference field="7" count="0"/>
        </references>
      </pivotArea>
    </format>
    <format dxfId="628">
      <pivotArea dataOnly="0" labelOnly="1" grandRow="1" outline="0" fieldPosition="0"/>
    </format>
    <format dxfId="627">
      <pivotArea dataOnly="0" labelOnly="1" fieldPosition="0">
        <references count="2">
          <reference field="7" count="1" selected="0">
            <x v="0"/>
          </reference>
          <reference field="10" count="3">
            <x v="2"/>
            <x v="3"/>
            <x v="6"/>
          </reference>
        </references>
      </pivotArea>
    </format>
    <format dxfId="626">
      <pivotArea dataOnly="0" labelOnly="1" fieldPosition="0">
        <references count="2">
          <reference field="7" count="1" selected="0">
            <x v="1"/>
          </reference>
          <reference field="10" count="2">
            <x v="5"/>
            <x v="7"/>
          </reference>
        </references>
      </pivotArea>
    </format>
    <format dxfId="625">
      <pivotArea dataOnly="0" labelOnly="1" fieldPosition="0">
        <references count="2">
          <reference field="7" count="1" selected="0">
            <x v="2"/>
          </reference>
          <reference field="10" count="2">
            <x v="2"/>
            <x v="4"/>
          </reference>
        </references>
      </pivotArea>
    </format>
    <format dxfId="624">
      <pivotArea dataOnly="0" labelOnly="1" fieldPosition="0">
        <references count="2">
          <reference field="7" count="1" selected="0">
            <x v="3"/>
          </reference>
          <reference field="10" count="3">
            <x v="1"/>
            <x v="4"/>
            <x v="8"/>
          </reference>
        </references>
      </pivotArea>
    </format>
    <format dxfId="623">
      <pivotArea dataOnly="0" labelOnly="1" fieldPosition="0">
        <references count="2">
          <reference field="7" count="1" selected="0">
            <x v="4"/>
          </reference>
          <reference field="10" count="1">
            <x v="0"/>
          </reference>
        </references>
      </pivotArea>
    </format>
    <format dxfId="622">
      <pivotArea dataOnly="0" labelOnly="1" outline="0" axis="axisValues" fieldPosition="0"/>
    </format>
    <format dxfId="621">
      <pivotArea type="all" dataOnly="0" outline="0" fieldPosition="0"/>
    </format>
    <format dxfId="620">
      <pivotArea outline="0" collapsedLevelsAreSubtotals="1" fieldPosition="0"/>
    </format>
    <format dxfId="619">
      <pivotArea field="7" type="button" dataOnly="0" labelOnly="1" outline="0" axis="axisRow" fieldPosition="0"/>
    </format>
    <format dxfId="618">
      <pivotArea dataOnly="0" labelOnly="1" fieldPosition="0">
        <references count="1">
          <reference field="7" count="0"/>
        </references>
      </pivotArea>
    </format>
    <format dxfId="617">
      <pivotArea dataOnly="0" labelOnly="1" grandRow="1" outline="0" fieldPosition="0"/>
    </format>
    <format dxfId="616">
      <pivotArea dataOnly="0" labelOnly="1" fieldPosition="0">
        <references count="2">
          <reference field="7" count="1" selected="0">
            <x v="0"/>
          </reference>
          <reference field="10" count="3">
            <x v="2"/>
            <x v="3"/>
            <x v="6"/>
          </reference>
        </references>
      </pivotArea>
    </format>
    <format dxfId="615">
      <pivotArea dataOnly="0" labelOnly="1" fieldPosition="0">
        <references count="2">
          <reference field="7" count="1" selected="0">
            <x v="1"/>
          </reference>
          <reference field="10" count="2">
            <x v="5"/>
            <x v="7"/>
          </reference>
        </references>
      </pivotArea>
    </format>
    <format dxfId="614">
      <pivotArea dataOnly="0" labelOnly="1" fieldPosition="0">
        <references count="2">
          <reference field="7" count="1" selected="0">
            <x v="2"/>
          </reference>
          <reference field="10" count="2">
            <x v="2"/>
            <x v="4"/>
          </reference>
        </references>
      </pivotArea>
    </format>
    <format dxfId="613">
      <pivotArea dataOnly="0" labelOnly="1" fieldPosition="0">
        <references count="2">
          <reference field="7" count="1" selected="0">
            <x v="3"/>
          </reference>
          <reference field="10" count="3">
            <x v="1"/>
            <x v="4"/>
            <x v="8"/>
          </reference>
        </references>
      </pivotArea>
    </format>
    <format dxfId="612">
      <pivotArea dataOnly="0" labelOnly="1" fieldPosition="0">
        <references count="2">
          <reference field="7" count="1" selected="0">
            <x v="4"/>
          </reference>
          <reference field="10" count="1">
            <x v="0"/>
          </reference>
        </references>
      </pivotArea>
    </format>
    <format dxfId="611">
      <pivotArea dataOnly="0" labelOnly="1" outline="0" axis="axisValues" fieldPosition="0"/>
    </format>
  </formats>
  <chartFormats count="1">
    <chartFormat chart="0" format="18" series="1">
      <pivotArea type="data" outline="0" fieldPosition="0">
        <references count="1">
          <reference field="4294967294" count="1" selected="0">
            <x v="0"/>
          </reference>
        </references>
      </pivotArea>
    </chartFormat>
  </chartFormats>
  <pivotTableStyleInfo name="PivotStyleLight19"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3C109E0-82E8-4DFE-8EF2-DFA7BF91E919}" name="PivotTable13" cacheId="7"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D4:E9" firstHeaderRow="1" firstDataRow="1" firstDataCol="1" rowPageCount="1" colPageCount="1"/>
  <pivotFields count="58">
    <pivotField dataField="1" showAll="0" defaultSubtotal="0"/>
    <pivotField axis="axisPage" numFmtId="165" multipleItemSelectionAllowed="1" showAll="0" defaultSubtotal="0">
      <items count="5">
        <item h="1" x="0"/>
        <item h="1" x="1"/>
        <item h="1" x="2"/>
        <item x="3"/>
        <item x="4"/>
      </items>
    </pivotField>
    <pivotField showAll="0" defaultSubtotal="0"/>
    <pivotField showAll="0" defaultSubtotal="0"/>
    <pivotField numFmtId="166" showAll="0" defaultSubtotal="0"/>
    <pivotField numFmtId="166" showAll="0" defaultSubtotal="0"/>
    <pivotField numFmtId="166" showAll="0" defaultSubtotal="0"/>
    <pivotField axis="axisRow" showAll="0" defaultSubtotal="0">
      <items count="4">
        <item x="3"/>
        <item x="0"/>
        <item x="1"/>
        <item x="2"/>
      </items>
    </pivotField>
    <pivotField numFmtId="167" showAll="0" defaultSubtotal="0"/>
    <pivotField numFmtId="166" showAll="0" defaultSubtotal="0"/>
    <pivotField axis="axisRow" numFmtId="169" showAll="0" defaultSubtotal="0">
      <items count="5">
        <item x="0"/>
        <item x="1"/>
        <item x="4"/>
        <item x="3"/>
        <item x="2"/>
      </items>
    </pivotField>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numFmtId="164" showAll="0" defaultSubtotal="0"/>
    <pivotField showAll="0" defaultSubtotal="0"/>
    <pivotField showAll="0" defaultSubtotal="0"/>
    <pivotField showAll="0" defaultSubtotal="0"/>
    <pivotField numFmtId="165" showAll="0" defaultSubtotal="0"/>
    <pivotField showAll="0" defaultSubtotal="0"/>
    <pivotField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s>
  <rowFields count="2">
    <field x="7"/>
    <field x="10"/>
  </rowFields>
  <rowItems count="5">
    <i>
      <x/>
    </i>
    <i r="1">
      <x v="3"/>
    </i>
    <i>
      <x v="1"/>
    </i>
    <i r="1">
      <x v="2"/>
    </i>
    <i t="grand">
      <x/>
    </i>
  </rowItems>
  <colItems count="1">
    <i/>
  </colItems>
  <pageFields count="1">
    <pageField fld="1" hier="-1"/>
  </pageFields>
  <dataFields count="1">
    <dataField name="Count of Case Number" fld="0" subtotal="count" baseField="0" baseItem="0"/>
  </dataFields>
  <formats count="2">
    <format dxfId="511">
      <pivotArea type="all" dataOnly="0" outline="0" fieldPosition="0"/>
    </format>
    <format dxfId="510">
      <pivotArea type="all" dataOnly="0" outline="0" fieldPosition="0"/>
    </format>
  </formats>
  <chartFormats count="1">
    <chartFormat chart="0" format="18" series="1">
      <pivotArea type="data" outline="0" fieldPosition="0">
        <references count="1">
          <reference field="4294967294" count="1" selected="0">
            <x v="0"/>
          </reference>
        </references>
      </pivotArea>
    </chartFormat>
  </chartFormats>
  <pivotTableStyleInfo name="PivotStyleLight19"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0B8DE3E-BA15-4137-9E75-9220C253727F}" name="PivotTable12" cacheId="7"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4:B14" firstHeaderRow="1" firstDataRow="1" firstDataCol="1" rowPageCount="1" colPageCount="1"/>
  <pivotFields count="58">
    <pivotField dataField="1" showAll="0" defaultSubtotal="0"/>
    <pivotField axis="axisPage" numFmtId="165" showAll="0" defaultSubtotal="0">
      <items count="5">
        <item x="0"/>
        <item x="1"/>
        <item x="2"/>
        <item x="3"/>
        <item x="4"/>
      </items>
    </pivotField>
    <pivotField showAll="0" defaultSubtotal="0"/>
    <pivotField showAll="0" defaultSubtotal="0"/>
    <pivotField numFmtId="166" showAll="0" defaultSubtotal="0"/>
    <pivotField numFmtId="166" showAll="0" defaultSubtotal="0"/>
    <pivotField numFmtId="166" showAll="0" defaultSubtotal="0"/>
    <pivotField axis="axisRow" showAll="0" defaultSubtotal="0">
      <items count="4">
        <item x="3"/>
        <item x="0"/>
        <item x="1"/>
        <item x="2"/>
      </items>
    </pivotField>
    <pivotField numFmtId="167" showAll="0" defaultSubtotal="0"/>
    <pivotField numFmtId="166" showAll="0" defaultSubtotal="0"/>
    <pivotField axis="axisRow" numFmtId="169" showAll="0" defaultSubtotal="0">
      <items count="5">
        <item x="0"/>
        <item x="1"/>
        <item x="4"/>
        <item x="3"/>
        <item x="2"/>
      </items>
    </pivotField>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numFmtId="164" showAll="0" defaultSubtotal="0"/>
    <pivotField showAll="0" defaultSubtotal="0"/>
    <pivotField showAll="0" defaultSubtotal="0"/>
    <pivotField showAll="0" defaultSubtotal="0"/>
    <pivotField numFmtId="165" showAll="0" defaultSubtotal="0"/>
    <pivotField showAll="0" defaultSubtotal="0"/>
    <pivotField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s>
  <rowFields count="2">
    <field x="7"/>
    <field x="10"/>
  </rowFields>
  <rowItems count="10">
    <i>
      <x/>
    </i>
    <i r="1">
      <x v="3"/>
    </i>
    <i>
      <x v="1"/>
    </i>
    <i r="1">
      <x/>
    </i>
    <i r="1">
      <x v="2"/>
    </i>
    <i>
      <x v="2"/>
    </i>
    <i r="1">
      <x v="1"/>
    </i>
    <i>
      <x v="3"/>
    </i>
    <i r="1">
      <x v="4"/>
    </i>
    <i t="grand">
      <x/>
    </i>
  </rowItems>
  <colItems count="1">
    <i/>
  </colItems>
  <pageFields count="1">
    <pageField fld="1" hier="-1"/>
  </pageFields>
  <dataFields count="1">
    <dataField name="Count of Case Number" fld="0" subtotal="count" baseField="0" baseItem="0"/>
  </dataFields>
  <formats count="2">
    <format dxfId="513">
      <pivotArea type="all" dataOnly="0" outline="0" fieldPosition="0"/>
    </format>
    <format dxfId="512">
      <pivotArea type="all" dataOnly="0" outline="0" fieldPosition="0"/>
    </format>
  </formats>
  <chartFormats count="1">
    <chartFormat chart="0" format="9" series="1">
      <pivotArea type="data" outline="0" fieldPosition="0">
        <references count="1">
          <reference field="4294967294" count="1" selected="0">
            <x v="0"/>
          </reference>
        </references>
      </pivotArea>
    </chartFormat>
  </chartFormats>
  <pivotTableStyleInfo name="PivotStyleLight17 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7211379-58C7-4793-8999-09DEC8BA76A6}" name="PivotTable14" cacheId="7" applyNumberFormats="0" applyBorderFormats="0" applyFontFormats="0" applyPatternFormats="0" applyAlignmentFormats="0" applyWidthHeightFormats="1" dataCaption="Values" updatedVersion="8" minRefreshableVersion="3" useAutoFormatting="1" itemPrintTitles="1" createdVersion="8" indent="0" multipleFieldFilters="0">
  <location ref="G4:H14" firstHeaderRow="1" firstDataRow="1" firstDataCol="1" rowPageCount="1" colPageCount="1"/>
  <pivotFields count="58">
    <pivotField dataField="1" showAll="0" defaultSubtotal="0"/>
    <pivotField axis="axisPage" numFmtId="165" showAll="0" defaultSubtotal="0">
      <items count="5">
        <item x="0"/>
        <item x="1"/>
        <item x="2"/>
        <item x="3"/>
        <item x="4"/>
      </items>
    </pivotField>
    <pivotField showAll="0" defaultSubtotal="0"/>
    <pivotField showAll="0" defaultSubtotal="0"/>
    <pivotField numFmtId="166" showAll="0" defaultSubtotal="0"/>
    <pivotField numFmtId="166" showAll="0" defaultSubtotal="0"/>
    <pivotField numFmtId="166" showAll="0" defaultSubtotal="0"/>
    <pivotField axis="axisRow" showAll="0" defaultSubtotal="0">
      <items count="4">
        <item x="3"/>
        <item x="0"/>
        <item x="1"/>
        <item x="2"/>
      </items>
    </pivotField>
    <pivotField numFmtId="167" showAll="0" defaultSubtotal="0"/>
    <pivotField numFmtId="166" showAll="0" defaultSubtotal="0"/>
    <pivotField axis="axisRow" numFmtId="169" showAll="0" defaultSubtotal="0">
      <items count="5">
        <item x="0"/>
        <item x="1"/>
        <item x="4"/>
        <item x="3"/>
        <item x="2"/>
      </items>
    </pivotField>
    <pivotField numFmtId="164"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numFmtId="164" showAll="0" defaultSubtotal="0"/>
    <pivotField showAll="0" defaultSubtotal="0"/>
    <pivotField showAll="0" defaultSubtotal="0"/>
    <pivotField showAll="0" defaultSubtotal="0"/>
    <pivotField numFmtId="165" showAll="0" defaultSubtotal="0"/>
    <pivotField showAll="0" defaultSubtotal="0"/>
    <pivotField showAll="0" defaultSubtotal="0">
      <items count="2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s>
    </pivotField>
  </pivotFields>
  <rowFields count="2">
    <field x="7"/>
    <field x="10"/>
  </rowFields>
  <rowItems count="10">
    <i>
      <x/>
    </i>
    <i r="1">
      <x v="3"/>
    </i>
    <i>
      <x v="1"/>
    </i>
    <i r="1">
      <x/>
    </i>
    <i r="1">
      <x v="2"/>
    </i>
    <i>
      <x v="2"/>
    </i>
    <i r="1">
      <x v="1"/>
    </i>
    <i>
      <x v="3"/>
    </i>
    <i r="1">
      <x v="4"/>
    </i>
    <i t="grand">
      <x/>
    </i>
  </rowItems>
  <colItems count="1">
    <i/>
  </colItems>
  <pageFields count="1">
    <pageField fld="1" hier="-1"/>
  </pageFields>
  <dataFields count="1">
    <dataField name="Count of Case Number" fld="0" subtotal="count" baseField="0" baseItem="0"/>
  </dataFields>
  <formats count="2">
    <format dxfId="515">
      <pivotArea type="all" dataOnly="0" outline="0" fieldPosition="0"/>
    </format>
    <format dxfId="514">
      <pivotArea type="all" dataOnly="0" outline="0" fieldPosition="0"/>
    </format>
  </formats>
  <pivotTableStyleInfo name="PivotStyleLight17"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5CD5140-7F97-4F54-8B90-6CDF51D410F9}" name="PivotTable15" cacheId="8"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4:B9" firstHeaderRow="1" firstDataRow="1" firstDataCol="1" rowPageCount="1" colPageCount="1"/>
  <pivotFields count="58">
    <pivotField dataField="1" showAll="0"/>
    <pivotField axis="axisPage" numFmtId="165" showAll="0">
      <items count="3">
        <item x="0"/>
        <item x="1"/>
        <item t="default"/>
      </items>
    </pivotField>
    <pivotField showAll="0"/>
    <pivotField showAll="0"/>
    <pivotField numFmtId="166" showAll="0"/>
    <pivotField numFmtId="166" showAll="0"/>
    <pivotField numFmtId="166" showAll="0"/>
    <pivotField axis="axisRow" showAll="0">
      <items count="3">
        <item x="0"/>
        <item x="1"/>
        <item t="default"/>
      </items>
    </pivotField>
    <pivotField numFmtId="167" showAll="0"/>
    <pivotField numFmtId="166" showAll="0"/>
    <pivotField axis="axisRow" numFmtId="169" showAll="0">
      <items count="3">
        <item x="0"/>
        <item x="1"/>
        <item t="default"/>
      </items>
    </pivotField>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8" showAll="0"/>
    <pivotField showAll="0"/>
    <pivotField showAll="0"/>
    <pivotField numFmtId="165" showAll="0"/>
    <pivotField numFmtId="169" showAll="0"/>
    <pivotField showAll="0"/>
    <pivotField showAll="0"/>
    <pivotField numFmtId="14" showAll="0"/>
    <pivotField numFmtId="164" showAll="0"/>
    <pivotField showAll="0"/>
    <pivotField showAll="0"/>
    <pivotField showAll="0"/>
    <pivotField numFmtId="165" showAll="0"/>
    <pivotField showAll="0"/>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s>
  <rowFields count="2">
    <field x="7"/>
    <field x="10"/>
  </rowFields>
  <rowItems count="5">
    <i>
      <x/>
    </i>
    <i r="1">
      <x/>
    </i>
    <i>
      <x v="1"/>
    </i>
    <i r="1">
      <x v="1"/>
    </i>
    <i t="grand">
      <x/>
    </i>
  </rowItems>
  <colItems count="1">
    <i/>
  </colItems>
  <pageFields count="1">
    <pageField fld="1" hier="-1"/>
  </pageFields>
  <dataFields count="1">
    <dataField name="Count of Case Number" fld="0" subtotal="count" baseField="0" baseItem="0"/>
  </dataFields>
  <formats count="2">
    <format dxfId="509">
      <pivotArea type="all" dataOnly="0" outline="0" fieldPosition="0"/>
    </format>
    <format dxfId="508">
      <pivotArea type="all" dataOnly="0" outline="0" fieldPosition="0"/>
    </format>
  </formats>
  <chartFormats count="1">
    <chartFormat chart="0"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3105CF8-AC44-4F79-B4A4-3CD741FBA5A0}" name="PivotTable33" cacheId="4" applyNumberFormats="0" applyBorderFormats="0" applyFontFormats="0" applyPatternFormats="0" applyAlignmentFormats="0" applyWidthHeightFormats="1" dataCaption="Values" updatedVersion="8" minRefreshableVersion="3" useAutoFormatting="1" itemPrintTitles="1" createdVersion="8" indent="0" multipleFieldFilters="0" chartFormat="15">
  <location ref="A4:B18" firstHeaderRow="1" firstDataRow="1" firstDataCol="1" rowPageCount="1" colPageCount="1"/>
  <pivotFields count="56">
    <pivotField dataField="1" showAll="0" defaultSubtotal="0"/>
    <pivotField axis="axisPage" numFmtId="165" showAll="0" defaultSubtotal="0">
      <items count="9">
        <item x="1"/>
        <item x="2"/>
        <item x="3"/>
        <item x="4"/>
        <item x="5"/>
        <item x="6"/>
        <item x="7"/>
        <item x="0"/>
        <item x="8"/>
      </items>
    </pivotField>
    <pivotField showAll="0" defaultSubtotal="0"/>
    <pivotField showAll="0" defaultSubtotal="0"/>
    <pivotField numFmtId="166" showAll="0" defaultSubtotal="0"/>
    <pivotField numFmtId="166" showAll="0" defaultSubtotal="0"/>
    <pivotField numFmtId="166" showAll="0" defaultSubtotal="0"/>
    <pivotField showAll="0" defaultSubtotal="0"/>
    <pivotField numFmtId="167" showAll="0" defaultSubtotal="0"/>
    <pivotField numFmtId="166" showAll="0" defaultSubtotal="0"/>
    <pivotField numFmtId="20" showAll="0" defaultSubtotal="0"/>
    <pivotField numFmtId="20" showAll="0" defaultSubtotal="0"/>
    <pivotField axis="axisRow" showAll="0" defaultSubtotal="0">
      <items count="4">
        <item x="0"/>
        <item x="1"/>
        <item x="2"/>
        <item x="3"/>
      </items>
    </pivotField>
    <pivotField showAll="0" defaultSubtotal="0"/>
    <pivotField showAll="0" defaultSubtotal="0"/>
    <pivotField showAll="0" defaultSubtotal="0"/>
    <pivotField showAll="0" defaultSubtotal="0"/>
    <pivotField axis="axisRow" showAll="0" defaultSubtotal="0">
      <items count="8">
        <item x="3"/>
        <item x="6"/>
        <item x="1"/>
        <item x="4"/>
        <item x="2"/>
        <item x="5"/>
        <item x="0"/>
        <item x="7"/>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numFmtId="165" showAll="0" defaultSubtotal="0"/>
    <pivotField numFmtId="20" showAll="0" defaultSubtotal="0"/>
    <pivotField showAll="0" defaultSubtotal="0"/>
    <pivotField numFmtId="164" showAll="0" defaultSubtotal="0"/>
    <pivotField numFmtId="14" showAll="0" defaultSubtotal="0"/>
    <pivotField numFmtId="164" showAll="0" defaultSubtotal="0"/>
    <pivotField subtotalTop="0" showAll="0" defaultSubtotal="0"/>
    <pivotField subtotalTop="0" showAll="0" defaultSubtotal="0"/>
    <pivotField subtotalTop="0" showAll="0" defaultSubtotal="0"/>
    <pivotField subtotalTop="0" showAll="0" defaultSubtotal="0"/>
  </pivotFields>
  <rowFields count="2">
    <field x="12"/>
    <field x="17"/>
  </rowFields>
  <rowItems count="14">
    <i>
      <x/>
    </i>
    <i r="1">
      <x v="4"/>
    </i>
    <i r="1">
      <x v="6"/>
    </i>
    <i>
      <x v="1"/>
    </i>
    <i r="1">
      <x/>
    </i>
    <i r="1">
      <x v="1"/>
    </i>
    <i r="1">
      <x v="2"/>
    </i>
    <i r="1">
      <x v="3"/>
    </i>
    <i r="1">
      <x v="5"/>
    </i>
    <i>
      <x v="2"/>
    </i>
    <i r="1">
      <x v="1"/>
    </i>
    <i>
      <x v="3"/>
    </i>
    <i r="1">
      <x v="7"/>
    </i>
    <i t="grand">
      <x/>
    </i>
  </rowItems>
  <colItems count="1">
    <i/>
  </colItems>
  <pageFields count="1">
    <pageField fld="1" hier="-1"/>
  </pageFields>
  <dataFields count="1">
    <dataField name="Count of Case Number" fld="0" subtotal="count" baseField="0" baseItem="0"/>
  </dataFields>
  <formats count="18">
    <format dxfId="371">
      <pivotArea type="all" dataOnly="0" outline="0" fieldPosition="0"/>
    </format>
    <format dxfId="370">
      <pivotArea outline="0" collapsedLevelsAreSubtotals="1" fieldPosition="0"/>
    </format>
    <format dxfId="369">
      <pivotArea field="12" type="button" dataOnly="0" labelOnly="1" outline="0" axis="axisRow" fieldPosition="0"/>
    </format>
    <format dxfId="368">
      <pivotArea dataOnly="0" labelOnly="1" fieldPosition="0">
        <references count="1">
          <reference field="12" count="0"/>
        </references>
      </pivotArea>
    </format>
    <format dxfId="367">
      <pivotArea dataOnly="0" labelOnly="1" grandRow="1" outline="0" fieldPosition="0"/>
    </format>
    <format dxfId="366">
      <pivotArea dataOnly="0" labelOnly="1" fieldPosition="0">
        <references count="2">
          <reference field="12" count="1" selected="0">
            <x v="0"/>
          </reference>
          <reference field="17" count="1">
            <x v="4"/>
          </reference>
        </references>
      </pivotArea>
    </format>
    <format dxfId="365">
      <pivotArea dataOnly="0" labelOnly="1" fieldPosition="0">
        <references count="2">
          <reference field="12" count="1" selected="0">
            <x v="1"/>
          </reference>
          <reference field="17" count="5">
            <x v="0"/>
            <x v="1"/>
            <x v="2"/>
            <x v="3"/>
            <x v="5"/>
          </reference>
        </references>
      </pivotArea>
    </format>
    <format dxfId="364">
      <pivotArea dataOnly="0" labelOnly="1" fieldPosition="0">
        <references count="2">
          <reference field="12" count="1" selected="0">
            <x v="2"/>
          </reference>
          <reference field="17" count="1">
            <x v="1"/>
          </reference>
        </references>
      </pivotArea>
    </format>
    <format dxfId="363">
      <pivotArea dataOnly="0" labelOnly="1" outline="0" axis="axisValues" fieldPosition="0"/>
    </format>
    <format dxfId="362">
      <pivotArea type="all" dataOnly="0" outline="0" fieldPosition="0"/>
    </format>
    <format dxfId="361">
      <pivotArea outline="0" collapsedLevelsAreSubtotals="1" fieldPosition="0"/>
    </format>
    <format dxfId="360">
      <pivotArea field="12" type="button" dataOnly="0" labelOnly="1" outline="0" axis="axisRow" fieldPosition="0"/>
    </format>
    <format dxfId="359">
      <pivotArea dataOnly="0" labelOnly="1" fieldPosition="0">
        <references count="1">
          <reference field="12" count="0"/>
        </references>
      </pivotArea>
    </format>
    <format dxfId="358">
      <pivotArea dataOnly="0" labelOnly="1" grandRow="1" outline="0" fieldPosition="0"/>
    </format>
    <format dxfId="357">
      <pivotArea dataOnly="0" labelOnly="1" fieldPosition="0">
        <references count="2">
          <reference field="12" count="1" selected="0">
            <x v="0"/>
          </reference>
          <reference field="17" count="1">
            <x v="4"/>
          </reference>
        </references>
      </pivotArea>
    </format>
    <format dxfId="356">
      <pivotArea dataOnly="0" labelOnly="1" fieldPosition="0">
        <references count="2">
          <reference field="12" count="1" selected="0">
            <x v="1"/>
          </reference>
          <reference field="17" count="5">
            <x v="0"/>
            <x v="1"/>
            <x v="2"/>
            <x v="3"/>
            <x v="5"/>
          </reference>
        </references>
      </pivotArea>
    </format>
    <format dxfId="355">
      <pivotArea dataOnly="0" labelOnly="1" fieldPosition="0">
        <references count="2">
          <reference field="12" count="1" selected="0">
            <x v="2"/>
          </reference>
          <reference field="17" count="1">
            <x v="1"/>
          </reference>
        </references>
      </pivotArea>
    </format>
    <format dxfId="354">
      <pivotArea dataOnly="0" labelOnly="1" outline="0" axis="axisValues" fieldPosition="0"/>
    </format>
  </formats>
  <chartFormats count="1">
    <chartFormat chart="0" format="6" series="1">
      <pivotArea type="data" outline="0" fieldPosition="0">
        <references count="1">
          <reference field="4294967294" count="1" selected="0">
            <x v="0"/>
          </reference>
        </references>
      </pivotArea>
    </chartFormat>
  </chartFormats>
  <pivotTableStyleInfo name="PivotStyleLight17 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6BED6B1-B5F7-4761-94B9-B9189554BCB1}" name="PivotTable35" cacheId="4" applyNumberFormats="0" applyBorderFormats="0" applyFontFormats="0" applyPatternFormats="0" applyAlignmentFormats="0" applyWidthHeightFormats="1" dataCaption="Values" updatedVersion="8" minRefreshableVersion="3" useAutoFormatting="1" itemPrintTitles="1" createdVersion="8" indent="0" multipleFieldFilters="0" chartFormat="8">
  <location ref="G4:H7" firstHeaderRow="1" firstDataRow="1" firstDataCol="1" rowPageCount="1" colPageCount="1"/>
  <pivotFields count="56">
    <pivotField dataField="1" showAll="0" defaultSubtotal="0"/>
    <pivotField axis="axisPage" numFmtId="165" multipleItemSelectionAllowed="1" showAll="0" defaultSubtotal="0">
      <items count="9">
        <item h="1" x="1"/>
        <item h="1" x="2"/>
        <item h="1" x="3"/>
        <item h="1" x="4"/>
        <item h="1" x="5"/>
        <item h="1" x="6"/>
        <item x="7"/>
        <item h="1" x="0"/>
        <item h="1" x="8"/>
      </items>
    </pivotField>
    <pivotField showAll="0" defaultSubtotal="0"/>
    <pivotField showAll="0" defaultSubtotal="0"/>
    <pivotField numFmtId="166" showAll="0" defaultSubtotal="0"/>
    <pivotField numFmtId="166" showAll="0" defaultSubtotal="0"/>
    <pivotField numFmtId="166" showAll="0" defaultSubtotal="0"/>
    <pivotField showAll="0" defaultSubtotal="0"/>
    <pivotField numFmtId="167" showAll="0" defaultSubtotal="0"/>
    <pivotField numFmtId="166" showAll="0" defaultSubtotal="0"/>
    <pivotField numFmtId="20" showAll="0" defaultSubtotal="0"/>
    <pivotField numFmtId="20" showAll="0" defaultSubtotal="0"/>
    <pivotField axis="axisRow" showAll="0" defaultSubtotal="0">
      <items count="4">
        <item x="0"/>
        <item x="1"/>
        <item x="2"/>
        <item x="3"/>
      </items>
    </pivotField>
    <pivotField showAll="0" defaultSubtotal="0"/>
    <pivotField showAll="0" defaultSubtotal="0"/>
    <pivotField showAll="0" defaultSubtotal="0"/>
    <pivotField showAll="0" defaultSubtotal="0"/>
    <pivotField axis="axisRow" showAll="0" defaultSubtotal="0">
      <items count="8">
        <item x="3"/>
        <item x="6"/>
        <item x="1"/>
        <item x="4"/>
        <item x="2"/>
        <item x="5"/>
        <item x="0"/>
        <item x="7"/>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numFmtId="165" showAll="0" defaultSubtotal="0"/>
    <pivotField numFmtId="20" showAll="0" defaultSubtotal="0"/>
    <pivotField showAll="0" defaultSubtotal="0"/>
    <pivotField numFmtId="164" showAll="0" defaultSubtotal="0"/>
    <pivotField numFmtId="14" showAll="0" defaultSubtotal="0"/>
    <pivotField numFmtId="164" showAll="0" defaultSubtotal="0"/>
    <pivotField subtotalTop="0" showAll="0" defaultSubtotal="0"/>
    <pivotField subtotalTop="0" showAll="0" defaultSubtotal="0"/>
    <pivotField subtotalTop="0" showAll="0" defaultSubtotal="0"/>
    <pivotField subtotalTop="0" showAll="0" defaultSubtotal="0"/>
  </pivotFields>
  <rowFields count="2">
    <field x="12"/>
    <field x="17"/>
  </rowFields>
  <rowItems count="3">
    <i>
      <x v="1"/>
    </i>
    <i r="1">
      <x v="1"/>
    </i>
    <i t="grand">
      <x/>
    </i>
  </rowItems>
  <colItems count="1">
    <i/>
  </colItems>
  <pageFields count="1">
    <pageField fld="1" hier="-1"/>
  </pageFields>
  <dataFields count="1">
    <dataField name="Count of Case Number" fld="0" subtotal="count" baseField="0" baseItem="0"/>
  </dataFields>
  <formats count="18">
    <format dxfId="389">
      <pivotArea type="all" dataOnly="0" outline="0" fieldPosition="0"/>
    </format>
    <format dxfId="388">
      <pivotArea outline="0" collapsedLevelsAreSubtotals="1" fieldPosition="0"/>
    </format>
    <format dxfId="387">
      <pivotArea field="12" type="button" dataOnly="0" labelOnly="1" outline="0" axis="axisRow" fieldPosition="0"/>
    </format>
    <format dxfId="386">
      <pivotArea dataOnly="0" labelOnly="1" fieldPosition="0">
        <references count="1">
          <reference field="12" count="0"/>
        </references>
      </pivotArea>
    </format>
    <format dxfId="385">
      <pivotArea dataOnly="0" labelOnly="1" grandRow="1" outline="0" fieldPosition="0"/>
    </format>
    <format dxfId="384">
      <pivotArea dataOnly="0" labelOnly="1" fieldPosition="0">
        <references count="2">
          <reference field="12" count="1" selected="0">
            <x v="0"/>
          </reference>
          <reference field="17" count="1">
            <x v="4"/>
          </reference>
        </references>
      </pivotArea>
    </format>
    <format dxfId="383">
      <pivotArea dataOnly="0" labelOnly="1" fieldPosition="0">
        <references count="2">
          <reference field="12" count="1" selected="0">
            <x v="1"/>
          </reference>
          <reference field="17" count="5">
            <x v="0"/>
            <x v="1"/>
            <x v="2"/>
            <x v="3"/>
            <x v="5"/>
          </reference>
        </references>
      </pivotArea>
    </format>
    <format dxfId="382">
      <pivotArea dataOnly="0" labelOnly="1" fieldPosition="0">
        <references count="2">
          <reference field="12" count="1" selected="0">
            <x v="2"/>
          </reference>
          <reference field="17" count="1">
            <x v="1"/>
          </reference>
        </references>
      </pivotArea>
    </format>
    <format dxfId="381">
      <pivotArea dataOnly="0" labelOnly="1" outline="0" axis="axisValues" fieldPosition="0"/>
    </format>
    <format dxfId="380">
      <pivotArea type="all" dataOnly="0" outline="0" fieldPosition="0"/>
    </format>
    <format dxfId="379">
      <pivotArea outline="0" collapsedLevelsAreSubtotals="1" fieldPosition="0"/>
    </format>
    <format dxfId="378">
      <pivotArea field="12" type="button" dataOnly="0" labelOnly="1" outline="0" axis="axisRow" fieldPosition="0"/>
    </format>
    <format dxfId="377">
      <pivotArea dataOnly="0" labelOnly="1" fieldPosition="0">
        <references count="1">
          <reference field="12" count="0"/>
        </references>
      </pivotArea>
    </format>
    <format dxfId="376">
      <pivotArea dataOnly="0" labelOnly="1" grandRow="1" outline="0" fieldPosition="0"/>
    </format>
    <format dxfId="375">
      <pivotArea dataOnly="0" labelOnly="1" fieldPosition="0">
        <references count="2">
          <reference field="12" count="1" selected="0">
            <x v="0"/>
          </reference>
          <reference field="17" count="1">
            <x v="4"/>
          </reference>
        </references>
      </pivotArea>
    </format>
    <format dxfId="374">
      <pivotArea dataOnly="0" labelOnly="1" fieldPosition="0">
        <references count="2">
          <reference field="12" count="1" selected="0">
            <x v="1"/>
          </reference>
          <reference field="17" count="5">
            <x v="0"/>
            <x v="1"/>
            <x v="2"/>
            <x v="3"/>
            <x v="5"/>
          </reference>
        </references>
      </pivotArea>
    </format>
    <format dxfId="373">
      <pivotArea dataOnly="0" labelOnly="1" fieldPosition="0">
        <references count="2">
          <reference field="12" count="1" selected="0">
            <x v="2"/>
          </reference>
          <reference field="17" count="1">
            <x v="1"/>
          </reference>
        </references>
      </pivotArea>
    </format>
    <format dxfId="372">
      <pivotArea dataOnly="0" labelOnly="1" outline="0" axis="axisValues" fieldPosition="0"/>
    </format>
  </formats>
  <chartFormats count="1">
    <chartFormat chart="0" format="12" series="1">
      <pivotArea type="data" outline="0" fieldPosition="0">
        <references count="1">
          <reference field="4294967294" count="1" selected="0">
            <x v="0"/>
          </reference>
        </references>
      </pivotArea>
    </chartFormat>
  </chartFormats>
  <pivotTableStyleInfo name="PivotStyleLight17"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C98412B-F553-441F-AE0B-3D1D03F92BF3}" name="PivotTable34" cacheId="4" applyNumberFormats="0" applyBorderFormats="0" applyFontFormats="0" applyPatternFormats="0" applyAlignmentFormats="0" applyWidthHeightFormats="1" dataCaption="Values" updatedVersion="8" minRefreshableVersion="3" useAutoFormatting="1" itemPrintTitles="1" createdVersion="8" indent="0" multipleFieldFilters="0" chartFormat="6">
  <location ref="D4:E12" firstHeaderRow="1" firstDataRow="1" firstDataCol="1" rowPageCount="1" colPageCount="1"/>
  <pivotFields count="56">
    <pivotField dataField="1" showAll="0" defaultSubtotal="0"/>
    <pivotField axis="axisPage" numFmtId="165" multipleItemSelectionAllowed="1" showAll="0" defaultSubtotal="0">
      <items count="9">
        <item h="1" x="1"/>
        <item h="1" x="2"/>
        <item x="3"/>
        <item x="4"/>
        <item x="5"/>
        <item x="6"/>
        <item x="7"/>
        <item h="1" x="0"/>
        <item h="1" x="8"/>
      </items>
    </pivotField>
    <pivotField showAll="0" defaultSubtotal="0"/>
    <pivotField showAll="0" defaultSubtotal="0"/>
    <pivotField numFmtId="166" showAll="0" defaultSubtotal="0"/>
    <pivotField numFmtId="166" showAll="0" defaultSubtotal="0"/>
    <pivotField numFmtId="166" showAll="0" defaultSubtotal="0"/>
    <pivotField showAll="0" defaultSubtotal="0"/>
    <pivotField numFmtId="167" showAll="0" defaultSubtotal="0"/>
    <pivotField numFmtId="166" showAll="0" defaultSubtotal="0"/>
    <pivotField numFmtId="20" showAll="0" defaultSubtotal="0"/>
    <pivotField numFmtId="20" showAll="0" defaultSubtotal="0"/>
    <pivotField axis="axisRow" showAll="0" defaultSubtotal="0">
      <items count="4">
        <item x="0"/>
        <item x="1"/>
        <item x="2"/>
        <item x="3"/>
      </items>
    </pivotField>
    <pivotField showAll="0" defaultSubtotal="0"/>
    <pivotField showAll="0" defaultSubtotal="0"/>
    <pivotField showAll="0" defaultSubtotal="0"/>
    <pivotField showAll="0" defaultSubtotal="0"/>
    <pivotField axis="axisRow" showAll="0" defaultSubtotal="0">
      <items count="8">
        <item x="3"/>
        <item x="6"/>
        <item x="1"/>
        <item x="4"/>
        <item x="2"/>
        <item x="5"/>
        <item x="0"/>
        <item x="7"/>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numFmtId="165" showAll="0" defaultSubtotal="0"/>
    <pivotField numFmtId="20" showAll="0" defaultSubtotal="0"/>
    <pivotField showAll="0" defaultSubtotal="0"/>
    <pivotField numFmtId="164" showAll="0" defaultSubtotal="0"/>
    <pivotField numFmtId="14" showAll="0" defaultSubtotal="0"/>
    <pivotField numFmtId="164" showAll="0" defaultSubtotal="0"/>
    <pivotField subtotalTop="0" showAll="0" defaultSubtotal="0"/>
    <pivotField subtotalTop="0" showAll="0" defaultSubtotal="0"/>
    <pivotField subtotalTop="0" showAll="0" defaultSubtotal="0"/>
    <pivotField subtotalTop="0" showAll="0" defaultSubtotal="0"/>
  </pivotFields>
  <rowFields count="2">
    <field x="12"/>
    <field x="17"/>
  </rowFields>
  <rowItems count="8">
    <i>
      <x v="1"/>
    </i>
    <i r="1">
      <x/>
    </i>
    <i r="1">
      <x v="1"/>
    </i>
    <i r="1">
      <x v="3"/>
    </i>
    <i r="1">
      <x v="5"/>
    </i>
    <i>
      <x v="2"/>
    </i>
    <i r="1">
      <x v="1"/>
    </i>
    <i t="grand">
      <x/>
    </i>
  </rowItems>
  <colItems count="1">
    <i/>
  </colItems>
  <pageFields count="1">
    <pageField fld="1" hier="-1"/>
  </pageFields>
  <dataFields count="1">
    <dataField name="Count of Case Number" fld="0" subtotal="count" baseField="0" baseItem="0"/>
  </dataFields>
  <formats count="18">
    <format dxfId="407">
      <pivotArea type="all" dataOnly="0" outline="0" fieldPosition="0"/>
    </format>
    <format dxfId="406">
      <pivotArea outline="0" collapsedLevelsAreSubtotals="1" fieldPosition="0"/>
    </format>
    <format dxfId="405">
      <pivotArea field="12" type="button" dataOnly="0" labelOnly="1" outline="0" axis="axisRow" fieldPosition="0"/>
    </format>
    <format dxfId="404">
      <pivotArea dataOnly="0" labelOnly="1" fieldPosition="0">
        <references count="1">
          <reference field="12" count="0"/>
        </references>
      </pivotArea>
    </format>
    <format dxfId="403">
      <pivotArea dataOnly="0" labelOnly="1" grandRow="1" outline="0" fieldPosition="0"/>
    </format>
    <format dxfId="402">
      <pivotArea dataOnly="0" labelOnly="1" fieldPosition="0">
        <references count="2">
          <reference field="12" count="1" selected="0">
            <x v="0"/>
          </reference>
          <reference field="17" count="1">
            <x v="4"/>
          </reference>
        </references>
      </pivotArea>
    </format>
    <format dxfId="401">
      <pivotArea dataOnly="0" labelOnly="1" fieldPosition="0">
        <references count="2">
          <reference field="12" count="1" selected="0">
            <x v="1"/>
          </reference>
          <reference field="17" count="5">
            <x v="0"/>
            <x v="1"/>
            <x v="2"/>
            <x v="3"/>
            <x v="5"/>
          </reference>
        </references>
      </pivotArea>
    </format>
    <format dxfId="400">
      <pivotArea dataOnly="0" labelOnly="1" fieldPosition="0">
        <references count="2">
          <reference field="12" count="1" selected="0">
            <x v="2"/>
          </reference>
          <reference field="17" count="1">
            <x v="1"/>
          </reference>
        </references>
      </pivotArea>
    </format>
    <format dxfId="399">
      <pivotArea dataOnly="0" labelOnly="1" outline="0" axis="axisValues" fieldPosition="0"/>
    </format>
    <format dxfId="398">
      <pivotArea type="all" dataOnly="0" outline="0" fieldPosition="0"/>
    </format>
    <format dxfId="397">
      <pivotArea outline="0" collapsedLevelsAreSubtotals="1" fieldPosition="0"/>
    </format>
    <format dxfId="396">
      <pivotArea field="12" type="button" dataOnly="0" labelOnly="1" outline="0" axis="axisRow" fieldPosition="0"/>
    </format>
    <format dxfId="395">
      <pivotArea dataOnly="0" labelOnly="1" fieldPosition="0">
        <references count="1">
          <reference field="12" count="0"/>
        </references>
      </pivotArea>
    </format>
    <format dxfId="394">
      <pivotArea dataOnly="0" labelOnly="1" grandRow="1" outline="0" fieldPosition="0"/>
    </format>
    <format dxfId="393">
      <pivotArea dataOnly="0" labelOnly="1" fieldPosition="0">
        <references count="2">
          <reference field="12" count="1" selected="0">
            <x v="0"/>
          </reference>
          <reference field="17" count="1">
            <x v="4"/>
          </reference>
        </references>
      </pivotArea>
    </format>
    <format dxfId="392">
      <pivotArea dataOnly="0" labelOnly="1" fieldPosition="0">
        <references count="2">
          <reference field="12" count="1" selected="0">
            <x v="1"/>
          </reference>
          <reference field="17" count="5">
            <x v="0"/>
            <x v="1"/>
            <x v="2"/>
            <x v="3"/>
            <x v="5"/>
          </reference>
        </references>
      </pivotArea>
    </format>
    <format dxfId="391">
      <pivotArea dataOnly="0" labelOnly="1" fieldPosition="0">
        <references count="2">
          <reference field="12" count="1" selected="0">
            <x v="2"/>
          </reference>
          <reference field="17" count="1">
            <x v="1"/>
          </reference>
        </references>
      </pivotArea>
    </format>
    <format dxfId="390">
      <pivotArea dataOnly="0" labelOnly="1" outline="0" axis="axisValues" fieldPosition="0"/>
    </format>
  </formats>
  <chartFormats count="1">
    <chartFormat chart="0" format="12" series="1">
      <pivotArea type="data" outline="0" fieldPosition="0">
        <references count="1">
          <reference field="4294967294" count="1" selected="0">
            <x v="0"/>
          </reference>
        </references>
      </pivotArea>
    </chartFormat>
  </chartFormats>
  <pivotTableStyleInfo name="PivotStyleLight19"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35CEA02-DB62-48BC-A7CC-8FEDD8765513}" name="PivotTable30" cacheId="2" applyNumberFormats="0" applyBorderFormats="0" applyFontFormats="0" applyPatternFormats="0" applyAlignmentFormats="0" applyWidthHeightFormats="1" dataCaption="Values" updatedVersion="8" minRefreshableVersion="3" useAutoFormatting="1" itemPrintTitles="1" createdVersion="8" indent="0" multipleFieldFilters="0" chartFormat="19">
  <location ref="A4:B18" firstHeaderRow="1" firstDataRow="1" firstDataCol="1" rowPageCount="1" colPageCount="1"/>
  <pivotFields count="56">
    <pivotField dataField="1" showAll="0" defaultSubtotal="0"/>
    <pivotField axis="axisPage" numFmtId="165" showAll="0" defaultSubtotal="0">
      <items count="21">
        <item x="0"/>
        <item m="1" x="8"/>
        <item m="1" x="9"/>
        <item m="1" x="10"/>
        <item x="1"/>
        <item m="1" x="11"/>
        <item x="2"/>
        <item x="3"/>
        <item m="1" x="12"/>
        <item m="1" x="13"/>
        <item m="1" x="14"/>
        <item x="4"/>
        <item m="1" x="15"/>
        <item m="1" x="16"/>
        <item m="1" x="17"/>
        <item m="1" x="18"/>
        <item x="5"/>
        <item m="1" x="19"/>
        <item m="1" x="20"/>
        <item x="6"/>
        <item x="7"/>
      </items>
    </pivotField>
    <pivotField showAll="0" defaultSubtotal="0"/>
    <pivotField showAll="0" defaultSubtotal="0"/>
    <pivotField numFmtId="166" showAll="0" defaultSubtotal="0"/>
    <pivotField numFmtId="166" showAll="0" defaultSubtotal="0"/>
    <pivotField numFmtId="166" showAll="0" defaultSubtotal="0"/>
    <pivotField showAll="0" defaultSubtotal="0"/>
    <pivotField numFmtId="167" showAll="0" defaultSubtotal="0"/>
    <pivotField numFmtId="166" showAll="0" defaultSubtotal="0"/>
    <pivotField numFmtId="20" showAll="0" defaultSubtotal="0"/>
    <pivotField numFmtId="20" showAll="0" defaultSubtotal="0"/>
    <pivotField axis="axisRow" showAll="0" defaultSubtotal="0">
      <items count="5">
        <item x="3"/>
        <item x="0"/>
        <item x="1"/>
        <item x="2"/>
        <item x="4"/>
      </items>
    </pivotField>
    <pivotField showAll="0" defaultSubtotal="0"/>
    <pivotField showAll="0" defaultSubtotal="0"/>
    <pivotField showAll="0" defaultSubtotal="0"/>
    <pivotField showAll="0" defaultSubtotal="0"/>
    <pivotField axis="axisRow" showAll="0" defaultSubtotal="0">
      <items count="24">
        <item m="1" x="23"/>
        <item m="1" x="9"/>
        <item m="1" x="16"/>
        <item m="1" x="8"/>
        <item m="1" x="10"/>
        <item x="1"/>
        <item m="1" x="20"/>
        <item m="1" x="12"/>
        <item m="1" x="18"/>
        <item m="1" x="14"/>
        <item x="0"/>
        <item x="3"/>
        <item m="1" x="21"/>
        <item x="5"/>
        <item m="1" x="22"/>
        <item m="1" x="7"/>
        <item x="4"/>
        <item m="1" x="11"/>
        <item m="1" x="15"/>
        <item m="1" x="19"/>
        <item m="1" x="17"/>
        <item m="1" x="13"/>
        <item x="2"/>
        <item x="6"/>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numFmtId="164" showAll="0" defaultSubtotal="0"/>
    <pivotField subtotalTop="0" showAll="0" defaultSubtotal="0"/>
    <pivotField subtotalTop="0" showAll="0" defaultSubtotal="0"/>
    <pivotField subtotalTop="0" showAll="0" defaultSubtotal="0"/>
    <pivotField subtotalTop="0" showAll="0" defaultSubtotal="0"/>
  </pivotFields>
  <rowFields count="2">
    <field x="12"/>
    <field x="17"/>
  </rowFields>
  <rowItems count="14">
    <i>
      <x/>
    </i>
    <i r="1">
      <x v="13"/>
    </i>
    <i>
      <x v="1"/>
    </i>
    <i r="1">
      <x v="10"/>
    </i>
    <i r="1">
      <x v="16"/>
    </i>
    <i>
      <x v="2"/>
    </i>
    <i r="1">
      <x v="5"/>
    </i>
    <i r="1">
      <x v="11"/>
    </i>
    <i r="1">
      <x v="23"/>
    </i>
    <i>
      <x v="3"/>
    </i>
    <i r="1">
      <x v="22"/>
    </i>
    <i>
      <x v="4"/>
    </i>
    <i r="1">
      <x v="13"/>
    </i>
    <i t="grand">
      <x/>
    </i>
  </rowItems>
  <colItems count="1">
    <i/>
  </colItems>
  <pageFields count="1">
    <pageField fld="1" hier="-1"/>
  </pageFields>
  <dataFields count="1">
    <dataField name="Count of Case Number" fld="0" subtotal="count" baseField="0" baseItem="0"/>
  </dataFields>
  <formats count="18">
    <format dxfId="262">
      <pivotArea type="all" dataOnly="0" outline="0" fieldPosition="0"/>
    </format>
    <format dxfId="261">
      <pivotArea outline="0" collapsedLevelsAreSubtotals="1" fieldPosition="0"/>
    </format>
    <format dxfId="260">
      <pivotArea field="12" type="button" dataOnly="0" labelOnly="1" outline="0" axis="axisRow" fieldPosition="0"/>
    </format>
    <format dxfId="259">
      <pivotArea dataOnly="0" labelOnly="1" fieldPosition="0">
        <references count="1">
          <reference field="12" count="0"/>
        </references>
      </pivotArea>
    </format>
    <format dxfId="258">
      <pivotArea dataOnly="0" labelOnly="1" grandRow="1" outline="0" fieldPosition="0"/>
    </format>
    <format dxfId="257">
      <pivotArea dataOnly="0" labelOnly="1" fieldPosition="0">
        <references count="2">
          <reference field="12" count="1" selected="0">
            <x v="0"/>
          </reference>
          <reference field="17" count="1">
            <x v="13"/>
          </reference>
        </references>
      </pivotArea>
    </format>
    <format dxfId="256">
      <pivotArea dataOnly="0" labelOnly="1" fieldPosition="0">
        <references count="2">
          <reference field="12" count="1" selected="0">
            <x v="1"/>
          </reference>
          <reference field="17" count="2">
            <x v="10"/>
            <x v="16"/>
          </reference>
        </references>
      </pivotArea>
    </format>
    <format dxfId="255">
      <pivotArea dataOnly="0" labelOnly="1" fieldPosition="0">
        <references count="2">
          <reference field="12" count="1" selected="0">
            <x v="2"/>
          </reference>
          <reference field="17" count="2">
            <x v="5"/>
            <x v="11"/>
          </reference>
        </references>
      </pivotArea>
    </format>
    <format dxfId="254">
      <pivotArea dataOnly="0" labelOnly="1" outline="0" axis="axisValues" fieldPosition="0"/>
    </format>
    <format dxfId="253">
      <pivotArea type="all" dataOnly="0" outline="0" fieldPosition="0"/>
    </format>
    <format dxfId="252">
      <pivotArea outline="0" collapsedLevelsAreSubtotals="1" fieldPosition="0"/>
    </format>
    <format dxfId="251">
      <pivotArea field="12" type="button" dataOnly="0" labelOnly="1" outline="0" axis="axisRow" fieldPosition="0"/>
    </format>
    <format dxfId="250">
      <pivotArea dataOnly="0" labelOnly="1" fieldPosition="0">
        <references count="1">
          <reference field="12" count="0"/>
        </references>
      </pivotArea>
    </format>
    <format dxfId="249">
      <pivotArea dataOnly="0" labelOnly="1" grandRow="1" outline="0" fieldPosition="0"/>
    </format>
    <format dxfId="248">
      <pivotArea dataOnly="0" labelOnly="1" fieldPosition="0">
        <references count="2">
          <reference field="12" count="1" selected="0">
            <x v="0"/>
          </reference>
          <reference field="17" count="1">
            <x v="13"/>
          </reference>
        </references>
      </pivotArea>
    </format>
    <format dxfId="247">
      <pivotArea dataOnly="0" labelOnly="1" fieldPosition="0">
        <references count="2">
          <reference field="12" count="1" selected="0">
            <x v="1"/>
          </reference>
          <reference field="17" count="2">
            <x v="10"/>
            <x v="16"/>
          </reference>
        </references>
      </pivotArea>
    </format>
    <format dxfId="246">
      <pivotArea dataOnly="0" labelOnly="1" fieldPosition="0">
        <references count="2">
          <reference field="12" count="1" selected="0">
            <x v="2"/>
          </reference>
          <reference field="17" count="2">
            <x v="5"/>
            <x v="11"/>
          </reference>
        </references>
      </pivotArea>
    </format>
    <format dxfId="245">
      <pivotArea dataOnly="0" labelOnly="1" outline="0" axis="axisValues" fieldPosition="0"/>
    </format>
  </formats>
  <chartFormats count="2">
    <chartFormat chart="0" format="3" series="1">
      <pivotArea type="data" outline="0" fieldPosition="0">
        <references count="1">
          <reference field="4294967294" count="1" selected="0">
            <x v="0"/>
          </reference>
        </references>
      </pivotArea>
    </chartFormat>
    <chartFormat chart="1" format="9" series="1">
      <pivotArea type="data" outline="0" fieldPosition="0">
        <references count="1">
          <reference field="4294967294" count="1" selected="0">
            <x v="0"/>
          </reference>
        </references>
      </pivotArea>
    </chartFormat>
  </chartFormats>
  <pivotTableStyleInfo name="PivotStyleLight17 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A1C8C7B-2D79-43B9-B1DF-A2AD03F448EF}" name="PivotTable32" cacheId="2" applyNumberFormats="0" applyBorderFormats="0" applyFontFormats="0" applyPatternFormats="0" applyAlignmentFormats="0" applyWidthHeightFormats="1" dataCaption="Values" updatedVersion="8" minRefreshableVersion="3" useAutoFormatting="1" itemPrintTitles="1" createdVersion="8" indent="0" multipleFieldFilters="0" chartFormat="1">
  <location ref="G4:H18" firstHeaderRow="1" firstDataRow="1" firstDataCol="1" rowPageCount="1" colPageCount="1"/>
  <pivotFields count="56">
    <pivotField dataField="1" showAll="0" defaultSubtotal="0"/>
    <pivotField axis="axisPage" numFmtId="165" showAll="0" defaultSubtotal="0">
      <items count="21">
        <item x="0"/>
        <item m="1" x="8"/>
        <item m="1" x="9"/>
        <item m="1" x="10"/>
        <item x="1"/>
        <item m="1" x="11"/>
        <item x="2"/>
        <item x="3"/>
        <item m="1" x="12"/>
        <item m="1" x="13"/>
        <item m="1" x="14"/>
        <item x="4"/>
        <item m="1" x="15"/>
        <item m="1" x="16"/>
        <item m="1" x="17"/>
        <item m="1" x="18"/>
        <item x="5"/>
        <item m="1" x="19"/>
        <item m="1" x="20"/>
        <item x="6"/>
        <item x="7"/>
      </items>
    </pivotField>
    <pivotField showAll="0" defaultSubtotal="0"/>
    <pivotField showAll="0" defaultSubtotal="0"/>
    <pivotField numFmtId="166" showAll="0" defaultSubtotal="0"/>
    <pivotField numFmtId="166" showAll="0" defaultSubtotal="0"/>
    <pivotField numFmtId="166" showAll="0" defaultSubtotal="0"/>
    <pivotField showAll="0" defaultSubtotal="0"/>
    <pivotField numFmtId="167" showAll="0" defaultSubtotal="0"/>
    <pivotField numFmtId="166" showAll="0" defaultSubtotal="0"/>
    <pivotField numFmtId="20" showAll="0" defaultSubtotal="0"/>
    <pivotField numFmtId="20" showAll="0" defaultSubtotal="0"/>
    <pivotField axis="axisRow" showAll="0" defaultSubtotal="0">
      <items count="5">
        <item x="3"/>
        <item x="0"/>
        <item x="1"/>
        <item x="2"/>
        <item x="4"/>
      </items>
    </pivotField>
    <pivotField showAll="0" defaultSubtotal="0"/>
    <pivotField showAll="0" defaultSubtotal="0"/>
    <pivotField showAll="0" defaultSubtotal="0"/>
    <pivotField showAll="0" defaultSubtotal="0"/>
    <pivotField axis="axisRow" showAll="0" defaultSubtotal="0">
      <items count="24">
        <item m="1" x="23"/>
        <item m="1" x="9"/>
        <item m="1" x="16"/>
        <item m="1" x="8"/>
        <item m="1" x="10"/>
        <item x="1"/>
        <item m="1" x="20"/>
        <item m="1" x="12"/>
        <item m="1" x="18"/>
        <item m="1" x="14"/>
        <item x="0"/>
        <item x="3"/>
        <item m="1" x="21"/>
        <item x="5"/>
        <item m="1" x="22"/>
        <item m="1" x="7"/>
        <item x="4"/>
        <item m="1" x="11"/>
        <item m="1" x="15"/>
        <item m="1" x="19"/>
        <item m="1" x="17"/>
        <item m="1" x="13"/>
        <item x="2"/>
        <item x="6"/>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numFmtId="164" showAll="0" defaultSubtotal="0"/>
    <pivotField subtotalTop="0" showAll="0" defaultSubtotal="0"/>
    <pivotField subtotalTop="0" showAll="0" defaultSubtotal="0"/>
    <pivotField subtotalTop="0" showAll="0" defaultSubtotal="0"/>
    <pivotField subtotalTop="0" showAll="0" defaultSubtotal="0"/>
  </pivotFields>
  <rowFields count="2">
    <field x="12"/>
    <field x="17"/>
  </rowFields>
  <rowItems count="14">
    <i>
      <x/>
    </i>
    <i r="1">
      <x v="13"/>
    </i>
    <i>
      <x v="1"/>
    </i>
    <i r="1">
      <x v="10"/>
    </i>
    <i r="1">
      <x v="16"/>
    </i>
    <i>
      <x v="2"/>
    </i>
    <i r="1">
      <x v="5"/>
    </i>
    <i r="1">
      <x v="11"/>
    </i>
    <i r="1">
      <x v="23"/>
    </i>
    <i>
      <x v="3"/>
    </i>
    <i r="1">
      <x v="22"/>
    </i>
    <i>
      <x v="4"/>
    </i>
    <i r="1">
      <x v="13"/>
    </i>
    <i t="grand">
      <x/>
    </i>
  </rowItems>
  <colItems count="1">
    <i/>
  </colItems>
  <pageFields count="1">
    <pageField fld="1" hier="-1"/>
  </pageFields>
  <dataFields count="1">
    <dataField name="Count of Case Number" fld="0" subtotal="count" baseField="0" baseItem="0"/>
  </dataFields>
  <formats count="18">
    <format dxfId="280">
      <pivotArea type="all" dataOnly="0" outline="0" fieldPosition="0"/>
    </format>
    <format dxfId="279">
      <pivotArea outline="0" collapsedLevelsAreSubtotals="1" fieldPosition="0"/>
    </format>
    <format dxfId="278">
      <pivotArea field="12" type="button" dataOnly="0" labelOnly="1" outline="0" axis="axisRow" fieldPosition="0"/>
    </format>
    <format dxfId="277">
      <pivotArea dataOnly="0" labelOnly="1" fieldPosition="0">
        <references count="1">
          <reference field="12" count="0"/>
        </references>
      </pivotArea>
    </format>
    <format dxfId="276">
      <pivotArea dataOnly="0" labelOnly="1" grandRow="1" outline="0" fieldPosition="0"/>
    </format>
    <format dxfId="275">
      <pivotArea dataOnly="0" labelOnly="1" fieldPosition="0">
        <references count="2">
          <reference field="12" count="1" selected="0">
            <x v="0"/>
          </reference>
          <reference field="17" count="1">
            <x v="13"/>
          </reference>
        </references>
      </pivotArea>
    </format>
    <format dxfId="274">
      <pivotArea dataOnly="0" labelOnly="1" fieldPosition="0">
        <references count="2">
          <reference field="12" count="1" selected="0">
            <x v="1"/>
          </reference>
          <reference field="17" count="2">
            <x v="10"/>
            <x v="16"/>
          </reference>
        </references>
      </pivotArea>
    </format>
    <format dxfId="273">
      <pivotArea dataOnly="0" labelOnly="1" fieldPosition="0">
        <references count="2">
          <reference field="12" count="1" selected="0">
            <x v="2"/>
          </reference>
          <reference field="17" count="2">
            <x v="5"/>
            <x v="11"/>
          </reference>
        </references>
      </pivotArea>
    </format>
    <format dxfId="272">
      <pivotArea dataOnly="0" labelOnly="1" outline="0" axis="axisValues" fieldPosition="0"/>
    </format>
    <format dxfId="271">
      <pivotArea type="all" dataOnly="0" outline="0" fieldPosition="0"/>
    </format>
    <format dxfId="270">
      <pivotArea outline="0" collapsedLevelsAreSubtotals="1" fieldPosition="0"/>
    </format>
    <format dxfId="269">
      <pivotArea field="12" type="button" dataOnly="0" labelOnly="1" outline="0" axis="axisRow" fieldPosition="0"/>
    </format>
    <format dxfId="268">
      <pivotArea dataOnly="0" labelOnly="1" fieldPosition="0">
        <references count="1">
          <reference field="12" count="0"/>
        </references>
      </pivotArea>
    </format>
    <format dxfId="267">
      <pivotArea dataOnly="0" labelOnly="1" grandRow="1" outline="0" fieldPosition="0"/>
    </format>
    <format dxfId="266">
      <pivotArea dataOnly="0" labelOnly="1" fieldPosition="0">
        <references count="2">
          <reference field="12" count="1" selected="0">
            <x v="0"/>
          </reference>
          <reference field="17" count="1">
            <x v="13"/>
          </reference>
        </references>
      </pivotArea>
    </format>
    <format dxfId="265">
      <pivotArea dataOnly="0" labelOnly="1" fieldPosition="0">
        <references count="2">
          <reference field="12" count="1" selected="0">
            <x v="1"/>
          </reference>
          <reference field="17" count="2">
            <x v="10"/>
            <x v="16"/>
          </reference>
        </references>
      </pivotArea>
    </format>
    <format dxfId="264">
      <pivotArea dataOnly="0" labelOnly="1" fieldPosition="0">
        <references count="2">
          <reference field="12" count="1" selected="0">
            <x v="2"/>
          </reference>
          <reference field="17" count="2">
            <x v="5"/>
            <x v="11"/>
          </reference>
        </references>
      </pivotArea>
    </format>
    <format dxfId="263">
      <pivotArea dataOnly="0" labelOnly="1" outline="0" axis="axisValues" fieldPosition="0"/>
    </format>
  </formats>
  <chartFormats count="1">
    <chartFormat chart="0" format="3" series="1">
      <pivotArea type="data" outline="0" fieldPosition="0">
        <references count="1">
          <reference field="4294967294" count="1" selected="0">
            <x v="0"/>
          </reference>
        </references>
      </pivotArea>
    </chartFormat>
  </chartFormats>
  <pivotTableStyleInfo name="PivotStyleLight17"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1954D0C3-3400-48DE-90EC-CF72BBAFB226}" name="PivotTable31" cacheId="2" applyNumberFormats="0" applyBorderFormats="0" applyFontFormats="0" applyPatternFormats="0" applyAlignmentFormats="0" applyWidthHeightFormats="1" dataCaption="Values" updatedVersion="8" minRefreshableVersion="3" useAutoFormatting="1" itemPrintTitles="1" createdVersion="8" indent="0" multipleFieldFilters="0" chartFormat="13">
  <location ref="D4:E7" firstHeaderRow="1" firstDataRow="1" firstDataCol="1" rowPageCount="1" colPageCount="1"/>
  <pivotFields count="56">
    <pivotField dataField="1" showAll="0" defaultSubtotal="0"/>
    <pivotField axis="axisPage" numFmtId="165" multipleItemSelectionAllowed="1" showAll="0" defaultSubtotal="0">
      <items count="21">
        <item h="1" x="0"/>
        <item m="1" x="8"/>
        <item m="1" x="9"/>
        <item m="1" x="10"/>
        <item h="1" x="1"/>
        <item m="1" x="11"/>
        <item h="1" x="2"/>
        <item h="1" x="3"/>
        <item m="1" x="12"/>
        <item m="1" x="13"/>
        <item m="1" x="14"/>
        <item h="1" x="4"/>
        <item m="1" x="15"/>
        <item m="1" x="16"/>
        <item m="1" x="17"/>
        <item m="1" x="18"/>
        <item x="5"/>
        <item m="1" x="19"/>
        <item m="1" x="20"/>
        <item h="1" x="6"/>
        <item h="1" x="7"/>
      </items>
    </pivotField>
    <pivotField showAll="0" defaultSubtotal="0"/>
    <pivotField showAll="0" defaultSubtotal="0"/>
    <pivotField numFmtId="166" showAll="0" defaultSubtotal="0"/>
    <pivotField numFmtId="166" showAll="0" defaultSubtotal="0"/>
    <pivotField numFmtId="166" showAll="0" defaultSubtotal="0"/>
    <pivotField showAll="0" defaultSubtotal="0"/>
    <pivotField numFmtId="167" showAll="0" defaultSubtotal="0"/>
    <pivotField numFmtId="166" showAll="0" defaultSubtotal="0"/>
    <pivotField numFmtId="20" showAll="0" defaultSubtotal="0"/>
    <pivotField numFmtId="20" showAll="0" defaultSubtotal="0"/>
    <pivotField axis="axisRow" showAll="0" defaultSubtotal="0">
      <items count="5">
        <item x="3"/>
        <item x="0"/>
        <item x="1"/>
        <item x="2"/>
        <item x="4"/>
      </items>
    </pivotField>
    <pivotField showAll="0" defaultSubtotal="0"/>
    <pivotField showAll="0" defaultSubtotal="0"/>
    <pivotField showAll="0" defaultSubtotal="0"/>
    <pivotField showAll="0" defaultSubtotal="0"/>
    <pivotField axis="axisRow" showAll="0" defaultSubtotal="0">
      <items count="24">
        <item m="1" x="23"/>
        <item m="1" x="9"/>
        <item m="1" x="16"/>
        <item m="1" x="8"/>
        <item m="1" x="10"/>
        <item x="1"/>
        <item m="1" x="20"/>
        <item m="1" x="12"/>
        <item m="1" x="18"/>
        <item m="1" x="14"/>
        <item x="0"/>
        <item x="3"/>
        <item m="1" x="21"/>
        <item x="5"/>
        <item m="1" x="22"/>
        <item m="1" x="7"/>
        <item x="4"/>
        <item m="1" x="11"/>
        <item m="1" x="15"/>
        <item m="1" x="19"/>
        <item m="1" x="17"/>
        <item m="1" x="13"/>
        <item x="2"/>
        <item x="6"/>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numFmtId="164" showAll="0" defaultSubtotal="0"/>
    <pivotField subtotalTop="0" showAll="0" defaultSubtotal="0"/>
    <pivotField subtotalTop="0" showAll="0" defaultSubtotal="0"/>
    <pivotField subtotalTop="0" showAll="0" defaultSubtotal="0"/>
    <pivotField subtotalTop="0" showAll="0" defaultSubtotal="0"/>
  </pivotFields>
  <rowFields count="2">
    <field x="12"/>
    <field x="17"/>
  </rowFields>
  <rowItems count="3">
    <i>
      <x v="2"/>
    </i>
    <i r="1">
      <x v="5"/>
    </i>
    <i t="grand">
      <x/>
    </i>
  </rowItems>
  <colItems count="1">
    <i/>
  </colItems>
  <pageFields count="1">
    <pageField fld="1" hier="-1"/>
  </pageFields>
  <dataFields count="1">
    <dataField name="Count of Case Number" fld="0" subtotal="count" baseField="0" baseItem="0"/>
  </dataFields>
  <formats count="18">
    <format dxfId="298">
      <pivotArea type="all" dataOnly="0" outline="0" fieldPosition="0"/>
    </format>
    <format dxfId="297">
      <pivotArea outline="0" collapsedLevelsAreSubtotals="1" fieldPosition="0"/>
    </format>
    <format dxfId="296">
      <pivotArea field="12" type="button" dataOnly="0" labelOnly="1" outline="0" axis="axisRow" fieldPosition="0"/>
    </format>
    <format dxfId="295">
      <pivotArea dataOnly="0" labelOnly="1" fieldPosition="0">
        <references count="1">
          <reference field="12" count="0"/>
        </references>
      </pivotArea>
    </format>
    <format dxfId="294">
      <pivotArea dataOnly="0" labelOnly="1" grandRow="1" outline="0" fieldPosition="0"/>
    </format>
    <format dxfId="293">
      <pivotArea dataOnly="0" labelOnly="1" fieldPosition="0">
        <references count="2">
          <reference field="12" count="1" selected="0">
            <x v="0"/>
          </reference>
          <reference field="17" count="1">
            <x v="13"/>
          </reference>
        </references>
      </pivotArea>
    </format>
    <format dxfId="292">
      <pivotArea dataOnly="0" labelOnly="1" fieldPosition="0">
        <references count="2">
          <reference field="12" count="1" selected="0">
            <x v="1"/>
          </reference>
          <reference field="17" count="2">
            <x v="10"/>
            <x v="16"/>
          </reference>
        </references>
      </pivotArea>
    </format>
    <format dxfId="291">
      <pivotArea dataOnly="0" labelOnly="1" fieldPosition="0">
        <references count="2">
          <reference field="12" count="1" selected="0">
            <x v="2"/>
          </reference>
          <reference field="17" count="2">
            <x v="5"/>
            <x v="11"/>
          </reference>
        </references>
      </pivotArea>
    </format>
    <format dxfId="290">
      <pivotArea dataOnly="0" labelOnly="1" outline="0" axis="axisValues" fieldPosition="0"/>
    </format>
    <format dxfId="289">
      <pivotArea type="all" dataOnly="0" outline="0" fieldPosition="0"/>
    </format>
    <format dxfId="288">
      <pivotArea outline="0" collapsedLevelsAreSubtotals="1" fieldPosition="0"/>
    </format>
    <format dxfId="287">
      <pivotArea field="12" type="button" dataOnly="0" labelOnly="1" outline="0" axis="axisRow" fieldPosition="0"/>
    </format>
    <format dxfId="286">
      <pivotArea dataOnly="0" labelOnly="1" fieldPosition="0">
        <references count="1">
          <reference field="12" count="0"/>
        </references>
      </pivotArea>
    </format>
    <format dxfId="285">
      <pivotArea dataOnly="0" labelOnly="1" grandRow="1" outline="0" fieldPosition="0"/>
    </format>
    <format dxfId="284">
      <pivotArea dataOnly="0" labelOnly="1" fieldPosition="0">
        <references count="2">
          <reference field="12" count="1" selected="0">
            <x v="0"/>
          </reference>
          <reference field="17" count="1">
            <x v="13"/>
          </reference>
        </references>
      </pivotArea>
    </format>
    <format dxfId="283">
      <pivotArea dataOnly="0" labelOnly="1" fieldPosition="0">
        <references count="2">
          <reference field="12" count="1" selected="0">
            <x v="1"/>
          </reference>
          <reference field="17" count="2">
            <x v="10"/>
            <x v="16"/>
          </reference>
        </references>
      </pivotArea>
    </format>
    <format dxfId="282">
      <pivotArea dataOnly="0" labelOnly="1" fieldPosition="0">
        <references count="2">
          <reference field="12" count="1" selected="0">
            <x v="2"/>
          </reference>
          <reference field="17" count="2">
            <x v="5"/>
            <x v="11"/>
          </reference>
        </references>
      </pivotArea>
    </format>
    <format dxfId="281">
      <pivotArea dataOnly="0" labelOnly="1" outline="0" axis="axisValues" fieldPosition="0"/>
    </format>
  </formats>
  <chartFormats count="3">
    <chartFormat chart="0" format="3" series="1">
      <pivotArea type="data" outline="0" fieldPosition="0">
        <references count="1">
          <reference field="4294967294" count="1" selected="0">
            <x v="0"/>
          </reference>
        </references>
      </pivotArea>
    </chartFormat>
    <chartFormat chart="1" format="9" series="1">
      <pivotArea type="data" outline="0" fieldPosition="0">
        <references count="1">
          <reference field="4294967294" count="1" selected="0">
            <x v="0"/>
          </reference>
        </references>
      </pivotArea>
    </chartFormat>
    <chartFormat chart="10" format="11" series="1">
      <pivotArea type="data" outline="0" fieldPosition="0">
        <references count="1">
          <reference field="4294967294" count="1" selected="0">
            <x v="0"/>
          </reference>
        </references>
      </pivotArea>
    </chartFormat>
  </chartFormats>
  <pivotTableStyleInfo name="PivotStyleLight19"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87491E5-4386-4BCB-A090-543B00882CBC}" name="PivotTable26" cacheId="3" applyNumberFormats="0" applyBorderFormats="0" applyFontFormats="0" applyPatternFormats="0" applyAlignmentFormats="0" applyWidthHeightFormats="1" dataCaption="Values" updatedVersion="8" minRefreshableVersion="3" useAutoFormatting="1" itemPrintTitles="1" createdVersion="8" indent="0" multipleFieldFilters="0" chartFormat="12">
  <location ref="G4:H7" firstHeaderRow="1" firstDataRow="1" firstDataCol="1" rowPageCount="1" colPageCount="1"/>
  <pivotFields count="56">
    <pivotField dataField="1" showAll="0" defaultSubtotal="0"/>
    <pivotField axis="axisPage" numFmtId="165" multipleItemSelectionAllowed="1" showAll="0" defaultSubtotal="0">
      <items count="7">
        <item h="1" x="0"/>
        <item h="1" x="1"/>
        <item h="1" x="2"/>
        <item h="1" x="3"/>
        <item h="1" x="4"/>
        <item h="1" x="5"/>
        <item x="6"/>
      </items>
    </pivotField>
    <pivotField showAll="0" defaultSubtotal="0"/>
    <pivotField showAll="0" defaultSubtotal="0"/>
    <pivotField numFmtId="166" showAll="0" defaultSubtotal="0"/>
    <pivotField numFmtId="166" showAll="0" defaultSubtotal="0"/>
    <pivotField numFmtId="166" showAll="0" defaultSubtotal="0"/>
    <pivotField showAll="0" defaultSubtotal="0"/>
    <pivotField numFmtId="167" showAll="0" defaultSubtotal="0"/>
    <pivotField numFmtId="166" showAll="0" defaultSubtotal="0"/>
    <pivotField numFmtId="20" showAll="0" defaultSubtotal="0"/>
    <pivotField numFmtId="20" showAll="0" defaultSubtotal="0"/>
    <pivotField axis="axisRow" showAll="0" defaultSubtotal="0">
      <items count="6">
        <item x="3"/>
        <item x="5"/>
        <item x="4"/>
        <item x="1"/>
        <item x="0"/>
        <item x="2"/>
      </items>
    </pivotField>
    <pivotField showAll="0" defaultSubtotal="0"/>
    <pivotField showAll="0" defaultSubtotal="0"/>
    <pivotField showAll="0" defaultSubtotal="0"/>
    <pivotField showAll="0" defaultSubtotal="0"/>
    <pivotField axis="axisRow" showAll="0" defaultSubtotal="0">
      <items count="7">
        <item x="2"/>
        <item x="0"/>
        <item x="1"/>
        <item x="5"/>
        <item x="6"/>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numFmtId="165" showAll="0" defaultSubtotal="0"/>
    <pivotField numFmtId="20" showAll="0" defaultSubtotal="0"/>
    <pivotField showAll="0" defaultSubtotal="0"/>
    <pivotField showAll="0" defaultSubtotal="0"/>
    <pivotField numFmtId="14" showAll="0" defaultSubtotal="0"/>
    <pivotField numFmtId="164" showAll="0" defaultSubtotal="0"/>
    <pivotField subtotalTop="0" showAll="0" defaultSubtotal="0"/>
    <pivotField subtotalTop="0" showAll="0" defaultSubtotal="0"/>
    <pivotField subtotalTop="0" showAll="0" defaultSubtotal="0"/>
    <pivotField subtotalTop="0" showAll="0" defaultSubtotal="0"/>
  </pivotFields>
  <rowFields count="2">
    <field x="12"/>
    <field x="17"/>
  </rowFields>
  <rowItems count="3">
    <i>
      <x v="1"/>
    </i>
    <i r="1">
      <x v="4"/>
    </i>
    <i t="grand">
      <x/>
    </i>
  </rowItems>
  <colItems count="1">
    <i/>
  </colItems>
  <pageFields count="1">
    <pageField fld="1" hier="-1"/>
  </pageFields>
  <dataFields count="1">
    <dataField name="Count of Case Number" fld="0" subtotal="count" baseField="0" baseItem="0"/>
  </dataFields>
  <chartFormats count="1">
    <chartFormat chart="0" format="15" series="1">
      <pivotArea type="data" outline="0" fieldPosition="0">
        <references count="1">
          <reference field="4294967294" count="1" selected="0">
            <x v="0"/>
          </reference>
        </references>
      </pivotArea>
    </chartFormat>
  </chartFormats>
  <pivotTableStyleInfo name="PivotStyleLight17"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930A4360-82D1-4C64-8C76-B2F2FD2D4835}" name="PivotTable25" cacheId="3" applyNumberFormats="0" applyBorderFormats="0" applyFontFormats="0" applyPatternFormats="0" applyAlignmentFormats="0" applyWidthHeightFormats="1" dataCaption="Values" updatedVersion="8" minRefreshableVersion="3" useAutoFormatting="1" itemPrintTitles="1" createdVersion="8" indent="0" multipleFieldFilters="0" chartFormat="9">
  <location ref="D4:E11" firstHeaderRow="1" firstDataRow="1" firstDataCol="1" rowPageCount="1" colPageCount="1"/>
  <pivotFields count="56">
    <pivotField dataField="1" showAll="0" defaultSubtotal="0"/>
    <pivotField axis="axisPage" numFmtId="165" multipleItemSelectionAllowed="1" showAll="0" defaultSubtotal="0">
      <items count="7">
        <item h="1" x="0"/>
        <item h="1" x="1"/>
        <item h="1" x="2"/>
        <item h="1" x="3"/>
        <item x="4"/>
        <item x="5"/>
        <item x="6"/>
      </items>
    </pivotField>
    <pivotField showAll="0" defaultSubtotal="0"/>
    <pivotField showAll="0" defaultSubtotal="0"/>
    <pivotField numFmtId="166" showAll="0" defaultSubtotal="0"/>
    <pivotField numFmtId="166" showAll="0" defaultSubtotal="0"/>
    <pivotField numFmtId="166" showAll="0" defaultSubtotal="0"/>
    <pivotField showAll="0" defaultSubtotal="0"/>
    <pivotField numFmtId="167" showAll="0" defaultSubtotal="0"/>
    <pivotField numFmtId="166" showAll="0" defaultSubtotal="0"/>
    <pivotField numFmtId="20" showAll="0" defaultSubtotal="0"/>
    <pivotField numFmtId="20" showAll="0" defaultSubtotal="0"/>
    <pivotField axis="axisRow" showAll="0" defaultSubtotal="0">
      <items count="6">
        <item x="3"/>
        <item x="5"/>
        <item x="4"/>
        <item x="1"/>
        <item x="0"/>
        <item x="2"/>
      </items>
    </pivotField>
    <pivotField showAll="0" defaultSubtotal="0"/>
    <pivotField showAll="0" defaultSubtotal="0"/>
    <pivotField showAll="0" defaultSubtotal="0"/>
    <pivotField showAll="0" defaultSubtotal="0"/>
    <pivotField axis="axisRow" showAll="0" defaultSubtotal="0">
      <items count="7">
        <item x="2"/>
        <item x="0"/>
        <item x="1"/>
        <item x="5"/>
        <item x="6"/>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numFmtId="165" showAll="0" defaultSubtotal="0"/>
    <pivotField numFmtId="20" showAll="0" defaultSubtotal="0"/>
    <pivotField showAll="0" defaultSubtotal="0"/>
    <pivotField showAll="0" defaultSubtotal="0"/>
    <pivotField numFmtId="14" showAll="0" defaultSubtotal="0"/>
    <pivotField numFmtId="164" showAll="0" defaultSubtotal="0"/>
    <pivotField subtotalTop="0" showAll="0" defaultSubtotal="0"/>
    <pivotField subtotalTop="0" showAll="0" defaultSubtotal="0"/>
    <pivotField subtotalTop="0" showAll="0" defaultSubtotal="0"/>
    <pivotField subtotalTop="0" showAll="0" defaultSubtotal="0"/>
  </pivotFields>
  <rowFields count="2">
    <field x="12"/>
    <field x="17"/>
  </rowFields>
  <rowItems count="7">
    <i>
      <x v="1"/>
    </i>
    <i r="1">
      <x v="4"/>
    </i>
    <i>
      <x v="2"/>
    </i>
    <i r="1">
      <x v="6"/>
    </i>
    <i>
      <x v="3"/>
    </i>
    <i r="1">
      <x v="3"/>
    </i>
    <i t="grand">
      <x/>
    </i>
  </rowItems>
  <colItems count="1">
    <i/>
  </colItems>
  <pageFields count="1">
    <pageField fld="1" hier="-1"/>
  </pageFields>
  <dataFields count="1">
    <dataField name="Count of Case Number" fld="0" subtotal="count" baseField="0" baseItem="0"/>
  </dataFields>
  <formats count="2">
    <format dxfId="197">
      <pivotArea grandRow="1" outline="0" collapsedLevelsAreSubtotals="1" fieldPosition="0"/>
    </format>
    <format dxfId="196">
      <pivotArea dataOnly="0" labelOnly="1" grandRow="1" outline="0" fieldPosition="0"/>
    </format>
  </formats>
  <chartFormats count="1">
    <chartFormat chart="0" format="15" series="1">
      <pivotArea type="data" outline="0" fieldPosition="0">
        <references count="1">
          <reference field="4294967294" count="1" selected="0">
            <x v="0"/>
          </reference>
        </references>
      </pivotArea>
    </chartFormat>
  </chartFormats>
  <pivotTableStyleInfo name="PivotStyleLight19"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6A16AA61-32C1-4225-8915-B795530B6033}" name="PivotTable24" cacheId="3" applyNumberFormats="0" applyBorderFormats="0" applyFontFormats="0" applyPatternFormats="0" applyAlignmentFormats="0" applyWidthHeightFormats="1" dataCaption="Values" updatedVersion="8" minRefreshableVersion="3" useAutoFormatting="1" itemPrintTitles="1" createdVersion="8" indent="0" multipleFieldFilters="0" chartFormat="7">
  <location ref="A4:B18" firstHeaderRow="1" firstDataRow="1" firstDataCol="1" rowPageCount="1" colPageCount="1"/>
  <pivotFields count="56">
    <pivotField dataField="1" showAll="0" defaultSubtotal="0"/>
    <pivotField axis="axisPage" numFmtId="165" showAll="0" defaultSubtotal="0">
      <items count="7">
        <item x="0"/>
        <item x="1"/>
        <item x="2"/>
        <item x="3"/>
        <item x="4"/>
        <item x="5"/>
        <item x="6"/>
      </items>
    </pivotField>
    <pivotField showAll="0" defaultSubtotal="0"/>
    <pivotField showAll="0" defaultSubtotal="0"/>
    <pivotField numFmtId="166" showAll="0" defaultSubtotal="0"/>
    <pivotField numFmtId="166" showAll="0" defaultSubtotal="0"/>
    <pivotField numFmtId="166" showAll="0" defaultSubtotal="0"/>
    <pivotField showAll="0" defaultSubtotal="0"/>
    <pivotField numFmtId="167" showAll="0" defaultSubtotal="0"/>
    <pivotField numFmtId="166" showAll="0" defaultSubtotal="0"/>
    <pivotField numFmtId="20" showAll="0" defaultSubtotal="0"/>
    <pivotField numFmtId="20" showAll="0" defaultSubtotal="0"/>
    <pivotField axis="axisRow" showAll="0" defaultSubtotal="0">
      <items count="6">
        <item x="3"/>
        <item x="5"/>
        <item x="4"/>
        <item x="1"/>
        <item x="0"/>
        <item x="2"/>
      </items>
    </pivotField>
    <pivotField showAll="0" defaultSubtotal="0"/>
    <pivotField showAll="0" defaultSubtotal="0"/>
    <pivotField showAll="0" defaultSubtotal="0"/>
    <pivotField showAll="0" defaultSubtotal="0"/>
    <pivotField axis="axisRow" showAll="0" defaultSubtotal="0">
      <items count="7">
        <item x="2"/>
        <item x="0"/>
        <item x="1"/>
        <item x="5"/>
        <item x="6"/>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numFmtId="165" showAll="0" defaultSubtotal="0"/>
    <pivotField numFmtId="20" showAll="0" defaultSubtotal="0"/>
    <pivotField showAll="0" defaultSubtotal="0"/>
    <pivotField showAll="0" defaultSubtotal="0"/>
    <pivotField numFmtId="14" showAll="0" defaultSubtotal="0"/>
    <pivotField numFmtId="164" showAll="0" defaultSubtotal="0"/>
    <pivotField subtotalTop="0" showAll="0" defaultSubtotal="0"/>
    <pivotField subtotalTop="0" showAll="0" defaultSubtotal="0"/>
    <pivotField subtotalTop="0" showAll="0" defaultSubtotal="0"/>
    <pivotField subtotalTop="0" showAll="0" defaultSubtotal="0"/>
  </pivotFields>
  <rowFields count="2">
    <field x="12"/>
    <field x="17"/>
  </rowFields>
  <rowItems count="14">
    <i>
      <x/>
    </i>
    <i r="1">
      <x v="5"/>
    </i>
    <i>
      <x v="1"/>
    </i>
    <i r="1">
      <x v="4"/>
    </i>
    <i>
      <x v="2"/>
    </i>
    <i r="1">
      <x v="6"/>
    </i>
    <i>
      <x v="3"/>
    </i>
    <i r="1">
      <x v="2"/>
    </i>
    <i r="1">
      <x v="3"/>
    </i>
    <i>
      <x v="4"/>
    </i>
    <i r="1">
      <x v="1"/>
    </i>
    <i>
      <x v="5"/>
    </i>
    <i r="1">
      <x/>
    </i>
    <i t="grand">
      <x/>
    </i>
  </rowItems>
  <colItems count="1">
    <i/>
  </colItems>
  <pageFields count="1">
    <pageField fld="1" hier="-1"/>
  </pageFields>
  <dataFields count="1">
    <dataField name="Count of Case Number" fld="0" subtotal="count" baseField="0" baseItem="0"/>
  </dataFields>
  <chartFormats count="1">
    <chartFormat chart="0" format="12" series="1">
      <pivotArea type="data" outline="0" fieldPosition="0">
        <references count="1">
          <reference field="4294967294" count="1" selected="0">
            <x v="0"/>
          </reference>
        </references>
      </pivotArea>
    </chartFormat>
  </chartFormats>
  <pivotTableStyleInfo name="PivotStyleLight17 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CFB17013-4228-4676-93A5-3E87194F04D7}" name="PivotTable23" cacheId="2" applyNumberFormats="0" applyBorderFormats="0" applyFontFormats="0" applyPatternFormats="0" applyAlignmentFormats="0" applyWidthHeightFormats="1" dataCaption="Values" updatedVersion="8" minRefreshableVersion="3" useAutoFormatting="1" itemPrintTitles="1" createdVersion="8" indent="0" multipleFieldFilters="0">
  <location ref="G4:H18" firstHeaderRow="1" firstDataRow="1" firstDataCol="1" rowPageCount="1" colPageCount="1"/>
  <pivotFields count="56">
    <pivotField dataField="1" showAll="0" defaultSubtotal="0"/>
    <pivotField axis="axisPage" numFmtId="165" showAll="0" defaultSubtotal="0">
      <items count="21">
        <item x="0"/>
        <item m="1" x="8"/>
        <item m="1" x="9"/>
        <item m="1" x="10"/>
        <item x="1"/>
        <item m="1" x="11"/>
        <item x="2"/>
        <item x="3"/>
        <item m="1" x="12"/>
        <item m="1" x="13"/>
        <item m="1" x="14"/>
        <item x="4"/>
        <item m="1" x="15"/>
        <item m="1" x="16"/>
        <item m="1" x="17"/>
        <item m="1" x="18"/>
        <item x="5"/>
        <item m="1" x="19"/>
        <item m="1" x="20"/>
        <item x="6"/>
        <item x="7"/>
      </items>
    </pivotField>
    <pivotField showAll="0" defaultSubtotal="0"/>
    <pivotField showAll="0" defaultSubtotal="0"/>
    <pivotField numFmtId="166" showAll="0" defaultSubtotal="0"/>
    <pivotField numFmtId="166" showAll="0" defaultSubtotal="0"/>
    <pivotField numFmtId="166" showAll="0" defaultSubtotal="0"/>
    <pivotField showAll="0" defaultSubtotal="0"/>
    <pivotField numFmtId="167" showAll="0" defaultSubtotal="0"/>
    <pivotField numFmtId="166" showAll="0" defaultSubtotal="0"/>
    <pivotField numFmtId="20" showAll="0" defaultSubtotal="0"/>
    <pivotField numFmtId="20" showAll="0" defaultSubtotal="0"/>
    <pivotField axis="axisRow" showAll="0" defaultSubtotal="0">
      <items count="5">
        <item x="3"/>
        <item x="0"/>
        <item x="1"/>
        <item x="2"/>
        <item x="4"/>
      </items>
    </pivotField>
    <pivotField showAll="0" defaultSubtotal="0"/>
    <pivotField showAll="0" defaultSubtotal="0"/>
    <pivotField showAll="0" defaultSubtotal="0"/>
    <pivotField showAll="0" defaultSubtotal="0"/>
    <pivotField axis="axisRow" showAll="0" defaultSubtotal="0">
      <items count="24">
        <item m="1" x="23"/>
        <item m="1" x="9"/>
        <item m="1" x="16"/>
        <item m="1" x="8"/>
        <item m="1" x="10"/>
        <item x="1"/>
        <item m="1" x="20"/>
        <item m="1" x="12"/>
        <item m="1" x="18"/>
        <item m="1" x="14"/>
        <item x="0"/>
        <item x="3"/>
        <item m="1" x="21"/>
        <item x="5"/>
        <item m="1" x="22"/>
        <item m="1" x="7"/>
        <item x="4"/>
        <item m="1" x="11"/>
        <item m="1" x="15"/>
        <item m="1" x="19"/>
        <item m="1" x="17"/>
        <item m="1" x="13"/>
        <item x="2"/>
        <item x="6"/>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numFmtId="164" showAll="0" defaultSubtotal="0"/>
    <pivotField subtotalTop="0" showAll="0" defaultSubtotal="0"/>
    <pivotField subtotalTop="0" showAll="0" defaultSubtotal="0"/>
    <pivotField subtotalTop="0" showAll="0" defaultSubtotal="0"/>
    <pivotField subtotalTop="0" showAll="0" defaultSubtotal="0"/>
  </pivotFields>
  <rowFields count="2">
    <field x="12"/>
    <field x="17"/>
  </rowFields>
  <rowItems count="14">
    <i>
      <x/>
    </i>
    <i r="1">
      <x v="13"/>
    </i>
    <i>
      <x v="1"/>
    </i>
    <i r="1">
      <x v="10"/>
    </i>
    <i r="1">
      <x v="16"/>
    </i>
    <i>
      <x v="2"/>
    </i>
    <i r="1">
      <x v="5"/>
    </i>
    <i r="1">
      <x v="11"/>
    </i>
    <i r="1">
      <x v="23"/>
    </i>
    <i>
      <x v="3"/>
    </i>
    <i r="1">
      <x v="22"/>
    </i>
    <i>
      <x v="4"/>
    </i>
    <i r="1">
      <x v="13"/>
    </i>
    <i t="grand">
      <x/>
    </i>
  </rowItems>
  <colItems count="1">
    <i/>
  </colItems>
  <pageFields count="1">
    <pageField fld="1" hier="-1"/>
  </pageFields>
  <dataFields count="1">
    <dataField name="Count of Case Number" fld="0" subtotal="count" baseField="0" baseItem="0"/>
  </dataFields>
  <formats count="18">
    <format dxfId="108">
      <pivotArea type="all" dataOnly="0" outline="0" fieldPosition="0"/>
    </format>
    <format dxfId="107">
      <pivotArea outline="0" collapsedLevelsAreSubtotals="1" fieldPosition="0"/>
    </format>
    <format dxfId="106">
      <pivotArea field="12" type="button" dataOnly="0" labelOnly="1" outline="0" axis="axisRow" fieldPosition="0"/>
    </format>
    <format dxfId="105">
      <pivotArea dataOnly="0" labelOnly="1" fieldPosition="0">
        <references count="1">
          <reference field="12" count="0"/>
        </references>
      </pivotArea>
    </format>
    <format dxfId="104">
      <pivotArea dataOnly="0" labelOnly="1" grandRow="1" outline="0" fieldPosition="0"/>
    </format>
    <format dxfId="103">
      <pivotArea dataOnly="0" labelOnly="1" fieldPosition="0">
        <references count="2">
          <reference field="12" count="1" selected="0">
            <x v="0"/>
          </reference>
          <reference field="17" count="1">
            <x v="13"/>
          </reference>
        </references>
      </pivotArea>
    </format>
    <format dxfId="102">
      <pivotArea dataOnly="0" labelOnly="1" fieldPosition="0">
        <references count="2">
          <reference field="12" count="1" selected="0">
            <x v="1"/>
          </reference>
          <reference field="17" count="2">
            <x v="10"/>
            <x v="16"/>
          </reference>
        </references>
      </pivotArea>
    </format>
    <format dxfId="101">
      <pivotArea dataOnly="0" labelOnly="1" fieldPosition="0">
        <references count="2">
          <reference field="12" count="1" selected="0">
            <x v="2"/>
          </reference>
          <reference field="17" count="2">
            <x v="5"/>
            <x v="11"/>
          </reference>
        </references>
      </pivotArea>
    </format>
    <format dxfId="100">
      <pivotArea dataOnly="0" labelOnly="1" outline="0" axis="axisValues" fieldPosition="0"/>
    </format>
    <format dxfId="99">
      <pivotArea type="all" dataOnly="0" outline="0" fieldPosition="0"/>
    </format>
    <format dxfId="98">
      <pivotArea outline="0" collapsedLevelsAreSubtotals="1" fieldPosition="0"/>
    </format>
    <format dxfId="97">
      <pivotArea field="12" type="button" dataOnly="0" labelOnly="1" outline="0" axis="axisRow" fieldPosition="0"/>
    </format>
    <format dxfId="96">
      <pivotArea dataOnly="0" labelOnly="1" fieldPosition="0">
        <references count="1">
          <reference field="12" count="0"/>
        </references>
      </pivotArea>
    </format>
    <format dxfId="95">
      <pivotArea dataOnly="0" labelOnly="1" grandRow="1" outline="0" fieldPosition="0"/>
    </format>
    <format dxfId="94">
      <pivotArea dataOnly="0" labelOnly="1" fieldPosition="0">
        <references count="2">
          <reference field="12" count="1" selected="0">
            <x v="0"/>
          </reference>
          <reference field="17" count="1">
            <x v="13"/>
          </reference>
        </references>
      </pivotArea>
    </format>
    <format dxfId="93">
      <pivotArea dataOnly="0" labelOnly="1" fieldPosition="0">
        <references count="2">
          <reference field="12" count="1" selected="0">
            <x v="1"/>
          </reference>
          <reference field="17" count="2">
            <x v="10"/>
            <x v="16"/>
          </reference>
        </references>
      </pivotArea>
    </format>
    <format dxfId="92">
      <pivotArea dataOnly="0" labelOnly="1" fieldPosition="0">
        <references count="2">
          <reference field="12" count="1" selected="0">
            <x v="2"/>
          </reference>
          <reference field="17" count="2">
            <x v="5"/>
            <x v="11"/>
          </reference>
        </references>
      </pivotArea>
    </format>
    <format dxfId="91">
      <pivotArea dataOnly="0" labelOnly="1" outline="0" axis="axisValues" fieldPosition="0"/>
    </format>
  </formats>
  <pivotTableStyleInfo name="PivotStyleLight17"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8184315C-4606-4470-85AA-A4B7D5BA5198}" name="PivotTable22" cacheId="2"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D4:E7" firstHeaderRow="1" firstDataRow="1" firstDataCol="1" rowPageCount="1" colPageCount="1"/>
  <pivotFields count="56">
    <pivotField dataField="1" showAll="0" defaultSubtotal="0"/>
    <pivotField axis="axisPage" numFmtId="165" multipleItemSelectionAllowed="1" showAll="0" defaultSubtotal="0">
      <items count="21">
        <item h="1" x="0"/>
        <item m="1" x="8"/>
        <item m="1" x="9"/>
        <item m="1" x="10"/>
        <item h="1" x="1"/>
        <item m="1" x="11"/>
        <item h="1" x="2"/>
        <item h="1" x="3"/>
        <item m="1" x="12"/>
        <item m="1" x="13"/>
        <item m="1" x="14"/>
        <item h="1" x="4"/>
        <item m="1" x="15"/>
        <item m="1" x="16"/>
        <item m="1" x="17"/>
        <item m="1" x="18"/>
        <item x="5"/>
        <item m="1" x="19"/>
        <item m="1" x="20"/>
        <item h="1" x="6"/>
        <item h="1" x="7"/>
      </items>
    </pivotField>
    <pivotField showAll="0" defaultSubtotal="0"/>
    <pivotField showAll="0" defaultSubtotal="0"/>
    <pivotField numFmtId="166" showAll="0" defaultSubtotal="0"/>
    <pivotField numFmtId="166" showAll="0" defaultSubtotal="0"/>
    <pivotField numFmtId="166" showAll="0" defaultSubtotal="0"/>
    <pivotField showAll="0" defaultSubtotal="0"/>
    <pivotField numFmtId="167" showAll="0" defaultSubtotal="0"/>
    <pivotField numFmtId="166" showAll="0" defaultSubtotal="0"/>
    <pivotField numFmtId="20" showAll="0" defaultSubtotal="0"/>
    <pivotField numFmtId="20" showAll="0" defaultSubtotal="0"/>
    <pivotField axis="axisRow" showAll="0" defaultSubtotal="0">
      <items count="5">
        <item x="3"/>
        <item x="0"/>
        <item x="1"/>
        <item x="2"/>
        <item x="4"/>
      </items>
    </pivotField>
    <pivotField showAll="0" defaultSubtotal="0"/>
    <pivotField showAll="0" defaultSubtotal="0"/>
    <pivotField showAll="0" defaultSubtotal="0"/>
    <pivotField showAll="0" defaultSubtotal="0"/>
    <pivotField axis="axisRow" showAll="0" defaultSubtotal="0">
      <items count="24">
        <item m="1" x="23"/>
        <item m="1" x="9"/>
        <item m="1" x="16"/>
        <item m="1" x="8"/>
        <item m="1" x="10"/>
        <item x="1"/>
        <item m="1" x="20"/>
        <item m="1" x="12"/>
        <item m="1" x="18"/>
        <item m="1" x="14"/>
        <item x="0"/>
        <item x="3"/>
        <item m="1" x="21"/>
        <item x="5"/>
        <item m="1" x="22"/>
        <item m="1" x="7"/>
        <item x="4"/>
        <item m="1" x="11"/>
        <item m="1" x="15"/>
        <item m="1" x="19"/>
        <item m="1" x="17"/>
        <item m="1" x="13"/>
        <item x="2"/>
        <item x="6"/>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numFmtId="164" showAll="0" defaultSubtotal="0"/>
    <pivotField subtotalTop="0" showAll="0" defaultSubtotal="0"/>
    <pivotField subtotalTop="0" showAll="0" defaultSubtotal="0"/>
    <pivotField subtotalTop="0" showAll="0" defaultSubtotal="0"/>
    <pivotField subtotalTop="0" showAll="0" defaultSubtotal="0"/>
  </pivotFields>
  <rowFields count="2">
    <field x="12"/>
    <field x="17"/>
  </rowFields>
  <rowItems count="3">
    <i>
      <x v="2"/>
    </i>
    <i r="1">
      <x v="5"/>
    </i>
    <i t="grand">
      <x/>
    </i>
  </rowItems>
  <colItems count="1">
    <i/>
  </colItems>
  <pageFields count="1">
    <pageField fld="1" hier="-1"/>
  </pageFields>
  <dataFields count="1">
    <dataField name="Count of Case Number" fld="0" subtotal="count" baseField="0" baseItem="0"/>
  </dataFields>
  <formats count="18">
    <format dxfId="126">
      <pivotArea type="all" dataOnly="0" outline="0" fieldPosition="0"/>
    </format>
    <format dxfId="125">
      <pivotArea outline="0" collapsedLevelsAreSubtotals="1" fieldPosition="0"/>
    </format>
    <format dxfId="124">
      <pivotArea field="12" type="button" dataOnly="0" labelOnly="1" outline="0" axis="axisRow" fieldPosition="0"/>
    </format>
    <format dxfId="123">
      <pivotArea dataOnly="0" labelOnly="1" fieldPosition="0">
        <references count="1">
          <reference field="12" count="0"/>
        </references>
      </pivotArea>
    </format>
    <format dxfId="122">
      <pivotArea dataOnly="0" labelOnly="1" grandRow="1" outline="0" fieldPosition="0"/>
    </format>
    <format dxfId="121">
      <pivotArea dataOnly="0" labelOnly="1" fieldPosition="0">
        <references count="2">
          <reference field="12" count="1" selected="0">
            <x v="0"/>
          </reference>
          <reference field="17" count="1">
            <x v="13"/>
          </reference>
        </references>
      </pivotArea>
    </format>
    <format dxfId="120">
      <pivotArea dataOnly="0" labelOnly="1" fieldPosition="0">
        <references count="2">
          <reference field="12" count="1" selected="0">
            <x v="1"/>
          </reference>
          <reference field="17" count="2">
            <x v="10"/>
            <x v="16"/>
          </reference>
        </references>
      </pivotArea>
    </format>
    <format dxfId="119">
      <pivotArea dataOnly="0" labelOnly="1" fieldPosition="0">
        <references count="2">
          <reference field="12" count="1" selected="0">
            <x v="2"/>
          </reference>
          <reference field="17" count="2">
            <x v="5"/>
            <x v="11"/>
          </reference>
        </references>
      </pivotArea>
    </format>
    <format dxfId="118">
      <pivotArea dataOnly="0" labelOnly="1" outline="0" axis="axisValues" fieldPosition="0"/>
    </format>
    <format dxfId="117">
      <pivotArea type="all" dataOnly="0" outline="0" fieldPosition="0"/>
    </format>
    <format dxfId="116">
      <pivotArea outline="0" collapsedLevelsAreSubtotals="1" fieldPosition="0"/>
    </format>
    <format dxfId="115">
      <pivotArea field="12" type="button" dataOnly="0" labelOnly="1" outline="0" axis="axisRow" fieldPosition="0"/>
    </format>
    <format dxfId="114">
      <pivotArea dataOnly="0" labelOnly="1" fieldPosition="0">
        <references count="1">
          <reference field="12" count="0"/>
        </references>
      </pivotArea>
    </format>
    <format dxfId="113">
      <pivotArea dataOnly="0" labelOnly="1" grandRow="1" outline="0" fieldPosition="0"/>
    </format>
    <format dxfId="112">
      <pivotArea dataOnly="0" labelOnly="1" fieldPosition="0">
        <references count="2">
          <reference field="12" count="1" selected="0">
            <x v="0"/>
          </reference>
          <reference field="17" count="1">
            <x v="13"/>
          </reference>
        </references>
      </pivotArea>
    </format>
    <format dxfId="111">
      <pivotArea dataOnly="0" labelOnly="1" fieldPosition="0">
        <references count="2">
          <reference field="12" count="1" selected="0">
            <x v="1"/>
          </reference>
          <reference field="17" count="2">
            <x v="10"/>
            <x v="16"/>
          </reference>
        </references>
      </pivotArea>
    </format>
    <format dxfId="110">
      <pivotArea dataOnly="0" labelOnly="1" fieldPosition="0">
        <references count="2">
          <reference field="12" count="1" selected="0">
            <x v="2"/>
          </reference>
          <reference field="17" count="2">
            <x v="5"/>
            <x v="11"/>
          </reference>
        </references>
      </pivotArea>
    </format>
    <format dxfId="109">
      <pivotArea dataOnly="0" labelOnly="1" outline="0" axis="axisValues" fieldPosition="0"/>
    </format>
  </formats>
  <chartFormats count="1">
    <chartFormat chart="0" format="18" series="1">
      <pivotArea type="data" outline="0" fieldPosition="0">
        <references count="1">
          <reference field="4294967294" count="1" selected="0">
            <x v="0"/>
          </reference>
        </references>
      </pivotArea>
    </chartFormat>
  </chartFormats>
  <pivotTableStyleInfo name="PivotStyleLight19"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F24E1895-FDB6-4BEA-A73F-0839E78B6417}" name="PivotTable21" cacheId="2" applyNumberFormats="0" applyBorderFormats="0" applyFontFormats="0" applyPatternFormats="0" applyAlignmentFormats="0" applyWidthHeightFormats="1" dataCaption="Values" updatedVersion="8" minRefreshableVersion="3" useAutoFormatting="1" itemPrintTitles="1" createdVersion="8" indent="0" multipleFieldFilters="0" chartFormat="9">
  <location ref="A4:B18" firstHeaderRow="1" firstDataRow="1" firstDataCol="1" rowPageCount="1" colPageCount="1"/>
  <pivotFields count="56">
    <pivotField dataField="1" showAll="0" defaultSubtotal="0"/>
    <pivotField axis="axisPage" numFmtId="165" showAll="0" defaultSubtotal="0">
      <items count="21">
        <item x="0"/>
        <item m="1" x="8"/>
        <item m="1" x="9"/>
        <item m="1" x="10"/>
        <item x="1"/>
        <item m="1" x="11"/>
        <item x="2"/>
        <item x="3"/>
        <item m="1" x="12"/>
        <item m="1" x="13"/>
        <item m="1" x="14"/>
        <item x="4"/>
        <item m="1" x="15"/>
        <item m="1" x="16"/>
        <item m="1" x="17"/>
        <item m="1" x="18"/>
        <item x="5"/>
        <item m="1" x="19"/>
        <item m="1" x="20"/>
        <item x="6"/>
        <item x="7"/>
      </items>
    </pivotField>
    <pivotField showAll="0" defaultSubtotal="0"/>
    <pivotField showAll="0" defaultSubtotal="0"/>
    <pivotField numFmtId="166" showAll="0" defaultSubtotal="0"/>
    <pivotField numFmtId="166" showAll="0" defaultSubtotal="0"/>
    <pivotField numFmtId="166" showAll="0" defaultSubtotal="0"/>
    <pivotField showAll="0" defaultSubtotal="0"/>
    <pivotField numFmtId="167" showAll="0" defaultSubtotal="0"/>
    <pivotField numFmtId="166" showAll="0" defaultSubtotal="0"/>
    <pivotField numFmtId="20" showAll="0" defaultSubtotal="0"/>
    <pivotField numFmtId="20" showAll="0" defaultSubtotal="0"/>
    <pivotField axis="axisRow" showAll="0" defaultSubtotal="0">
      <items count="5">
        <item x="3"/>
        <item x="0"/>
        <item x="1"/>
        <item x="2"/>
        <item x="4"/>
      </items>
    </pivotField>
    <pivotField showAll="0" defaultSubtotal="0"/>
    <pivotField showAll="0" defaultSubtotal="0"/>
    <pivotField showAll="0" defaultSubtotal="0"/>
    <pivotField showAll="0" defaultSubtotal="0"/>
    <pivotField axis="axisRow" showAll="0" defaultSubtotal="0">
      <items count="24">
        <item m="1" x="23"/>
        <item m="1" x="9"/>
        <item m="1" x="16"/>
        <item m="1" x="8"/>
        <item m="1" x="10"/>
        <item x="1"/>
        <item m="1" x="20"/>
        <item m="1" x="12"/>
        <item m="1" x="18"/>
        <item m="1" x="14"/>
        <item x="0"/>
        <item x="3"/>
        <item m="1" x="21"/>
        <item x="5"/>
        <item m="1" x="22"/>
        <item m="1" x="7"/>
        <item x="4"/>
        <item m="1" x="11"/>
        <item m="1" x="15"/>
        <item m="1" x="19"/>
        <item m="1" x="17"/>
        <item m="1" x="13"/>
        <item x="2"/>
        <item x="6"/>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howAll="0" defaultSubtotal="0"/>
    <pivotField showAll="0" defaultSubtotal="0"/>
    <pivotField showAll="0" defaultSubtotal="0"/>
    <pivotField showAll="0" defaultSubtotal="0"/>
    <pivotField showAll="0" defaultSubtotal="0"/>
    <pivotField numFmtId="14" showAll="0" defaultSubtotal="0"/>
    <pivotField numFmtId="164" showAll="0" defaultSubtotal="0"/>
    <pivotField subtotalTop="0" showAll="0" defaultSubtotal="0"/>
    <pivotField subtotalTop="0" showAll="0" defaultSubtotal="0"/>
    <pivotField subtotalTop="0" showAll="0" defaultSubtotal="0"/>
    <pivotField subtotalTop="0" showAll="0" defaultSubtotal="0"/>
  </pivotFields>
  <rowFields count="2">
    <field x="12"/>
    <field x="17"/>
  </rowFields>
  <rowItems count="14">
    <i>
      <x/>
    </i>
    <i r="1">
      <x v="13"/>
    </i>
    <i>
      <x v="1"/>
    </i>
    <i r="1">
      <x v="10"/>
    </i>
    <i r="1">
      <x v="16"/>
    </i>
    <i>
      <x v="2"/>
    </i>
    <i r="1">
      <x v="5"/>
    </i>
    <i r="1">
      <x v="11"/>
    </i>
    <i r="1">
      <x v="23"/>
    </i>
    <i>
      <x v="3"/>
    </i>
    <i r="1">
      <x v="22"/>
    </i>
    <i>
      <x v="4"/>
    </i>
    <i r="1">
      <x v="13"/>
    </i>
    <i t="grand">
      <x/>
    </i>
  </rowItems>
  <colItems count="1">
    <i/>
  </colItems>
  <pageFields count="1">
    <pageField fld="1" hier="-1"/>
  </pageFields>
  <dataFields count="1">
    <dataField name="Count of Case Number" fld="0" subtotal="count" baseField="0" baseItem="0"/>
  </dataFields>
  <formats count="18">
    <format dxfId="144">
      <pivotArea type="all" dataOnly="0" outline="0" fieldPosition="0"/>
    </format>
    <format dxfId="143">
      <pivotArea outline="0" collapsedLevelsAreSubtotals="1" fieldPosition="0"/>
    </format>
    <format dxfId="142">
      <pivotArea field="12" type="button" dataOnly="0" labelOnly="1" outline="0" axis="axisRow" fieldPosition="0"/>
    </format>
    <format dxfId="141">
      <pivotArea dataOnly="0" labelOnly="1" fieldPosition="0">
        <references count="1">
          <reference field="12" count="0"/>
        </references>
      </pivotArea>
    </format>
    <format dxfId="140">
      <pivotArea dataOnly="0" labelOnly="1" grandRow="1" outline="0" fieldPosition="0"/>
    </format>
    <format dxfId="139">
      <pivotArea dataOnly="0" labelOnly="1" fieldPosition="0">
        <references count="2">
          <reference field="12" count="1" selected="0">
            <x v="0"/>
          </reference>
          <reference field="17" count="1">
            <x v="13"/>
          </reference>
        </references>
      </pivotArea>
    </format>
    <format dxfId="138">
      <pivotArea dataOnly="0" labelOnly="1" fieldPosition="0">
        <references count="2">
          <reference field="12" count="1" selected="0">
            <x v="1"/>
          </reference>
          <reference field="17" count="2">
            <x v="10"/>
            <x v="16"/>
          </reference>
        </references>
      </pivotArea>
    </format>
    <format dxfId="137">
      <pivotArea dataOnly="0" labelOnly="1" fieldPosition="0">
        <references count="2">
          <reference field="12" count="1" selected="0">
            <x v="2"/>
          </reference>
          <reference field="17" count="2">
            <x v="5"/>
            <x v="11"/>
          </reference>
        </references>
      </pivotArea>
    </format>
    <format dxfId="136">
      <pivotArea dataOnly="0" labelOnly="1" outline="0" axis="axisValues" fieldPosition="0"/>
    </format>
    <format dxfId="135">
      <pivotArea type="all" dataOnly="0" outline="0" fieldPosition="0"/>
    </format>
    <format dxfId="134">
      <pivotArea outline="0" collapsedLevelsAreSubtotals="1" fieldPosition="0"/>
    </format>
    <format dxfId="133">
      <pivotArea field="12" type="button" dataOnly="0" labelOnly="1" outline="0" axis="axisRow" fieldPosition="0"/>
    </format>
    <format dxfId="132">
      <pivotArea dataOnly="0" labelOnly="1" fieldPosition="0">
        <references count="1">
          <reference field="12" count="0"/>
        </references>
      </pivotArea>
    </format>
    <format dxfId="131">
      <pivotArea dataOnly="0" labelOnly="1" grandRow="1" outline="0" fieldPosition="0"/>
    </format>
    <format dxfId="130">
      <pivotArea dataOnly="0" labelOnly="1" fieldPosition="0">
        <references count="2">
          <reference field="12" count="1" selected="0">
            <x v="0"/>
          </reference>
          <reference field="17" count="1">
            <x v="13"/>
          </reference>
        </references>
      </pivotArea>
    </format>
    <format dxfId="129">
      <pivotArea dataOnly="0" labelOnly="1" fieldPosition="0">
        <references count="2">
          <reference field="12" count="1" selected="0">
            <x v="1"/>
          </reference>
          <reference field="17" count="2">
            <x v="10"/>
            <x v="16"/>
          </reference>
        </references>
      </pivotArea>
    </format>
    <format dxfId="128">
      <pivotArea dataOnly="0" labelOnly="1" fieldPosition="0">
        <references count="2">
          <reference field="12" count="1" selected="0">
            <x v="2"/>
          </reference>
          <reference field="17" count="2">
            <x v="5"/>
            <x v="11"/>
          </reference>
        </references>
      </pivotArea>
    </format>
    <format dxfId="127">
      <pivotArea dataOnly="0" labelOnly="1" outline="0" axis="axisValues" fieldPosition="0"/>
    </format>
  </formats>
  <chartFormats count="1">
    <chartFormat chart="0" format="16" series="1">
      <pivotArea type="data" outline="0" fieldPosition="0">
        <references count="1">
          <reference field="4294967294" count="1" selected="0">
            <x v="0"/>
          </reference>
        </references>
      </pivotArea>
    </chartFormat>
  </chartFormats>
  <pivotTableStyleInfo name="PivotStyleLight17 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DA727947-4AA6-4A55-8E45-2B8C2FEFA47F}" name="PivotTable18" cacheId="1" applyNumberFormats="0" applyBorderFormats="0" applyFontFormats="0" applyPatternFormats="0" applyAlignmentFormats="0" applyWidthHeightFormats="1" dataCaption="Values" updatedVersion="8" minRefreshableVersion="3" useAutoFormatting="1" itemPrintTitles="1" createdVersion="8" indent="0" multipleFieldFilters="0">
  <location ref="E6:F17" firstHeaderRow="1" firstDataRow="1" firstDataCol="1" rowPageCount="1" colPageCount="1"/>
  <pivotFields count="56">
    <pivotField dataField="1" showAll="0" defaultSubtotal="0"/>
    <pivotField axis="axisPage" numFmtId="165" showAll="0" defaultSubtotal="0">
      <items count="4">
        <item x="0"/>
        <item x="1"/>
        <item x="2"/>
        <item x="3"/>
      </items>
    </pivotField>
    <pivotField showAll="0" defaultSubtotal="0"/>
    <pivotField showAll="0" defaultSubtotal="0"/>
    <pivotField numFmtId="166" showAll="0" defaultSubtotal="0"/>
    <pivotField numFmtId="166" showAll="0" defaultSubtotal="0"/>
    <pivotField numFmtId="166" showAll="0" defaultSubtotal="0"/>
    <pivotField axis="axisRow" showAll="0" defaultSubtotal="0">
      <items count="3">
        <item x="0"/>
        <item x="1"/>
        <item x="2"/>
      </items>
    </pivotField>
    <pivotField numFmtId="167" showAll="0" defaultSubtotal="0"/>
    <pivotField numFmtId="166" showAll="0" defaultSubtotal="0"/>
    <pivotField numFmtId="20" showAll="0" defaultSubtotal="0"/>
    <pivotField numFmtId="20" showAll="0" defaultSubtotal="0"/>
    <pivotField subtotalTop="0" showAll="0" defaultSubtotal="0"/>
    <pivotField showAll="0" defaultSubtotal="0"/>
    <pivotField showAll="0" defaultSubtotal="0"/>
    <pivotField showAll="0" defaultSubtotal="0"/>
    <pivotField axis="axisRow" showAll="0" defaultSubtotal="0">
      <items count="5">
        <item x="0"/>
        <item x="2"/>
        <item x="1"/>
        <item x="3"/>
        <item x="4"/>
      </items>
    </pivotField>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ubtotalTop="0" showAll="0" defaultSubtotal="0"/>
    <pivotField numFmtId="165" showAll="0" defaultSubtotal="0"/>
    <pivotField numFmtId="20" showAll="0" defaultSubtotal="0"/>
    <pivotField showAll="0" defaultSubtotal="0"/>
    <pivotField showAll="0" defaultSubtotal="0"/>
    <pivotField numFmtId="14" showAll="0" defaultSubtotal="0"/>
    <pivotField numFmtId="164" showAll="0" defaultSubtotal="0"/>
    <pivotField subtotalTop="0" showAll="0" defaultSubtotal="0"/>
    <pivotField subtotalTop="0" showAll="0" defaultSubtotal="0"/>
    <pivotField subtotalTop="0" showAll="0" defaultSubtotal="0"/>
    <pivotField subtotalTop="0" showAll="0" defaultSubtotal="0"/>
  </pivotFields>
  <rowFields count="2">
    <field x="16"/>
    <field x="7"/>
  </rowFields>
  <rowItems count="11">
    <i>
      <x/>
    </i>
    <i r="1">
      <x/>
    </i>
    <i>
      <x v="1"/>
    </i>
    <i r="1">
      <x v="2"/>
    </i>
    <i>
      <x v="2"/>
    </i>
    <i r="1">
      <x v="1"/>
    </i>
    <i>
      <x v="3"/>
    </i>
    <i r="1">
      <x/>
    </i>
    <i>
      <x v="4"/>
    </i>
    <i r="1">
      <x/>
    </i>
    <i t="grand">
      <x/>
    </i>
  </rowItems>
  <colItems count="1">
    <i/>
  </colItems>
  <pageFields count="1">
    <pageField fld="1" hier="-1"/>
  </pageFields>
  <dataFields count="1">
    <dataField name="Count of Case Number" fld="0" subtotal="count" baseField="0" baseItem="0"/>
  </dataFields>
  <pivotTableStyleInfo name="PivotStyleLight19"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D8261354-8A4E-46CF-9F20-8CC02871CAF1}" name="PivotTable17" cacheId="1" applyNumberFormats="0" applyBorderFormats="0" applyFontFormats="0" applyPatternFormats="0" applyAlignmentFormats="0" applyWidthHeightFormats="1" dataCaption="Values" updatedVersion="8" minRefreshableVersion="3" useAutoFormatting="1" itemPrintTitles="1" createdVersion="8" indent="0" multipleFieldFilters="0">
  <location ref="H6:I17" firstHeaderRow="1" firstDataRow="1" firstDataCol="1" rowPageCount="1" colPageCount="1"/>
  <pivotFields count="56">
    <pivotField dataField="1" showAll="0" defaultSubtotal="0"/>
    <pivotField axis="axisPage" numFmtId="165" showAll="0" defaultSubtotal="0">
      <items count="4">
        <item x="0"/>
        <item x="1"/>
        <item x="2"/>
        <item x="3"/>
      </items>
    </pivotField>
    <pivotField showAll="0" defaultSubtotal="0"/>
    <pivotField showAll="0" defaultSubtotal="0"/>
    <pivotField numFmtId="166" showAll="0" defaultSubtotal="0"/>
    <pivotField numFmtId="166" showAll="0" defaultSubtotal="0"/>
    <pivotField numFmtId="166" showAll="0" defaultSubtotal="0"/>
    <pivotField axis="axisRow" showAll="0" defaultSubtotal="0">
      <items count="3">
        <item x="0"/>
        <item x="1"/>
        <item x="2"/>
      </items>
    </pivotField>
    <pivotField numFmtId="167" showAll="0" defaultSubtotal="0"/>
    <pivotField numFmtId="166" showAll="0" defaultSubtotal="0"/>
    <pivotField numFmtId="20" showAll="0" defaultSubtotal="0"/>
    <pivotField numFmtId="20" showAll="0" defaultSubtotal="0"/>
    <pivotField subtotalTop="0" showAll="0" defaultSubtotal="0"/>
    <pivotField showAll="0" defaultSubtotal="0"/>
    <pivotField showAll="0" defaultSubtotal="0"/>
    <pivotField showAll="0" defaultSubtotal="0"/>
    <pivotField axis="axisRow" showAll="0" defaultSubtotal="0">
      <items count="5">
        <item x="0"/>
        <item x="2"/>
        <item x="1"/>
        <item x="3"/>
        <item x="4"/>
      </items>
    </pivotField>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ubtotalTop="0" showAll="0" defaultSubtotal="0"/>
    <pivotField numFmtId="165" showAll="0" defaultSubtotal="0"/>
    <pivotField numFmtId="20" showAll="0" defaultSubtotal="0"/>
    <pivotField showAll="0" defaultSubtotal="0"/>
    <pivotField showAll="0" defaultSubtotal="0"/>
    <pivotField numFmtId="14" showAll="0" defaultSubtotal="0"/>
    <pivotField numFmtId="164" showAll="0" defaultSubtotal="0"/>
    <pivotField subtotalTop="0" showAll="0" defaultSubtotal="0"/>
    <pivotField subtotalTop="0" showAll="0" defaultSubtotal="0"/>
    <pivotField subtotalTop="0" showAll="0" defaultSubtotal="0"/>
    <pivotField subtotalTop="0" showAll="0" defaultSubtotal="0"/>
  </pivotFields>
  <rowFields count="2">
    <field x="16"/>
    <field x="7"/>
  </rowFields>
  <rowItems count="11">
    <i>
      <x/>
    </i>
    <i r="1">
      <x/>
    </i>
    <i>
      <x v="1"/>
    </i>
    <i r="1">
      <x v="2"/>
    </i>
    <i>
      <x v="2"/>
    </i>
    <i r="1">
      <x v="1"/>
    </i>
    <i>
      <x v="3"/>
    </i>
    <i r="1">
      <x/>
    </i>
    <i>
      <x v="4"/>
    </i>
    <i r="1">
      <x/>
    </i>
    <i t="grand">
      <x/>
    </i>
  </rowItems>
  <colItems count="1">
    <i/>
  </colItems>
  <pageFields count="1">
    <pageField fld="1" hier="-1"/>
  </pageFields>
  <dataFields count="1">
    <dataField name="Count of Case Number" fld="0" subtotal="count" baseField="0" baseItem="0"/>
  </dataFields>
  <pivotTableStyleInfo name="PivotStyleLight17"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634B2207-C247-485A-8F5B-F715DB6AC453}" name="PivotTable19" cacheId="1" applyNumberFormats="0" applyBorderFormats="0" applyFontFormats="0" applyPatternFormats="0" applyAlignmentFormats="0" applyWidthHeightFormats="1" dataCaption="Values" updatedVersion="8" minRefreshableVersion="3" useAutoFormatting="1" itemPrintTitles="1" createdVersion="8" indent="0" multipleFieldFilters="0">
  <location ref="B6:C17" firstHeaderRow="1" firstDataRow="1" firstDataCol="1" rowPageCount="1" colPageCount="1"/>
  <pivotFields count="56">
    <pivotField dataField="1" showAll="0" defaultSubtotal="0"/>
    <pivotField axis="axisPage" numFmtId="165" showAll="0" defaultSubtotal="0">
      <items count="4">
        <item x="0"/>
        <item x="1"/>
        <item x="2"/>
        <item x="3"/>
      </items>
    </pivotField>
    <pivotField showAll="0" defaultSubtotal="0"/>
    <pivotField showAll="0" defaultSubtotal="0"/>
    <pivotField numFmtId="166" showAll="0" defaultSubtotal="0"/>
    <pivotField numFmtId="166" showAll="0" defaultSubtotal="0"/>
    <pivotField numFmtId="166" showAll="0" defaultSubtotal="0"/>
    <pivotField axis="axisRow" showAll="0" defaultSubtotal="0">
      <items count="3">
        <item x="0"/>
        <item x="1"/>
        <item x="2"/>
      </items>
    </pivotField>
    <pivotField numFmtId="167" showAll="0" defaultSubtotal="0"/>
    <pivotField numFmtId="166" showAll="0" defaultSubtotal="0"/>
    <pivotField numFmtId="20" showAll="0" defaultSubtotal="0"/>
    <pivotField numFmtId="20" showAll="0" defaultSubtotal="0"/>
    <pivotField subtotalTop="0" showAll="0" defaultSubtotal="0"/>
    <pivotField showAll="0" defaultSubtotal="0"/>
    <pivotField showAll="0" defaultSubtotal="0"/>
    <pivotField showAll="0" defaultSubtotal="0"/>
    <pivotField axis="axisRow" showAll="0" defaultSubtotal="0">
      <items count="5">
        <item x="0"/>
        <item x="2"/>
        <item x="1"/>
        <item x="3"/>
        <item x="4"/>
      </items>
    </pivotField>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numFmtId="168" showAll="0" defaultSubtotal="0"/>
    <pivotField showAll="0" defaultSubtotal="0"/>
    <pivotField subtotalTop="0" showAll="0" defaultSubtotal="0"/>
    <pivotField numFmtId="165" showAll="0" defaultSubtotal="0"/>
    <pivotField numFmtId="20" showAll="0" defaultSubtotal="0"/>
    <pivotField showAll="0" defaultSubtotal="0"/>
    <pivotField showAll="0" defaultSubtotal="0"/>
    <pivotField numFmtId="14" showAll="0" defaultSubtotal="0"/>
    <pivotField numFmtId="164" showAll="0" defaultSubtotal="0"/>
    <pivotField subtotalTop="0" showAll="0" defaultSubtotal="0"/>
    <pivotField subtotalTop="0" showAll="0" defaultSubtotal="0"/>
    <pivotField subtotalTop="0" showAll="0" defaultSubtotal="0"/>
    <pivotField subtotalTop="0" showAll="0" defaultSubtotal="0"/>
  </pivotFields>
  <rowFields count="2">
    <field x="16"/>
    <field x="7"/>
  </rowFields>
  <rowItems count="11">
    <i>
      <x/>
    </i>
    <i r="1">
      <x/>
    </i>
    <i>
      <x v="1"/>
    </i>
    <i r="1">
      <x v="2"/>
    </i>
    <i>
      <x v="2"/>
    </i>
    <i r="1">
      <x v="1"/>
    </i>
    <i>
      <x v="3"/>
    </i>
    <i r="1">
      <x/>
    </i>
    <i>
      <x v="4"/>
    </i>
    <i r="1">
      <x/>
    </i>
    <i t="grand">
      <x/>
    </i>
  </rowItems>
  <colItems count="1">
    <i/>
  </colItems>
  <pageFields count="1">
    <pageField fld="1" hier="-1"/>
  </pageFields>
  <dataFields count="1">
    <dataField name="Count of Case Number" fld="0" subtotal="count" baseField="0" baseItem="0"/>
  </dataFields>
  <pivotTableStyleInfo name="PivotStyleLight17 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6" connectionId="7" xr16:uid="{00000000-0016-0000-0000-000000000000}" autoFormatId="16" applyNumberFormats="0" applyBorderFormats="0" applyFontFormats="0" applyPatternFormats="0" applyAlignmentFormats="0" applyWidthHeightFormats="0">
  <queryTableRefresh nextId="148">
    <queryTableFields count="57">
      <queryTableField id="1" name="Case Number" tableColumnId="1"/>
      <queryTableField id="2" name="INC_Date" tableColumnId="2"/>
      <queryTableField id="3" name="Year" tableColumnId="3"/>
      <queryTableField id="4" name="Month Name" tableColumnId="4"/>
      <queryTableField id="5" name="Quarter" tableColumnId="5"/>
      <queryTableField id="6" name="Week of Year" tableColumnId="6"/>
      <queryTableField id="7" name="Week of Month" tableColumnId="7"/>
      <queryTableField id="8" name="Day Name" tableColumnId="8"/>
      <queryTableField id="9" name="Day of Year" tableColumnId="9"/>
      <queryTableField id="10" name="Day" tableColumnId="10"/>
      <queryTableField id="47" name="Start of Hour" tableColumnId="47"/>
      <queryTableField id="11" name="INC_Time" tableColumnId="11"/>
      <queryTableField id="88" name="Target_Incidents" tableColumnId="52"/>
      <queryTableField id="18" name="Incident Type_1" tableColumnId="18"/>
      <queryTableField id="19" name="Incident Type_2" tableColumnId="19"/>
      <queryTableField id="20" name="Incident Type_3" tableColumnId="20"/>
      <queryTableField id="43" name="All_Incident_Types" tableColumnId="43"/>
      <queryTableField id="85" name="Block" tableColumnId="51"/>
      <queryTableField id="49" name="Location" tableColumnId="49"/>
      <queryTableField id="21" name="FullAddress" tableColumnId="21"/>
      <queryTableField id="22" name="Grid" tableColumnId="22"/>
      <queryTableField id="23" name="Zone" tableColumnId="23"/>
      <queryTableField id="24" name="Narrative" tableColumnId="24"/>
      <queryTableField id="25" name="Total Value Stolen" tableColumnId="25"/>
      <queryTableField id="26" name="Total Value Recover" tableColumnId="26"/>
      <queryTableField id="132" name="VEHICLE1" tableColumnId="53"/>
      <queryTableField id="133" name="VEHICLE2" tableColumnId="54"/>
      <queryTableField id="27" name="Registration 1" tableColumnId="27"/>
      <queryTableField id="28" name="Make1" tableColumnId="28"/>
      <queryTableField id="29" name="Model1" tableColumnId="29"/>
      <queryTableField id="30" name="Reg State 1" tableColumnId="30"/>
      <queryTableField id="31" name="Registration 2" tableColumnId="31"/>
      <queryTableField id="32" name="Reg State 2" tableColumnId="32"/>
      <queryTableField id="33" name="Make2" tableColumnId="33"/>
      <queryTableField id="34" name="Model2" tableColumnId="34"/>
      <queryTableField id="35" name="Reviewed By" tableColumnId="35"/>
      <queryTableField id="36" name="CompleteCalc" tableColumnId="36"/>
      <queryTableField id="37" name="Officer of Record" tableColumnId="37"/>
      <queryTableField id="38" name="Squad" tableColumnId="38"/>
      <queryTableField id="39" name="Det_Assigned" tableColumnId="39"/>
      <queryTableField id="40" name="Case_Status" tableColumnId="40"/>
      <queryTableField id="41" name="NIBRS Classification" tableColumnId="41"/>
      <queryTableField id="42" name="OCA_Length" tableColumnId="42"/>
      <queryTableField id="12" name="INC_Date_and_Time" tableColumnId="12"/>
      <queryTableField id="44" name="Narrative - Copy" tableColumnId="44"/>
      <queryTableField id="84" name="Text Before Delimiter" tableColumnId="50"/>
      <queryTableField id="46" name="Incident Date" tableColumnId="46"/>
      <queryTableField id="13" name="Incident Time" tableColumnId="13"/>
      <queryTableField id="14" name="Incident Date_Between" tableColumnId="14"/>
      <queryTableField id="15" name="Incident Time_Between" tableColumnId="15"/>
      <queryTableField id="16" name="Report Date" tableColumnId="16"/>
      <queryTableField id="17" name="Report Time" tableColumnId="17"/>
      <queryTableField id="136" name="SEASON" tableColumnId="45"/>
      <queryTableField id="139" name="TIMEOFDAY" tableColumnId="56"/>
      <queryTableField id="142" name="CYCLE" tableColumnId="58"/>
      <queryTableField id="145" name="DUE_DATE" tableColumnId="60"/>
      <queryTableField id="48" name="Logic" tableColumnId="4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7" connectionId="8" xr16:uid="{00000000-0016-0000-0100-000001000000}" autoFormatId="16" applyNumberFormats="0" applyBorderFormats="0" applyFontFormats="0" applyPatternFormats="0" applyAlignmentFormats="0" applyWidthHeightFormats="0">
  <queryTableRefresh nextId="148">
    <queryTableFields count="57">
      <queryTableField id="1" name="Case Number" tableColumnId="1"/>
      <queryTableField id="2" name="INC_Date" tableColumnId="2"/>
      <queryTableField id="3" name="Year" tableColumnId="3"/>
      <queryTableField id="4" name="Month Name" tableColumnId="4"/>
      <queryTableField id="5" name="Quarter" tableColumnId="5"/>
      <queryTableField id="6" name="Week of Year" tableColumnId="6"/>
      <queryTableField id="7" name="Week of Month" tableColumnId="7"/>
      <queryTableField id="8" name="Day Name" tableColumnId="8"/>
      <queryTableField id="9" name="Day of Year" tableColumnId="9"/>
      <queryTableField id="10" name="Day" tableColumnId="10"/>
      <queryTableField id="47" name="Start of Hour" tableColumnId="47"/>
      <queryTableField id="11" name="INC_Time" tableColumnId="11"/>
      <queryTableField id="88" name="Target_Incidents" tableColumnId="52"/>
      <queryTableField id="18" name="Incident Type_1" tableColumnId="18"/>
      <queryTableField id="19" name="Incident Type_2" tableColumnId="19"/>
      <queryTableField id="20" name="Incident Type_3" tableColumnId="20"/>
      <queryTableField id="43" name="All_Incident_Types" tableColumnId="43"/>
      <queryTableField id="85" name="Block" tableColumnId="51"/>
      <queryTableField id="49" name="Location" tableColumnId="49"/>
      <queryTableField id="21" name="FullAddress" tableColumnId="21"/>
      <queryTableField id="22" name="Grid" tableColumnId="22"/>
      <queryTableField id="23" name="Zone" tableColumnId="23"/>
      <queryTableField id="24" name="Narrative" tableColumnId="24"/>
      <queryTableField id="25" name="Total Value Stolen" tableColumnId="25"/>
      <queryTableField id="26" name="Total Value Recover" tableColumnId="26"/>
      <queryTableField id="132" name="VEHICLE1" tableColumnId="53"/>
      <queryTableField id="133" name="VEHICLE2" tableColumnId="54"/>
      <queryTableField id="27" name="Registration 1" tableColumnId="27"/>
      <queryTableField id="28" name="Make1" tableColumnId="28"/>
      <queryTableField id="29" name="Model1" tableColumnId="29"/>
      <queryTableField id="30" name="Reg State 1" tableColumnId="30"/>
      <queryTableField id="31" name="Registration 2" tableColumnId="31"/>
      <queryTableField id="32" name="Reg State 2" tableColumnId="32"/>
      <queryTableField id="33" name="Make2" tableColumnId="33"/>
      <queryTableField id="34" name="Model2" tableColumnId="34"/>
      <queryTableField id="35" name="Reviewed By" tableColumnId="35"/>
      <queryTableField id="36" name="CompleteCalc" tableColumnId="36"/>
      <queryTableField id="37" name="Officer of Record" tableColumnId="37"/>
      <queryTableField id="38" name="Squad" tableColumnId="38"/>
      <queryTableField id="39" name="Det_Assigned" tableColumnId="39"/>
      <queryTableField id="40" name="Case_Status" tableColumnId="40"/>
      <queryTableField id="41" name="NIBRS Classification" tableColumnId="41"/>
      <queryTableField id="42" name="OCA_Length" tableColumnId="42"/>
      <queryTableField id="12" name="INC_Date_and_Time" tableColumnId="12"/>
      <queryTableField id="44" name="Narrative - Copy" tableColumnId="44"/>
      <queryTableField id="84" name="Text Before Delimiter" tableColumnId="50"/>
      <queryTableField id="46" name="Incident Date" tableColumnId="46"/>
      <queryTableField id="13" name="Incident Time" tableColumnId="13"/>
      <queryTableField id="14" name="Incident Date_Between" tableColumnId="14"/>
      <queryTableField id="15" name="Incident Time_Between" tableColumnId="15"/>
      <queryTableField id="16" name="Report Date" tableColumnId="16"/>
      <queryTableField id="17" name="Report Time" tableColumnId="17"/>
      <queryTableField id="136" name="SEASON" tableColumnId="45"/>
      <queryTableField id="139" name="TIMEOFDAY" tableColumnId="56"/>
      <queryTableField id="142" name="CYCLE" tableColumnId="58"/>
      <queryTableField id="145" name="DUE_DATE" tableColumnId="60"/>
      <queryTableField id="48" name="Logic" tableColumnId="4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8" connectionId="9" xr16:uid="{00000000-0016-0000-0200-000002000000}" autoFormatId="16" applyNumberFormats="0" applyBorderFormats="0" applyFontFormats="0" applyPatternFormats="0" applyAlignmentFormats="0" applyWidthHeightFormats="0">
  <queryTableRefresh nextId="148">
    <queryTableFields count="57">
      <queryTableField id="1" name="Case Number" tableColumnId="1"/>
      <queryTableField id="2" name="INC_Date" tableColumnId="2"/>
      <queryTableField id="3" name="Year" tableColumnId="3"/>
      <queryTableField id="4" name="Month Name" tableColumnId="4"/>
      <queryTableField id="5" name="Quarter" tableColumnId="5"/>
      <queryTableField id="6" name="Week of Year" tableColumnId="6"/>
      <queryTableField id="7" name="Week of Month" tableColumnId="7"/>
      <queryTableField id="8" name="Day Name" tableColumnId="8"/>
      <queryTableField id="9" name="Day of Year" tableColumnId="9"/>
      <queryTableField id="10" name="Day" tableColumnId="10"/>
      <queryTableField id="47" name="Start of Hour" tableColumnId="47"/>
      <queryTableField id="11" name="INC_Time" tableColumnId="11"/>
      <queryTableField id="88" name="Target_Incidents" tableColumnId="52"/>
      <queryTableField id="18" name="Incident Type_1" tableColumnId="18"/>
      <queryTableField id="19" name="Incident Type_2" tableColumnId="19"/>
      <queryTableField id="20" name="Incident Type_3" tableColumnId="20"/>
      <queryTableField id="43" name="All_Incident_Types" tableColumnId="43"/>
      <queryTableField id="85" name="Block" tableColumnId="51"/>
      <queryTableField id="49" name="Location" tableColumnId="49"/>
      <queryTableField id="21" name="FullAddress" tableColumnId="21"/>
      <queryTableField id="22" name="Grid" tableColumnId="22"/>
      <queryTableField id="23" name="Zone" tableColumnId="23"/>
      <queryTableField id="24" name="Narrative" tableColumnId="24"/>
      <queryTableField id="25" name="Total Value Stolen" tableColumnId="25"/>
      <queryTableField id="26" name="Total Value Recover" tableColumnId="26"/>
      <queryTableField id="132" name="VEHICLE1" tableColumnId="53"/>
      <queryTableField id="133" name="VEHICLE2" tableColumnId="54"/>
      <queryTableField id="27" name="Registration 1" tableColumnId="27"/>
      <queryTableField id="28" name="Make1" tableColumnId="28"/>
      <queryTableField id="29" name="Model1" tableColumnId="29"/>
      <queryTableField id="30" name="Reg State 1" tableColumnId="30"/>
      <queryTableField id="31" name="Registration 2" tableColumnId="31"/>
      <queryTableField id="32" name="Reg State 2" tableColumnId="32"/>
      <queryTableField id="33" name="Make2" tableColumnId="33"/>
      <queryTableField id="34" name="Model2" tableColumnId="34"/>
      <queryTableField id="35" name="Reviewed By" tableColumnId="35"/>
      <queryTableField id="36" name="CompleteCalc" tableColumnId="36"/>
      <queryTableField id="37" name="Officer of Record" tableColumnId="37"/>
      <queryTableField id="38" name="Squad" tableColumnId="38"/>
      <queryTableField id="39" name="Det_Assigned" tableColumnId="39"/>
      <queryTableField id="40" name="Case_Status" tableColumnId="40"/>
      <queryTableField id="41" name="NIBRS Classification" tableColumnId="41"/>
      <queryTableField id="42" name="OCA_Length" tableColumnId="42"/>
      <queryTableField id="12" name="INC_Date_and_Time" tableColumnId="12"/>
      <queryTableField id="44" name="Narrative - Copy" tableColumnId="44"/>
      <queryTableField id="84" name="Text Before Delimiter" tableColumnId="50"/>
      <queryTableField id="46" name="Incident Date" tableColumnId="46"/>
      <queryTableField id="13" name="Incident Time" tableColumnId="13"/>
      <queryTableField id="14" name="Incident Date_Between" tableColumnId="14"/>
      <queryTableField id="15" name="Incident Time_Between" tableColumnId="15"/>
      <queryTableField id="16" name="Report Date" tableColumnId="16"/>
      <queryTableField id="17" name="Report Time" tableColumnId="17"/>
      <queryTableField id="136" name="SEASON" tableColumnId="45"/>
      <queryTableField id="139" name="TIMEOFDAY" tableColumnId="56"/>
      <queryTableField id="142" name="CYCLE" tableColumnId="58"/>
      <queryTableField id="145" name="DUE_DATE" tableColumnId="60"/>
      <queryTableField id="48" name="Logic" tableColumnId="4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9" connectionId="12" xr16:uid="{00000000-0016-0000-0300-000003000000}" autoFormatId="16" applyNumberFormats="0" applyBorderFormats="0" applyFontFormats="0" applyPatternFormats="0" applyAlignmentFormats="0" applyWidthHeightFormats="0">
  <queryTableRefresh nextId="148">
    <queryTableFields count="57">
      <queryTableField id="1" name="Case Number" tableColumnId="1"/>
      <queryTableField id="2" name="INC_Date" tableColumnId="2"/>
      <queryTableField id="3" name="Year" tableColumnId="3"/>
      <queryTableField id="4" name="Month Name" tableColumnId="4"/>
      <queryTableField id="5" name="Quarter" tableColumnId="5"/>
      <queryTableField id="6" name="Week of Year" tableColumnId="6"/>
      <queryTableField id="7" name="Week of Month" tableColumnId="7"/>
      <queryTableField id="8" name="Day Name" tableColumnId="8"/>
      <queryTableField id="9" name="Day of Year" tableColumnId="9"/>
      <queryTableField id="10" name="Day" tableColumnId="10"/>
      <queryTableField id="47" name="Start of Hour" tableColumnId="47"/>
      <queryTableField id="11" name="INC_Time" tableColumnId="11"/>
      <queryTableField id="88" name="Target_Incidents" tableColumnId="52"/>
      <queryTableField id="18" name="Incident Type_1" tableColumnId="18"/>
      <queryTableField id="19" name="Incident Type_2" tableColumnId="19"/>
      <queryTableField id="20" name="Incident Type_3" tableColumnId="20"/>
      <queryTableField id="43" name="All_Incident_Types" tableColumnId="43"/>
      <queryTableField id="85" name="Block" tableColumnId="51"/>
      <queryTableField id="49" name="Location" tableColumnId="49"/>
      <queryTableField id="21" name="FullAddress" tableColumnId="21"/>
      <queryTableField id="22" name="Grid" tableColumnId="22"/>
      <queryTableField id="23" name="Zone" tableColumnId="23"/>
      <queryTableField id="24" name="Narrative" tableColumnId="24"/>
      <queryTableField id="25" name="Total Value Stolen" tableColumnId="25"/>
      <queryTableField id="26" name="Total Value Recover" tableColumnId="26"/>
      <queryTableField id="132" name="VEHICLE1" tableColumnId="53"/>
      <queryTableField id="133" name="VEHICLE2" tableColumnId="54"/>
      <queryTableField id="27" name="Registration 1" tableColumnId="27"/>
      <queryTableField id="28" name="Make1" tableColumnId="28"/>
      <queryTableField id="29" name="Model1" tableColumnId="29"/>
      <queryTableField id="30" name="Reg State 1" tableColumnId="30"/>
      <queryTableField id="31" name="Registration 2" tableColumnId="31"/>
      <queryTableField id="32" name="Reg State 2" tableColumnId="32"/>
      <queryTableField id="33" name="Make2" tableColumnId="33"/>
      <queryTableField id="34" name="Model2" tableColumnId="34"/>
      <queryTableField id="35" name="Reviewed By" tableColumnId="35"/>
      <queryTableField id="36" name="CompleteCalc" tableColumnId="36"/>
      <queryTableField id="37" name="Officer of Record" tableColumnId="37"/>
      <queryTableField id="38" name="Squad" tableColumnId="38"/>
      <queryTableField id="39" name="Det_Assigned" tableColumnId="39"/>
      <queryTableField id="40" name="Case_Status" tableColumnId="40"/>
      <queryTableField id="41" name="NIBRS Classification" tableColumnId="41"/>
      <queryTableField id="42" name="OCA_Length" tableColumnId="42"/>
      <queryTableField id="12" name="INC_Date_and_Time" tableColumnId="12"/>
      <queryTableField id="44" name="Narrative - Copy" tableColumnId="44"/>
      <queryTableField id="84" name="Text Before Delimiter" tableColumnId="50"/>
      <queryTableField id="46" name="Incident Date" tableColumnId="46"/>
      <queryTableField id="13" name="Incident Time" tableColumnId="13"/>
      <queryTableField id="14" name="Incident Date_Between" tableColumnId="14"/>
      <queryTableField id="15" name="Incident Time_Between" tableColumnId="15"/>
      <queryTableField id="16" name="Report Date" tableColumnId="16"/>
      <queryTableField id="17" name="Report Time" tableColumnId="17"/>
      <queryTableField id="136" name="SEASON" tableColumnId="45"/>
      <queryTableField id="139" name="TIMEOFDAY" tableColumnId="56"/>
      <queryTableField id="142" name="CYCLE" tableColumnId="58"/>
      <queryTableField id="145" name="DUE_DATE" tableColumnId="60"/>
      <queryTableField id="48" name="Logic" tableColumnId="4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1" connectionId="6" xr16:uid="{9A7424A0-99F2-4A03-9086-38E51592F854}" autoFormatId="16" applyNumberFormats="0" applyBorderFormats="0" applyFontFormats="0" applyPatternFormats="0" applyAlignmentFormats="0" applyWidthHeightFormats="0">
  <queryTableRefresh nextId="48">
    <queryTableFields count="47">
      <queryTableField id="1" name="Source.Name" tableColumnId="1"/>
      <queryTableField id="2" name="Case Number" tableColumnId="2"/>
      <queryTableField id="3" name="INC_DATE" tableColumnId="3"/>
      <queryTableField id="4" name="INC_TIME" tableColumnId="4"/>
      <queryTableField id="5" name="Year" tableColumnId="5"/>
      <queryTableField id="6" name="Month Name" tableColumnId="6"/>
      <queryTableField id="7" name="Day Name" tableColumnId="7"/>
      <queryTableField id="8" name="Start of Hour" tableColumnId="8"/>
      <queryTableField id="9" name="ALL_INCIDENT_TYPES" tableColumnId="9"/>
      <queryTableField id="10" name="Incident Type_1" tableColumnId="10"/>
      <queryTableField id="11" name="Incident Type_2" tableColumnId="11"/>
      <queryTableField id="12" name="Incident Type_3" tableColumnId="12"/>
      <queryTableField id="13" name="Text Before Delimiter" tableColumnId="13"/>
      <queryTableField id="14" name="FullAddress" tableColumnId="14"/>
      <queryTableField id="15" name="Grid" tableColumnId="15"/>
      <queryTableField id="16" name="Zone" tableColumnId="16"/>
      <queryTableField id="17" name="Narrative" tableColumnId="17"/>
      <queryTableField id="18" name="Total Value Stolen" tableColumnId="18"/>
      <queryTableField id="19" name="Total Value Recover" tableColumnId="19"/>
      <queryTableField id="20" name="Registration 1" tableColumnId="20"/>
      <queryTableField id="21" name="Make1" tableColumnId="21"/>
      <queryTableField id="22" name="Model1" tableColumnId="22"/>
      <queryTableField id="23" name="Reg State 1" tableColumnId="23"/>
      <queryTableField id="24" name="Registration 2" tableColumnId="24"/>
      <queryTableField id="25" name="Reg State 2" tableColumnId="25"/>
      <queryTableField id="26" name="Make2" tableColumnId="26"/>
      <queryTableField id="27" name="Model2" tableColumnId="27"/>
      <queryTableField id="28" name="Reviewed By" tableColumnId="28"/>
      <queryTableField id="29" name="CompleteCalc" tableColumnId="29"/>
      <queryTableField id="30" name="Officer of Record" tableColumnId="30"/>
      <queryTableField id="31" name="Squad" tableColumnId="31"/>
      <queryTableField id="32" name="Det_Assigned" tableColumnId="32"/>
      <queryTableField id="33" name="Case_Status" tableColumnId="33"/>
      <queryTableField id="34" name="NIBRS Classification" tableColumnId="34"/>
      <queryTableField id="35" name="OCA_COUNT" tableColumnId="35"/>
      <queryTableField id="36" name="Incident Date" tableColumnId="36"/>
      <queryTableField id="37" name="Incident Time" tableColumnId="37"/>
      <queryTableField id="38" name="Incident Date_Between" tableColumnId="38"/>
      <queryTableField id="39" name="Incident Time_Between" tableColumnId="39"/>
      <queryTableField id="40" name="Report Date" tableColumnId="40"/>
      <queryTableField id="41" name="Report Time" tableColumnId="41"/>
      <queryTableField id="42" name="Quarter" tableColumnId="42"/>
      <queryTableField id="43" name="Week of Year" tableColumnId="43"/>
      <queryTableField id="44" name="Week of Month" tableColumnId="44"/>
      <queryTableField id="45" name="Day" tableColumnId="45"/>
      <queryTableField id="46" name="Day of Year" tableColumnId="46"/>
      <queryTableField id="47" name="INC_DATE_AND_TIME" tableColumnId="4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0" connectionId="16" xr16:uid="{00000000-0016-0000-0400-000004000000}" autoFormatId="16" applyNumberFormats="0" applyBorderFormats="0" applyFontFormats="0" applyPatternFormats="0" applyAlignmentFormats="0" applyWidthHeightFormats="0">
  <queryTableRefresh nextId="148">
    <queryTableFields count="57">
      <queryTableField id="1" name="Case Number" tableColumnId="1"/>
      <queryTableField id="2" name="INC_Date" tableColumnId="2"/>
      <queryTableField id="3" name="Year" tableColumnId="3"/>
      <queryTableField id="4" name="Month Name" tableColumnId="4"/>
      <queryTableField id="5" name="Quarter" tableColumnId="5"/>
      <queryTableField id="6" name="Week of Year" tableColumnId="6"/>
      <queryTableField id="7" name="Week of Month" tableColumnId="7"/>
      <queryTableField id="8" name="Day Name" tableColumnId="8"/>
      <queryTableField id="9" name="Day of Year" tableColumnId="9"/>
      <queryTableField id="10" name="Day" tableColumnId="10"/>
      <queryTableField id="47" name="Start of Hour" tableColumnId="47"/>
      <queryTableField id="11" name="INC_Time" tableColumnId="11"/>
      <queryTableField id="88" name="Target_Incidents" tableColumnId="52"/>
      <queryTableField id="18" name="Incident Type_1" tableColumnId="18"/>
      <queryTableField id="19" name="Incident Type_2" tableColumnId="19"/>
      <queryTableField id="20" name="Incident Type_3" tableColumnId="20"/>
      <queryTableField id="43" name="All_Incident_Types" tableColumnId="43"/>
      <queryTableField id="85" name="Block" tableColumnId="51"/>
      <queryTableField id="49" name="Location" tableColumnId="49"/>
      <queryTableField id="21" name="FullAddress" tableColumnId="21"/>
      <queryTableField id="22" name="Grid" tableColumnId="22"/>
      <queryTableField id="23" name="Zone" tableColumnId="23"/>
      <queryTableField id="24" name="Narrative" tableColumnId="24"/>
      <queryTableField id="25" name="Total Value Stolen" tableColumnId="25"/>
      <queryTableField id="26" name="Total Value Recover" tableColumnId="26"/>
      <queryTableField id="132" name="VEHICLE1" tableColumnId="53"/>
      <queryTableField id="133" name="VEHICLE2" tableColumnId="54"/>
      <queryTableField id="27" name="Registration 1" tableColumnId="27"/>
      <queryTableField id="28" name="Make1" tableColumnId="28"/>
      <queryTableField id="29" name="Model1" tableColumnId="29"/>
      <queryTableField id="30" name="Reg State 1" tableColumnId="30"/>
      <queryTableField id="31" name="Registration 2" tableColumnId="31"/>
      <queryTableField id="32" name="Reg State 2" tableColumnId="32"/>
      <queryTableField id="33" name="Make2" tableColumnId="33"/>
      <queryTableField id="34" name="Model2" tableColumnId="34"/>
      <queryTableField id="35" name="Reviewed By" tableColumnId="35"/>
      <queryTableField id="36" name="CompleteCalc" tableColumnId="36"/>
      <queryTableField id="37" name="Officer of Record" tableColumnId="37"/>
      <queryTableField id="38" name="Squad" tableColumnId="38"/>
      <queryTableField id="39" name="Det_Assigned" tableColumnId="39"/>
      <queryTableField id="40" name="Case_Status" tableColumnId="40"/>
      <queryTableField id="41" name="NIBRS Classification" tableColumnId="41"/>
      <queryTableField id="42" name="OCA_Length" tableColumnId="42"/>
      <queryTableField id="12" name="INC_Date_and_Time" tableColumnId="12"/>
      <queryTableField id="44" name="Narrative - Copy" tableColumnId="44"/>
      <queryTableField id="84" name="Text Before Delimiter" tableColumnId="50"/>
      <queryTableField id="46" name="Incident Date" tableColumnId="46"/>
      <queryTableField id="13" name="Incident Time" tableColumnId="13"/>
      <queryTableField id="14" name="Incident Date_Between" tableColumnId="14"/>
      <queryTableField id="15" name="Incident Time_Between" tableColumnId="15"/>
      <queryTableField id="16" name="Report Date" tableColumnId="16"/>
      <queryTableField id="17" name="Report Time" tableColumnId="17"/>
      <queryTableField id="136" name="SEASON" tableColumnId="45"/>
      <queryTableField id="139" name="TIMEOFDAY" tableColumnId="56"/>
      <queryTableField id="142" name="CYCLE" tableColumnId="58"/>
      <queryTableField id="145" name="DUE_DATE" tableColumnId="60"/>
      <queryTableField id="48" name="Logic" tableColumnId="4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00000000-0016-0000-0500-000005000000}" autoFormatId="16" applyNumberFormats="0" applyBorderFormats="0" applyFontFormats="0" applyPatternFormats="0" applyAlignmentFormats="0" applyWidthHeightFormats="0">
  <queryTableRefresh nextId="136">
    <queryTableFields count="56">
      <queryTableField id="1" name="Case Number" tableColumnId="1"/>
      <queryTableField id="2" name="INC_Date" tableColumnId="2"/>
      <queryTableField id="3" name="Year" tableColumnId="3"/>
      <queryTableField id="4" name="Month Name" tableColumnId="4"/>
      <queryTableField id="5" name="Quarter" tableColumnId="5"/>
      <queryTableField id="6" name="Week of Year" tableColumnId="6"/>
      <queryTableField id="7" name="Week of Month" tableColumnId="7"/>
      <queryTableField id="8" name="Day Name" tableColumnId="8"/>
      <queryTableField id="9" name="Day of Year" tableColumnId="9"/>
      <queryTableField id="10" name="Day" tableColumnId="10"/>
      <queryTableField id="47" name="Start of Hour" tableColumnId="47"/>
      <queryTableField id="11" name="INC_Time" tableColumnId="11"/>
      <queryTableField id="84" name="Target_Incidents" tableColumnId="51"/>
      <queryTableField id="18" name="Incident Type_1" tableColumnId="18"/>
      <queryTableField id="19" name="Incident Type_2" tableColumnId="19"/>
      <queryTableField id="20" name="Incident Type_3" tableColumnId="20"/>
      <queryTableField id="43" name="All_Incident_Types" tableColumnId="43"/>
      <queryTableField id="50" name="Block" tableColumnId="50"/>
      <queryTableField id="48" name="Location" tableColumnId="48"/>
      <queryTableField id="21" name="FullAddress" tableColumnId="21"/>
      <queryTableField id="22" name="Grid" tableColumnId="22"/>
      <queryTableField id="23" name="Zone" tableColumnId="23"/>
      <queryTableField id="24" name="Narrative" tableColumnId="24"/>
      <queryTableField id="25" name="Total Value Stolen" tableColumnId="25"/>
      <queryTableField id="26" name="Total Value Recover" tableColumnId="26"/>
      <queryTableField id="128" name="VEHICLE1" tableColumnId="52"/>
      <queryTableField id="129" name="VEHICLE2" tableColumnId="53"/>
      <queryTableField id="27" name="Registration 1" tableColumnId="27"/>
      <queryTableField id="28" name="Make1" tableColumnId="28"/>
      <queryTableField id="29" name="Model1" tableColumnId="29"/>
      <queryTableField id="30" name="Reg State 1" tableColumnId="30"/>
      <queryTableField id="31" name="Registration 2" tableColumnId="31"/>
      <queryTableField id="32" name="Reg State 2" tableColumnId="32"/>
      <queryTableField id="33" name="Make2" tableColumnId="33"/>
      <queryTableField id="34" name="Model2" tableColumnId="34"/>
      <queryTableField id="35" name="Reviewed By" tableColumnId="35"/>
      <queryTableField id="36" name="CompleteCalc" tableColumnId="36"/>
      <queryTableField id="37" name="Officer of Record" tableColumnId="37"/>
      <queryTableField id="38" name="Squad" tableColumnId="38"/>
      <queryTableField id="39" name="Det_Assigned" tableColumnId="39"/>
      <queryTableField id="40" name="Case_Status" tableColumnId="40"/>
      <queryTableField id="41" name="NIBRS Classification" tableColumnId="41"/>
      <queryTableField id="42" name="OCA_Length" tableColumnId="42"/>
      <queryTableField id="12" name="INC_Date_and_Time" tableColumnId="12"/>
      <queryTableField id="44" name="Narrative - Copy" tableColumnId="44"/>
      <queryTableField id="49" name="Text Before Delimiter" tableColumnId="49"/>
      <queryTableField id="46" name="Incident Date" tableColumnId="46"/>
      <queryTableField id="13" name="Incident Time" tableColumnId="13"/>
      <queryTableField id="14" name="Incident Date_Between" tableColumnId="14"/>
      <queryTableField id="15" name="Incident Time_Between" tableColumnId="15"/>
      <queryTableField id="16" name="Report Date" tableColumnId="16"/>
      <queryTableField id="17" name="Report Time" tableColumnId="17"/>
      <queryTableField id="132" name="SEASON" tableColumnId="45"/>
      <queryTableField id="133" name="TIMEOFDAY" tableColumnId="54"/>
      <queryTableField id="134" name="CYCLE" tableColumnId="55"/>
      <queryTableField id="135" name="DUE_DATE" tableColumnId="5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 connectionId="3" xr16:uid="{00000000-0016-0000-0700-000006000000}" autoFormatId="16" applyNumberFormats="0" applyBorderFormats="0" applyFontFormats="0" applyPatternFormats="0" applyAlignmentFormats="0" applyWidthHeightFormats="0">
  <queryTableRefresh nextId="136">
    <queryTableFields count="56">
      <queryTableField id="1" name="Case Number" tableColumnId="1"/>
      <queryTableField id="2" name="INC_Date" tableColumnId="2"/>
      <queryTableField id="3" name="Year" tableColumnId="3"/>
      <queryTableField id="4" name="Month Name" tableColumnId="4"/>
      <queryTableField id="5" name="Quarter" tableColumnId="5"/>
      <queryTableField id="6" name="Week of Year" tableColumnId="6"/>
      <queryTableField id="7" name="Week of Month" tableColumnId="7"/>
      <queryTableField id="8" name="Day Name" tableColumnId="8"/>
      <queryTableField id="9" name="Day of Year" tableColumnId="9"/>
      <queryTableField id="10" name="Day" tableColumnId="10"/>
      <queryTableField id="47" name="Start of Hour" tableColumnId="47"/>
      <queryTableField id="11" name="INC_Time" tableColumnId="11"/>
      <queryTableField id="84" name="Target_Incidents" tableColumnId="51"/>
      <queryTableField id="18" name="Incident Type_1" tableColumnId="18"/>
      <queryTableField id="19" name="Incident Type_2" tableColumnId="19"/>
      <queryTableField id="20" name="Incident Type_3" tableColumnId="20"/>
      <queryTableField id="43" name="All_Incident_Types" tableColumnId="43"/>
      <queryTableField id="50" name="Block" tableColumnId="50"/>
      <queryTableField id="48" name="Location" tableColumnId="48"/>
      <queryTableField id="21" name="FullAddress" tableColumnId="21"/>
      <queryTableField id="22" name="Grid" tableColumnId="22"/>
      <queryTableField id="23" name="Zone" tableColumnId="23"/>
      <queryTableField id="24" name="Narrative" tableColumnId="24"/>
      <queryTableField id="25" name="Total Value Stolen" tableColumnId="25"/>
      <queryTableField id="26" name="Total Value Recover" tableColumnId="26"/>
      <queryTableField id="128" name="VEHICLE1" tableColumnId="52"/>
      <queryTableField id="129" name="VEHICLE2" tableColumnId="53"/>
      <queryTableField id="27" name="Registration 1" tableColumnId="27"/>
      <queryTableField id="28" name="Make1" tableColumnId="28"/>
      <queryTableField id="29" name="Model1" tableColumnId="29"/>
      <queryTableField id="30" name="Reg State 1" tableColumnId="30"/>
      <queryTableField id="31" name="Registration 2" tableColumnId="31"/>
      <queryTableField id="32" name="Reg State 2" tableColumnId="32"/>
      <queryTableField id="33" name="Make2" tableColumnId="33"/>
      <queryTableField id="34" name="Model2" tableColumnId="34"/>
      <queryTableField id="35" name="Reviewed By" tableColumnId="35"/>
      <queryTableField id="36" name="CompleteCalc" tableColumnId="36"/>
      <queryTableField id="37" name="Officer of Record" tableColumnId="37"/>
      <queryTableField id="38" name="Squad" tableColumnId="38"/>
      <queryTableField id="39" name="Det_Assigned" tableColumnId="39"/>
      <queryTableField id="40" name="Case_Status" tableColumnId="40"/>
      <queryTableField id="41" name="NIBRS Classification" tableColumnId="41"/>
      <queryTableField id="42" name="OCA_Length" tableColumnId="42"/>
      <queryTableField id="12" name="INC_Date_and_Time" tableColumnId="12"/>
      <queryTableField id="44" name="Narrative - Copy" tableColumnId="44"/>
      <queryTableField id="49" name="Text Before Delimiter" tableColumnId="49"/>
      <queryTableField id="46" name="Incident Date" tableColumnId="46"/>
      <queryTableField id="13" name="Incident Time" tableColumnId="13"/>
      <queryTableField id="14" name="Incident Date_Between" tableColumnId="14"/>
      <queryTableField id="15" name="Incident Time_Between" tableColumnId="15"/>
      <queryTableField id="16" name="Report Date" tableColumnId="16"/>
      <queryTableField id="17" name="Report Time" tableColumnId="17"/>
      <queryTableField id="132" name="SEASON" tableColumnId="45"/>
      <queryTableField id="133" name="TIMEOFDAY" tableColumnId="54"/>
      <queryTableField id="134" name="CYCLE" tableColumnId="55"/>
      <queryTableField id="135" name="DUE_DATE" tableColumnId="56"/>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4" connectionId="4" xr16:uid="{00000000-0016-0000-0900-000007000000}" autoFormatId="16" applyNumberFormats="0" applyBorderFormats="0" applyFontFormats="0" applyPatternFormats="0" applyAlignmentFormats="0" applyWidthHeightFormats="0">
  <queryTableRefresh nextId="136">
    <queryTableFields count="56">
      <queryTableField id="1" name="Case Number" tableColumnId="1"/>
      <queryTableField id="2" name="INC_Date" tableColumnId="2"/>
      <queryTableField id="3" name="Year" tableColumnId="3"/>
      <queryTableField id="4" name="Month Name" tableColumnId="4"/>
      <queryTableField id="5" name="Quarter" tableColumnId="5"/>
      <queryTableField id="6" name="Week of Year" tableColumnId="6"/>
      <queryTableField id="7" name="Week of Month" tableColumnId="7"/>
      <queryTableField id="8" name="Day Name" tableColumnId="8"/>
      <queryTableField id="9" name="Day of Year" tableColumnId="9"/>
      <queryTableField id="10" name="Day" tableColumnId="10"/>
      <queryTableField id="47" name="Start of Hour" tableColumnId="47"/>
      <queryTableField id="11" name="INC_Time" tableColumnId="11"/>
      <queryTableField id="84" name="Target_Incidents" tableColumnId="51"/>
      <queryTableField id="18" name="Incident Type_1" tableColumnId="18"/>
      <queryTableField id="19" name="Incident Type_2" tableColumnId="19"/>
      <queryTableField id="20" name="Incident Type_3" tableColumnId="20"/>
      <queryTableField id="43" name="All_Incident_Types" tableColumnId="43"/>
      <queryTableField id="50" name="Block" tableColumnId="50"/>
      <queryTableField id="48" name="Location" tableColumnId="48"/>
      <queryTableField id="21" name="FullAddress" tableColumnId="21"/>
      <queryTableField id="22" name="Grid" tableColumnId="22"/>
      <queryTableField id="23" name="Zone" tableColumnId="23"/>
      <queryTableField id="24" name="Narrative" tableColumnId="24"/>
      <queryTableField id="25" name="Total Value Stolen" tableColumnId="25"/>
      <queryTableField id="26" name="Total Value Recover" tableColumnId="26"/>
      <queryTableField id="128" name="VEHICLE1" tableColumnId="52"/>
      <queryTableField id="129" name="VEHICLE2" tableColumnId="53"/>
      <queryTableField id="27" name="Registration 1" tableColumnId="27"/>
      <queryTableField id="28" name="Make1" tableColumnId="28"/>
      <queryTableField id="29" name="Model1" tableColumnId="29"/>
      <queryTableField id="30" name="Reg State 1" tableColumnId="30"/>
      <queryTableField id="31" name="Registration 2" tableColumnId="31"/>
      <queryTableField id="32" name="Reg State 2" tableColumnId="32"/>
      <queryTableField id="33" name="Make2" tableColumnId="33"/>
      <queryTableField id="34" name="Model2" tableColumnId="34"/>
      <queryTableField id="35" name="Reviewed By" tableColumnId="35"/>
      <queryTableField id="36" name="CompleteCalc" tableColumnId="36"/>
      <queryTableField id="37" name="Officer of Record" tableColumnId="37"/>
      <queryTableField id="38" name="Squad" tableColumnId="38"/>
      <queryTableField id="39" name="Det_Assigned" tableColumnId="39"/>
      <queryTableField id="40" name="Case_Status" tableColumnId="40"/>
      <queryTableField id="41" name="NIBRS Classification" tableColumnId="41"/>
      <queryTableField id="42" name="OCA_Length" tableColumnId="42"/>
      <queryTableField id="12" name="INC_Date_and_Time" tableColumnId="12"/>
      <queryTableField id="44" name="Narrative - Copy" tableColumnId="44"/>
      <queryTableField id="49" name="Text Before Delimiter" tableColumnId="49"/>
      <queryTableField id="46" name="Incident Date" tableColumnId="46"/>
      <queryTableField id="13" name="Incident Time" tableColumnId="13"/>
      <queryTableField id="14" name="Incident Date_Between" tableColumnId="14"/>
      <queryTableField id="15" name="Incident Time_Between" tableColumnId="15"/>
      <queryTableField id="16" name="Report Date" tableColumnId="16"/>
      <queryTableField id="17" name="Report Time" tableColumnId="17"/>
      <queryTableField id="132" name="SEASON" tableColumnId="45"/>
      <queryTableField id="133" name="TIMEOFDAY" tableColumnId="54"/>
      <queryTableField id="134" name="CYCLE" tableColumnId="55"/>
      <queryTableField id="135" name="DUE_DATE" tableColumnId="56"/>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5" connectionId="5" xr16:uid="{00000000-0016-0000-0B00-000008000000}" autoFormatId="16" applyNumberFormats="0" applyBorderFormats="0" applyFontFormats="0" applyPatternFormats="0" applyAlignmentFormats="0" applyWidthHeightFormats="0">
  <queryTableRefresh nextId="136">
    <queryTableFields count="56">
      <queryTableField id="1" name="Case Number" tableColumnId="1"/>
      <queryTableField id="2" name="INC_Date" tableColumnId="2"/>
      <queryTableField id="3" name="Year" tableColumnId="3"/>
      <queryTableField id="4" name="Month Name" tableColumnId="4"/>
      <queryTableField id="5" name="Quarter" tableColumnId="5"/>
      <queryTableField id="6" name="Week of Year" tableColumnId="6"/>
      <queryTableField id="7" name="Week of Month" tableColumnId="7"/>
      <queryTableField id="8" name="Day Name" tableColumnId="8"/>
      <queryTableField id="9" name="Day of Year" tableColumnId="9"/>
      <queryTableField id="10" name="Day" tableColumnId="10"/>
      <queryTableField id="47" name="Start of Hour" tableColumnId="47"/>
      <queryTableField id="11" name="INC_Time" tableColumnId="11"/>
      <queryTableField id="84" name="Target_Incidents" tableColumnId="51"/>
      <queryTableField id="18" name="Incident Type_1" tableColumnId="18"/>
      <queryTableField id="19" name="Incident Type_2" tableColumnId="19"/>
      <queryTableField id="20" name="Incident Type_3" tableColumnId="20"/>
      <queryTableField id="43" name="All_Incident_Types" tableColumnId="43"/>
      <queryTableField id="50" name="Block" tableColumnId="50"/>
      <queryTableField id="48" name="Location" tableColumnId="48"/>
      <queryTableField id="21" name="FullAddress" tableColumnId="21"/>
      <queryTableField id="22" name="Grid" tableColumnId="22"/>
      <queryTableField id="23" name="Zone" tableColumnId="23"/>
      <queryTableField id="24" name="Narrative" tableColumnId="24"/>
      <queryTableField id="25" name="Total Value Stolen" tableColumnId="25"/>
      <queryTableField id="26" name="Total Value Recover" tableColumnId="26"/>
      <queryTableField id="128" name="VEHICLE1" tableColumnId="52"/>
      <queryTableField id="129" name="VEHICLE2" tableColumnId="53"/>
      <queryTableField id="27" name="Registration 1" tableColumnId="27"/>
      <queryTableField id="28" name="Make1" tableColumnId="28"/>
      <queryTableField id="29" name="Model1" tableColumnId="29"/>
      <queryTableField id="30" name="Reg State 1" tableColumnId="30"/>
      <queryTableField id="31" name="Registration 2" tableColumnId="31"/>
      <queryTableField id="32" name="Reg State 2" tableColumnId="32"/>
      <queryTableField id="33" name="Make2" tableColumnId="33"/>
      <queryTableField id="34" name="Model2" tableColumnId="34"/>
      <queryTableField id="35" name="Reviewed By" tableColumnId="35"/>
      <queryTableField id="36" name="CompleteCalc" tableColumnId="36"/>
      <queryTableField id="37" name="Officer of Record" tableColumnId="37"/>
      <queryTableField id="38" name="Squad" tableColumnId="38"/>
      <queryTableField id="39" name="Det_Assigned" tableColumnId="39"/>
      <queryTableField id="40" name="Case_Status" tableColumnId="40"/>
      <queryTableField id="41" name="NIBRS Classification" tableColumnId="41"/>
      <queryTableField id="42" name="OCA_Length" tableColumnId="42"/>
      <queryTableField id="12" name="INC_Date_and_Time" tableColumnId="12"/>
      <queryTableField id="44" name="Narrative - Copy" tableColumnId="44"/>
      <queryTableField id="49" name="Text Before Delimiter" tableColumnId="49"/>
      <queryTableField id="46" name="Incident Date" tableColumnId="46"/>
      <queryTableField id="13" name="Incident Time" tableColumnId="13"/>
      <queryTableField id="14" name="Incident Date_Between" tableColumnId="14"/>
      <queryTableField id="15" name="Incident Time_Between" tableColumnId="15"/>
      <queryTableField id="16" name="Report Date" tableColumnId="16"/>
      <queryTableField id="17" name="Report Time" tableColumnId="17"/>
      <queryTableField id="132" name="SEASON" tableColumnId="45"/>
      <queryTableField id="133" name="TIMEOFDAY" tableColumnId="54"/>
      <queryTableField id="134" name="CYCLE" tableColumnId="55"/>
      <queryTableField id="135" name="DUE_DATE" tableColumnId="5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5" xr16:uid="{00000000-0016-0000-0D00-000009000000}" autoFormatId="16" applyNumberFormats="0" applyBorderFormats="0" applyFontFormats="0" applyPatternFormats="0" applyAlignmentFormats="0" applyWidthHeightFormats="0">
  <queryTableRefresh nextId="102">
    <queryTableFields count="56">
      <queryTableField id="1" name="Case Number" tableColumnId="1"/>
      <queryTableField id="34" name="INC_Date" tableColumnId="34"/>
      <queryTableField id="35" name="Year" tableColumnId="35"/>
      <queryTableField id="36" name="Month Name" tableColumnId="36"/>
      <queryTableField id="37" name="Quarter" tableColumnId="37"/>
      <queryTableField id="38" name="Week of Year" tableColumnId="38"/>
      <queryTableField id="39" name="Week of Month" tableColumnId="39"/>
      <queryTableField id="40" name="Day Name" tableColumnId="40"/>
      <queryTableField id="41" name="Day of Year" tableColumnId="41"/>
      <queryTableField id="42" name="Day" tableColumnId="42"/>
      <queryTableField id="44" name="Start of Hour" tableColumnId="44"/>
      <queryTableField id="43" name="INC_Time" tableColumnId="43"/>
      <queryTableField id="50" name="Target_Incidents" tableColumnId="50"/>
      <queryTableField id="8" name="Incident Type_1" tableColumnId="8"/>
      <queryTableField id="9" name="Incident Type_2" tableColumnId="9"/>
      <queryTableField id="10" name="Incident Type_3" tableColumnId="10"/>
      <queryTableField id="33" name="All_Incident_Types" tableColumnId="33"/>
      <queryTableField id="49" name="Block" tableColumnId="49"/>
      <queryTableField id="47" name="Location" tableColumnId="47"/>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94" name="VEHICLE1" tableColumnId="51"/>
      <queryTableField id="95" name="VEHICLE2" tableColumnId="52"/>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31" name="NIBRS Classification" tableColumnId="31"/>
      <queryTableField id="32" name="OCA_Length" tableColumnId="32"/>
      <queryTableField id="45" name="INC_Date_and_Time" tableColumnId="45"/>
      <queryTableField id="46" name="Narrative - Copy" tableColumnId="46"/>
      <queryTableField id="48" name="Text Before Delimiter" tableColumnId="48"/>
      <queryTableField id="2" name="Incident Date" tableColumnId="2"/>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98" name="SEASON" tableColumnId="53"/>
      <queryTableField id="99" name="TIMEOFDAY" tableColumnId="54"/>
      <queryTableField id="100" name="CYCLE" tableColumnId="55"/>
      <queryTableField id="101" name="DUE_DATE" tableColumnId="5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9" connectionId="21" xr16:uid="{389A1649-F09A-4CAB-82F1-52134928F133}" autoFormatId="16" applyNumberFormats="0" applyBorderFormats="0" applyFontFormats="0" applyPatternFormats="0" applyAlignmentFormats="0" applyWidthHeightFormats="0">
  <queryTableRefresh nextId="4">
    <queryTableFields count="3">
      <queryTableField id="1" name="CompStat_x000a_ Week" tableColumnId="1"/>
      <queryTableField id="2" name="Week Start" tableColumnId="2"/>
      <queryTableField id="3" name="Week En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0" connectionId="1" xr16:uid="{09967AF7-F676-4565-AFC2-30C10379B98D}" autoFormatId="16" applyNumberFormats="0" applyBorderFormats="0" applyFontFormats="0" applyPatternFormats="0" applyAlignmentFormats="0" applyWidthHeightFormats="0">
  <queryTableRefresh nextId="4">
    <queryTableFields count="3">
      <queryTableField id="1" name="CompStat 28-Day" tableColumnId="1"/>
      <queryTableField id="2" name="Week Start" tableColumnId="2"/>
      <queryTableField id="3" name="Week End"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0ABB0FE-6FE8-4436-A53F-1A71EF60EA1A}" name="C_R_Burg" displayName="C_R_Burg" ref="A1:BE7" tableType="queryTable" totalsRowShown="0" headerRowDxfId="844" dataDxfId="843">
  <autoFilter ref="A1:BE7" xr:uid="{20ABB0FE-6FE8-4436-A53F-1A71EF60EA1A}"/>
  <tableColumns count="57">
    <tableColumn id="1" xr3:uid="{F05D2684-F70D-4023-8B84-2A8F19AF11F6}" uniqueName="1" name="Case Number" queryTableFieldId="1" dataDxfId="842"/>
    <tableColumn id="2" xr3:uid="{5F55567E-0241-4B0D-9784-C662AAE41655}" uniqueName="2" name="INC_Date" queryTableFieldId="2" dataDxfId="841"/>
    <tableColumn id="3" xr3:uid="{8A1FCFC0-359C-4A61-8932-503CC318AD93}" uniqueName="3" name="Year" queryTableFieldId="3" dataDxfId="840"/>
    <tableColumn id="4" xr3:uid="{1D2B6B7F-42A4-40B1-A37A-A96AAE23C456}" uniqueName="4" name="Month Name" queryTableFieldId="4" dataDxfId="839"/>
    <tableColumn id="5" xr3:uid="{03510D77-8826-41CE-9701-01340EDA6E34}" uniqueName="5" name="Quarter" queryTableFieldId="5" dataDxfId="838"/>
    <tableColumn id="6" xr3:uid="{CC72BA24-60FE-4EFF-8BC1-A42C888AA38E}" uniqueName="6" name="Week of Year" queryTableFieldId="6" dataDxfId="837"/>
    <tableColumn id="7" xr3:uid="{953B8049-7C24-455B-BE05-6E24F4424FF1}" uniqueName="7" name="Week of Month" queryTableFieldId="7" dataDxfId="836"/>
    <tableColumn id="8" xr3:uid="{C0FDCBC2-2723-47EC-BE93-A23F011E86E6}" uniqueName="8" name="Day Name" queryTableFieldId="8" dataDxfId="835"/>
    <tableColumn id="9" xr3:uid="{74E91F72-B987-461D-BCA9-27E473756BE4}" uniqueName="9" name="Day of Year" queryTableFieldId="9" dataDxfId="834"/>
    <tableColumn id="10" xr3:uid="{7E73F550-6839-48DB-8D08-97514E8405B4}" uniqueName="10" name="Day" queryTableFieldId="10" dataDxfId="833"/>
    <tableColumn id="47" xr3:uid="{04B93166-B83C-4F2E-9827-250113CB31AF}" uniqueName="47" name="Start of Hour" queryTableFieldId="47" dataDxfId="832"/>
    <tableColumn id="11" xr3:uid="{FC6D9BA4-5B77-4DC1-8852-D2A938B8788C}" uniqueName="11" name="INC_Time" queryTableFieldId="11" dataDxfId="831"/>
    <tableColumn id="52" xr3:uid="{4BA42252-DD8F-4270-86B1-E97462E0739C}" uniqueName="52" name="Target_Incidents" queryTableFieldId="88"/>
    <tableColumn id="18" xr3:uid="{A1371144-E808-41CC-8B4D-016C805A3A2E}" uniqueName="18" name="Incident Type_1" queryTableFieldId="18" dataDxfId="830"/>
    <tableColumn id="19" xr3:uid="{A429499F-2162-4E8D-83F3-4EA20C2FD36D}" uniqueName="19" name="Incident Type_2" queryTableFieldId="19" dataDxfId="829"/>
    <tableColumn id="20" xr3:uid="{472A84B5-2B5A-4914-808D-B8FCE8768600}" uniqueName="20" name="Incident Type_3" queryTableFieldId="20" dataDxfId="828"/>
    <tableColumn id="43" xr3:uid="{CF5A7192-C9C0-4354-A44B-02396890A2FC}" uniqueName="43" name="All_Incident_Types" queryTableFieldId="43" dataDxfId="827"/>
    <tableColumn id="51" xr3:uid="{E3EC6A2B-4C49-4A51-BE7E-8ADB1684CD76}" uniqueName="51" name="Block" queryTableFieldId="85"/>
    <tableColumn id="49" xr3:uid="{625EB56D-9E48-465F-9484-AC39C20A152C}" uniqueName="49" name="Location" queryTableFieldId="49"/>
    <tableColumn id="21" xr3:uid="{34792032-DD60-46A3-BF0C-D9F7177CECD8}" uniqueName="21" name="FullAddress" queryTableFieldId="21" dataDxfId="826"/>
    <tableColumn id="22" xr3:uid="{B100B67D-C93E-4790-83B1-11245569B701}" uniqueName="22" name="Grid" queryTableFieldId="22" dataDxfId="825"/>
    <tableColumn id="23" xr3:uid="{982A5E8D-8AE7-40DA-B3E6-86ACEB42D088}" uniqueName="23" name="Zone" queryTableFieldId="23" dataDxfId="824"/>
    <tableColumn id="24" xr3:uid="{E5C1E880-B51D-4426-8C36-480A6A62ED18}" uniqueName="24" name="Narrative" queryTableFieldId="24" dataDxfId="823"/>
    <tableColumn id="25" xr3:uid="{3BADC319-4642-4780-B35D-AC93CFBD4A18}" uniqueName="25" name="Total Value Stolen" queryTableFieldId="25" dataDxfId="822"/>
    <tableColumn id="26" xr3:uid="{08106666-EB34-4D32-8084-708E48E46493}" uniqueName="26" name="Total Value Recover" queryTableFieldId="26" dataDxfId="821"/>
    <tableColumn id="53" xr3:uid="{1F4D40E3-DAEA-474C-9D61-BEC904A9D078}" uniqueName="53" name="VEHICLE1" queryTableFieldId="132"/>
    <tableColumn id="54" xr3:uid="{D4BE8DC2-C141-47F8-8DE1-68DE91275B82}" uniqueName="54" name="VEHICLE2" queryTableFieldId="133"/>
    <tableColumn id="27" xr3:uid="{0B25B931-09E1-40B4-B519-53C01058D2A2}" uniqueName="27" name="Registration 1" queryTableFieldId="27" dataDxfId="820"/>
    <tableColumn id="28" xr3:uid="{E405A941-C6FF-406C-918C-1D19C0C8296D}" uniqueName="28" name="Make1" queryTableFieldId="28" dataDxfId="819"/>
    <tableColumn id="29" xr3:uid="{623CD9A0-D1E2-4691-BED0-BDC49F2E9992}" uniqueName="29" name="Model1" queryTableFieldId="29" dataDxfId="818"/>
    <tableColumn id="30" xr3:uid="{42527C38-B4BF-4799-8FBE-910684FA907C}" uniqueName="30" name="Reg State 1" queryTableFieldId="30" dataDxfId="817"/>
    <tableColumn id="31" xr3:uid="{CF096072-3850-448C-B29D-D0B33489534C}" uniqueName="31" name="Registration 2" queryTableFieldId="31" dataDxfId="816"/>
    <tableColumn id="32" xr3:uid="{66F7CFB6-1DF9-4933-938E-821372A9F370}" uniqueName="32" name="Reg State 2" queryTableFieldId="32" dataDxfId="815"/>
    <tableColumn id="33" xr3:uid="{726D7ABA-5FEC-4EA9-A184-1327497349D6}" uniqueName="33" name="Make2" queryTableFieldId="33" dataDxfId="814"/>
    <tableColumn id="34" xr3:uid="{FFE3CD62-1E6C-4372-ABF7-596AC6A44007}" uniqueName="34" name="Model2" queryTableFieldId="34" dataDxfId="813"/>
    <tableColumn id="35" xr3:uid="{4DDEC39C-0740-4A4A-B81B-C06B5EEA75F7}" uniqueName="35" name="Reviewed By" queryTableFieldId="35" dataDxfId="812"/>
    <tableColumn id="36" xr3:uid="{933EAB25-FD85-48D4-A78B-87B7EE660558}" uniqueName="36" name="CompleteCalc" queryTableFieldId="36" dataDxfId="811"/>
    <tableColumn id="37" xr3:uid="{A0E6814C-D4A0-49BE-8550-B74302D360BF}" uniqueName="37" name="Officer of Record" queryTableFieldId="37" dataDxfId="810"/>
    <tableColumn id="38" xr3:uid="{A3636FC2-C8F8-4E26-A00F-9831CCC456C7}" uniqueName="38" name="Squad" queryTableFieldId="38" dataDxfId="809"/>
    <tableColumn id="39" xr3:uid="{C6677C04-B420-477E-A26E-223A5466A731}" uniqueName="39" name="Det_Assigned" queryTableFieldId="39" dataDxfId="808"/>
    <tableColumn id="40" xr3:uid="{5A15FE85-DB0D-479B-AEF9-4900C63B8ACE}" uniqueName="40" name="Case_Status" queryTableFieldId="40" dataDxfId="807"/>
    <tableColumn id="41" xr3:uid="{12170D81-1B75-42DA-A55F-F2A1B1C884B6}" uniqueName="41" name="NIBRS Classification" queryTableFieldId="41" dataDxfId="806"/>
    <tableColumn id="42" xr3:uid="{51EF917C-05BC-4F45-AEB0-E9FCD0FD779D}" uniqueName="42" name="OCA_Length" queryTableFieldId="42" dataDxfId="805"/>
    <tableColumn id="12" xr3:uid="{6787D504-D6EE-4735-A0CF-5330957A4A65}" uniqueName="12" name="INC_Date_and_Time" queryTableFieldId="12" dataDxfId="804"/>
    <tableColumn id="44" xr3:uid="{25DC5C5A-DFEB-4B83-A0B6-AAE357AAE355}" uniqueName="44" name="Narrative - Copy" queryTableFieldId="44" dataDxfId="803"/>
    <tableColumn id="50" xr3:uid="{37A809A2-0D55-4F95-A41A-E93107638C03}" uniqueName="50" name="Text Before Delimiter" queryTableFieldId="84"/>
    <tableColumn id="46" xr3:uid="{EE1BEB3E-82E5-4562-9203-0733D625B001}" uniqueName="46" name="Incident Date" queryTableFieldId="46" dataDxfId="802"/>
    <tableColumn id="13" xr3:uid="{6AB48C91-3091-4939-8721-A7DFF18447B7}" uniqueName="13" name="Incident Time" queryTableFieldId="13" dataDxfId="801"/>
    <tableColumn id="14" xr3:uid="{E13DEDF2-E224-45FF-BB6B-D450CFA144C8}" uniqueName="14" name="Incident Date_Between" queryTableFieldId="14" dataDxfId="800"/>
    <tableColumn id="15" xr3:uid="{AA0DBD4C-05B4-4606-BC45-36DA8CBB94FD}" uniqueName="15" name="Incident Time_Between" queryTableFieldId="15" dataDxfId="799"/>
    <tableColumn id="16" xr3:uid="{4D8E88C3-BFD8-4746-8A76-88CAF9F2925D}" uniqueName="16" name="Report Date" queryTableFieldId="16" dataDxfId="798"/>
    <tableColumn id="17" xr3:uid="{B0DAF75B-F0EA-4047-BAE2-F449F746DD83}" uniqueName="17" name="Report Time" queryTableFieldId="17" dataDxfId="797"/>
    <tableColumn id="45" xr3:uid="{D17F683F-3D69-467C-951F-69BB2799E356}" uniqueName="45" name="SEASON" queryTableFieldId="136"/>
    <tableColumn id="56" xr3:uid="{4EADC5DB-9F17-49CD-9B84-08E5520BB6E8}" uniqueName="56" name="TIMEOFDAY" queryTableFieldId="139"/>
    <tableColumn id="58" xr3:uid="{40F0B02A-E3D8-44DD-A137-C3C8A4998150}" uniqueName="58" name="CYCLE" queryTableFieldId="142" dataDxfId="796"/>
    <tableColumn id="60" xr3:uid="{FFBC75DE-6CF2-4775-BAC4-0306D1E348EB}" uniqueName="60" name="DUE_DATE" queryTableFieldId="145" dataDxfId="795"/>
    <tableColumn id="48" xr3:uid="{C8FF23C0-00E5-4FD6-8E3C-E9B16F1A418F}" uniqueName="48" name="Logic" queryTableFieldId="48" dataDxfId="7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A841E47-1D84-4D20-A155-0A23EE6234D3}" name="MV_Burg" displayName="MV_Burg" ref="A1:BE5" tableType="queryTable" totalsRowShown="0" headerRowDxfId="793" dataDxfId="792">
  <autoFilter ref="A1:BE5" xr:uid="{8A841E47-1D84-4D20-A155-0A23EE6234D3}"/>
  <tableColumns count="57">
    <tableColumn id="1" xr3:uid="{D86AEB88-2FC0-4ACA-ACB7-141A591F490F}" uniqueName="1" name="Case Number" queryTableFieldId="1" dataDxfId="791"/>
    <tableColumn id="2" xr3:uid="{E69F845A-612C-46CE-9E54-EE0B5CEBDA17}" uniqueName="2" name="INC_Date" queryTableFieldId="2" dataDxfId="790"/>
    <tableColumn id="3" xr3:uid="{A730F2B6-E228-4415-B68E-745EC864B431}" uniqueName="3" name="Year" queryTableFieldId="3" dataDxfId="789"/>
    <tableColumn id="4" xr3:uid="{782572FD-37C7-4FF5-BB6A-67E7CA838C6D}" uniqueName="4" name="Month Name" queryTableFieldId="4" dataDxfId="788"/>
    <tableColumn id="5" xr3:uid="{AAF5A38B-6A03-4C62-B7BC-2C37BE94E2BC}" uniqueName="5" name="Quarter" queryTableFieldId="5" dataDxfId="787"/>
    <tableColumn id="6" xr3:uid="{FCBF4F4C-24D9-410D-BFA7-73D069F05086}" uniqueName="6" name="Week of Year" queryTableFieldId="6" dataDxfId="786"/>
    <tableColumn id="7" xr3:uid="{52E2AE8A-5BC6-46EA-AC86-BB223671EF79}" uniqueName="7" name="Week of Month" queryTableFieldId="7" dataDxfId="785"/>
    <tableColumn id="8" xr3:uid="{4070A80D-A726-45B8-9B0D-8635DD812D25}" uniqueName="8" name="Day Name" queryTableFieldId="8" dataDxfId="784"/>
    <tableColumn id="9" xr3:uid="{34D021F1-FE22-4697-A153-97074ABEB3FF}" uniqueName="9" name="Day of Year" queryTableFieldId="9" dataDxfId="783"/>
    <tableColumn id="10" xr3:uid="{CDD68600-C46A-402D-A71D-EEDF5998F60E}" uniqueName="10" name="Day" queryTableFieldId="10" dataDxfId="782"/>
    <tableColumn id="47" xr3:uid="{1E96F629-94E9-4FCC-8A1A-BA247960EF91}" uniqueName="47" name="Start of Hour" queryTableFieldId="47" dataDxfId="781"/>
    <tableColumn id="11" xr3:uid="{956ACC01-B478-48FD-951E-C274FEEDF25A}" uniqueName="11" name="INC_Time" queryTableFieldId="11" dataDxfId="780"/>
    <tableColumn id="52" xr3:uid="{5170678F-39C6-48BD-A6C1-C0A6ED9C5020}" uniqueName="52" name="Target_Incidents" queryTableFieldId="88"/>
    <tableColumn id="18" xr3:uid="{4327A0B3-121E-4B42-BDA7-0AC563B720F2}" uniqueName="18" name="Incident Type_1" queryTableFieldId="18" dataDxfId="779"/>
    <tableColumn id="19" xr3:uid="{372B0C7D-CB5A-4801-8E2F-A369529BEDF3}" uniqueName="19" name="Incident Type_2" queryTableFieldId="19" dataDxfId="778"/>
    <tableColumn id="20" xr3:uid="{606CF83A-F951-47B4-8B02-DA5C98E1DB38}" uniqueName="20" name="Incident Type_3" queryTableFieldId="20" dataDxfId="777"/>
    <tableColumn id="43" xr3:uid="{04411832-715D-4952-9857-DEADB0AD8F4F}" uniqueName="43" name="All_Incident_Types" queryTableFieldId="43" dataDxfId="776"/>
    <tableColumn id="51" xr3:uid="{E6E8027E-7181-425C-BC3A-0FCA69784C1D}" uniqueName="51" name="Block" queryTableFieldId="85"/>
    <tableColumn id="49" xr3:uid="{BF804A35-6A59-42DA-B654-9C7F0FB3FDBC}" uniqueName="49" name="Location" queryTableFieldId="49"/>
    <tableColumn id="21" xr3:uid="{B58B9402-FAF2-4523-A3B8-CF5B482EBF86}" uniqueName="21" name="FullAddress" queryTableFieldId="21" dataDxfId="775"/>
    <tableColumn id="22" xr3:uid="{D4E6F19D-44BF-49AC-ABBA-184E21F2BFC2}" uniqueName="22" name="Grid" queryTableFieldId="22" dataDxfId="774"/>
    <tableColumn id="23" xr3:uid="{16C87B80-D640-422F-9F86-6B2AECA4699A}" uniqueName="23" name="Zone" queryTableFieldId="23" dataDxfId="773"/>
    <tableColumn id="24" xr3:uid="{4479C107-3AE1-4D6F-8A3F-FE1B088D5ADE}" uniqueName="24" name="Narrative" queryTableFieldId="24" dataDxfId="772"/>
    <tableColumn id="25" xr3:uid="{CAFBE252-CE65-4D31-9021-1990BA7CBC15}" uniqueName="25" name="Total Value Stolen" queryTableFieldId="25" dataDxfId="771"/>
    <tableColumn id="26" xr3:uid="{D559F059-E2B5-4903-961F-DC8FB5B3E8B8}" uniqueName="26" name="Total Value Recover" queryTableFieldId="26" dataDxfId="770"/>
    <tableColumn id="53" xr3:uid="{6B2D93EA-CF56-4E7C-8B61-F5EF26FF9339}" uniqueName="53" name="VEHICLE1" queryTableFieldId="132"/>
    <tableColumn id="54" xr3:uid="{0535CFF9-F253-40B3-BEA6-3A406C3F8866}" uniqueName="54" name="VEHICLE2" queryTableFieldId="133"/>
    <tableColumn id="27" xr3:uid="{CDA50484-0C57-424D-AD08-7B50D718AE57}" uniqueName="27" name="Registration 1" queryTableFieldId="27" dataDxfId="769"/>
    <tableColumn id="28" xr3:uid="{9DDC0367-4F59-4F3E-8912-32E8FA117ECC}" uniqueName="28" name="Make1" queryTableFieldId="28" dataDxfId="768"/>
    <tableColumn id="29" xr3:uid="{6418054D-8DB8-4FF7-B428-573216521BB1}" uniqueName="29" name="Model1" queryTableFieldId="29" dataDxfId="767"/>
    <tableColumn id="30" xr3:uid="{D3B15936-C948-41B2-9CCD-78A114D4BE2E}" uniqueName="30" name="Reg State 1" queryTableFieldId="30" dataDxfId="766"/>
    <tableColumn id="31" xr3:uid="{2A9CD983-80D8-47EE-82DB-32C12DEB145E}" uniqueName="31" name="Registration 2" queryTableFieldId="31" dataDxfId="765"/>
    <tableColumn id="32" xr3:uid="{DE8D9109-4FAF-4434-AD99-AB92A4C39BBE}" uniqueName="32" name="Reg State 2" queryTableFieldId="32" dataDxfId="764"/>
    <tableColumn id="33" xr3:uid="{74C7CCBC-960E-49F8-BD6E-E786506D89D5}" uniqueName="33" name="Make2" queryTableFieldId="33" dataDxfId="763"/>
    <tableColumn id="34" xr3:uid="{9C1D58EF-B039-4796-8259-5BC77C59D529}" uniqueName="34" name="Model2" queryTableFieldId="34" dataDxfId="762"/>
    <tableColumn id="35" xr3:uid="{8A01D32A-3430-4E3C-A4C0-2FC1B6E0F764}" uniqueName="35" name="Reviewed By" queryTableFieldId="35" dataDxfId="761"/>
    <tableColumn id="36" xr3:uid="{D7C0AB8B-1B62-484B-BF1E-EA0DAFFF0268}" uniqueName="36" name="CompleteCalc" queryTableFieldId="36" dataDxfId="760"/>
    <tableColumn id="37" xr3:uid="{F4A490FD-316F-4EAB-80AB-0F4CE4E5B4B2}" uniqueName="37" name="Officer of Record" queryTableFieldId="37" dataDxfId="759"/>
    <tableColumn id="38" xr3:uid="{29056B1A-D2B9-4B6D-BF44-A294542F080F}" uniqueName="38" name="Squad" queryTableFieldId="38" dataDxfId="758"/>
    <tableColumn id="39" xr3:uid="{EBCB204E-F75A-4AE8-8090-BCED2E1770AD}" uniqueName="39" name="Det_Assigned" queryTableFieldId="39" dataDxfId="757"/>
    <tableColumn id="40" xr3:uid="{1042BA06-72CC-4739-8D18-609EF9CA2B64}" uniqueName="40" name="Case_Status" queryTableFieldId="40" dataDxfId="756"/>
    <tableColumn id="41" xr3:uid="{EA329B48-5F6D-4591-A9A0-3B43BF10FF99}" uniqueName="41" name="NIBRS Classification" queryTableFieldId="41" dataDxfId="755"/>
    <tableColumn id="42" xr3:uid="{4813CD77-2369-437E-9E85-090FE51D09E4}" uniqueName="42" name="OCA_Length" queryTableFieldId="42" dataDxfId="754"/>
    <tableColumn id="12" xr3:uid="{15FC1FDC-0D56-46FD-AD49-3A5EC1973DE0}" uniqueName="12" name="INC_Date_and_Time" queryTableFieldId="12" dataDxfId="753"/>
    <tableColumn id="44" xr3:uid="{0E01DAEA-5F36-48B3-85BE-F4406876B994}" uniqueName="44" name="Narrative - Copy" queryTableFieldId="44" dataDxfId="752"/>
    <tableColumn id="50" xr3:uid="{D6642D75-5D50-4371-BFFA-AE5EECA1C4BA}" uniqueName="50" name="Text Before Delimiter" queryTableFieldId="84"/>
    <tableColumn id="46" xr3:uid="{626ACAF2-EFB4-4B04-BC21-56C75760D25A}" uniqueName="46" name="Incident Date" queryTableFieldId="46" dataDxfId="751"/>
    <tableColumn id="13" xr3:uid="{40557826-A8C8-4D02-BD3B-CFCC431E55F5}" uniqueName="13" name="Incident Time" queryTableFieldId="13" dataDxfId="750"/>
    <tableColumn id="14" xr3:uid="{981EE00B-5765-40F0-9CE9-7ABA05FE31C5}" uniqueName="14" name="Incident Date_Between" queryTableFieldId="14" dataDxfId="749"/>
    <tableColumn id="15" xr3:uid="{76E38DA5-6F00-4B9C-A6C7-178014E75884}" uniqueName="15" name="Incident Time_Between" queryTableFieldId="15" dataDxfId="748"/>
    <tableColumn id="16" xr3:uid="{A1D61703-1DE6-4B60-92AB-2C74B499F02A}" uniqueName="16" name="Report Date" queryTableFieldId="16" dataDxfId="747"/>
    <tableColumn id="17" xr3:uid="{ADECDEC4-98D4-4CFC-A523-8D994734111A}" uniqueName="17" name="Report Time" queryTableFieldId="17" dataDxfId="746"/>
    <tableColumn id="45" xr3:uid="{7383FEB4-ABB3-43A8-A214-572DFB2F5A37}" uniqueName="45" name="SEASON" queryTableFieldId="136"/>
    <tableColumn id="56" xr3:uid="{8E591854-E487-401B-8403-1F1DEC8CE1F0}" uniqueName="56" name="TIMEOFDAY" queryTableFieldId="139"/>
    <tableColumn id="58" xr3:uid="{556EF387-AE8B-40FE-BE3A-521BBC2356ED}" uniqueName="58" name="CYCLE" queryTableFieldId="142" dataDxfId="745"/>
    <tableColumn id="60" xr3:uid="{00BB4900-39D4-4298-8449-5FA1664F1305}" uniqueName="60" name="DUE_DATE" queryTableFieldId="145" dataDxfId="744"/>
    <tableColumn id="48" xr3:uid="{AA7390E5-749A-4C30-B0EC-3DFC1F176FE2}" uniqueName="48" name="Logic" queryTableFieldId="48" dataDxfId="74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DB6ACA5-0E60-41CA-A754-F3EC49709BFA}" name="MV_Theft" displayName="MV_Theft" ref="A1:BE12" tableType="queryTable" totalsRowShown="0" dataDxfId="682">
  <autoFilter ref="A1:BE12" xr:uid="{CDB6ACA5-0E60-41CA-A754-F3EC49709BFA}"/>
  <sortState xmlns:xlrd2="http://schemas.microsoft.com/office/spreadsheetml/2017/richdata2" ref="A2:BE12">
    <sortCondition ref="B1:B12"/>
  </sortState>
  <tableColumns count="57">
    <tableColumn id="1" xr3:uid="{AD044E48-35A6-4FD4-9C98-962CBD3AD3DF}" uniqueName="1" name="Case Number" queryTableFieldId="1" dataDxfId="681"/>
    <tableColumn id="2" xr3:uid="{F3F838F8-3820-4F27-B4F7-717D54DDE46C}" uniqueName="2" name="INC_Date" queryTableFieldId="2" dataDxfId="680"/>
    <tableColumn id="3" xr3:uid="{46B763B0-CDB8-4F2E-978B-B1C2E1BD23D0}" uniqueName="3" name="Year" queryTableFieldId="3" dataDxfId="679"/>
    <tableColumn id="4" xr3:uid="{01848A9A-F2F6-4F48-9438-BA38348675C9}" uniqueName="4" name="Month Name" queryTableFieldId="4" dataDxfId="678"/>
    <tableColumn id="5" xr3:uid="{ED58D392-CA92-4F7A-B907-0BA7837C17BF}" uniqueName="5" name="Quarter" queryTableFieldId="5" dataDxfId="677"/>
    <tableColumn id="6" xr3:uid="{8F3DC43A-1CD4-44CC-B9D3-94BCB5256321}" uniqueName="6" name="Week of Year" queryTableFieldId="6" dataDxfId="676"/>
    <tableColumn id="7" xr3:uid="{46110766-237D-4471-AB9C-B52ABAA33346}" uniqueName="7" name="Week of Month" queryTableFieldId="7" dataDxfId="675"/>
    <tableColumn id="8" xr3:uid="{15FFBA63-45B8-403B-AA5D-67DB15B22E12}" uniqueName="8" name="Day Name" queryTableFieldId="8" dataDxfId="674"/>
    <tableColumn id="9" xr3:uid="{4E42B791-6B2D-4261-9C19-ED7F2DECF845}" uniqueName="9" name="Day of Year" queryTableFieldId="9" dataDxfId="673"/>
    <tableColumn id="10" xr3:uid="{5F3FFA5C-AB83-4348-82B4-AD8BFE06AFEF}" uniqueName="10" name="Day" queryTableFieldId="10" dataDxfId="672"/>
    <tableColumn id="47" xr3:uid="{8C586931-5232-4D1B-9C30-429E5D090880}" uniqueName="47" name="Start of Hour" queryTableFieldId="47" dataDxfId="671"/>
    <tableColumn id="11" xr3:uid="{7BE1A027-4265-41BF-A702-D0BE3358D5B4}" uniqueName="11" name="INC_Time" queryTableFieldId="11" dataDxfId="670"/>
    <tableColumn id="52" xr3:uid="{169FEBB9-B225-440B-A8AD-BB12204A8C5A}" uniqueName="52" name="Target_Incidents" queryTableFieldId="88"/>
    <tableColumn id="18" xr3:uid="{994C8BBE-DC8C-4CF4-A50C-CD8B82AF6FE2}" uniqueName="18" name="Incident Type_1" queryTableFieldId="18" dataDxfId="669"/>
    <tableColumn id="19" xr3:uid="{3142B42E-F84F-45B4-8DBE-81380B29BE16}" uniqueName="19" name="Incident Type_2" queryTableFieldId="19" dataDxfId="668"/>
    <tableColumn id="20" xr3:uid="{205AD17A-988C-4E8F-AFAB-2CB06FA7B948}" uniqueName="20" name="Incident Type_3" queryTableFieldId="20" dataDxfId="667"/>
    <tableColumn id="43" xr3:uid="{7CE57A37-E6B8-47A8-B30A-F71157AB35E7}" uniqueName="43" name="All_Incident_Types" queryTableFieldId="43" dataDxfId="666"/>
    <tableColumn id="51" xr3:uid="{92AFA744-0ACD-4DCD-BEE1-E88D32D792A9}" uniqueName="51" name="Block" queryTableFieldId="85"/>
    <tableColumn id="49" xr3:uid="{B096AAE4-8F83-4F5F-BE9B-4233AEC0726B}" uniqueName="49" name="Location" queryTableFieldId="49"/>
    <tableColumn id="21" xr3:uid="{1D7D920F-D546-409A-B3A8-F6390914FF73}" uniqueName="21" name="FullAddress" queryTableFieldId="21" dataDxfId="665"/>
    <tableColumn id="22" xr3:uid="{B6C56CEF-9DC3-4D59-AF0C-74342E692E32}" uniqueName="22" name="Grid" queryTableFieldId="22" dataDxfId="664"/>
    <tableColumn id="23" xr3:uid="{20F31E9D-3E97-49C1-BAD4-D1B0ADA5278D}" uniqueName="23" name="Zone" queryTableFieldId="23" dataDxfId="663"/>
    <tableColumn id="24" xr3:uid="{C2729571-4189-4ABE-83B5-EDC8AB165CB6}" uniqueName="24" name="Narrative" queryTableFieldId="24" dataDxfId="662"/>
    <tableColumn id="25" xr3:uid="{D6D37584-382D-419B-916E-13999921C775}" uniqueName="25" name="Total Value Stolen" queryTableFieldId="25" dataDxfId="661"/>
    <tableColumn id="26" xr3:uid="{DDF6ADED-3012-4D2A-A517-36AAAE1CA913}" uniqueName="26" name="Total Value Recover" queryTableFieldId="26" dataDxfId="660"/>
    <tableColumn id="53" xr3:uid="{74C040E2-3CB0-44F7-8E6F-5AA62677F6B9}" uniqueName="53" name="VEHICLE1" queryTableFieldId="132"/>
    <tableColumn id="54" xr3:uid="{70F1CEA0-45F6-4711-A9F1-1D90B0BF9645}" uniqueName="54" name="VEHICLE2" queryTableFieldId="133"/>
    <tableColumn id="27" xr3:uid="{224DFF33-D41B-42F9-8027-ADFDD864F068}" uniqueName="27" name="Registration 1" queryTableFieldId="27" dataDxfId="659"/>
    <tableColumn id="28" xr3:uid="{6F2EC41D-FD2D-4BCC-8706-78DE161DA3D6}" uniqueName="28" name="Make1" queryTableFieldId="28" dataDxfId="658"/>
    <tableColumn id="29" xr3:uid="{6E829600-3A9C-4DA3-9BE4-53558F689240}" uniqueName="29" name="Model1" queryTableFieldId="29" dataDxfId="657"/>
    <tableColumn id="30" xr3:uid="{A06377D6-7FC1-4F68-BF54-E20B96A884B1}" uniqueName="30" name="Reg State 1" queryTableFieldId="30" dataDxfId="656"/>
    <tableColumn id="31" xr3:uid="{8B00BBE3-C49D-417C-88D8-F0CB214C2CC1}" uniqueName="31" name="Registration 2" queryTableFieldId="31" dataDxfId="655"/>
    <tableColumn id="32" xr3:uid="{CB0FA27A-69B7-4BB5-A625-9AD29D4EB632}" uniqueName="32" name="Reg State 2" queryTableFieldId="32" dataDxfId="654"/>
    <tableColumn id="33" xr3:uid="{E9137913-28A6-4628-86AA-D5F828596F5D}" uniqueName="33" name="Make2" queryTableFieldId="33" dataDxfId="653"/>
    <tableColumn id="34" xr3:uid="{1C2A3BB6-7C6B-429C-9671-535DC26793D5}" uniqueName="34" name="Model2" queryTableFieldId="34" dataDxfId="652"/>
    <tableColumn id="35" xr3:uid="{09A8B390-7686-4F6B-8BD9-F85B09510FAE}" uniqueName="35" name="Reviewed By" queryTableFieldId="35" dataDxfId="651"/>
    <tableColumn id="36" xr3:uid="{0C784B49-20DC-422F-ACD1-FEB74949BE07}" uniqueName="36" name="CompleteCalc" queryTableFieldId="36" dataDxfId="650"/>
    <tableColumn id="37" xr3:uid="{2C93B692-3694-4F0F-BF46-A03F0C0A3358}" uniqueName="37" name="Officer of Record" queryTableFieldId="37" dataDxfId="649"/>
    <tableColumn id="38" xr3:uid="{064D2A40-7AFA-46E9-B17D-FEEA7B332CB2}" uniqueName="38" name="Squad" queryTableFieldId="38" dataDxfId="648"/>
    <tableColumn id="39" xr3:uid="{2D6A6169-12BF-4ED4-AB37-A270657E09B0}" uniqueName="39" name="Det_Assigned" queryTableFieldId="39" dataDxfId="647"/>
    <tableColumn id="40" xr3:uid="{D289A078-86B7-4FB6-B080-7ABEA65ADBE3}" uniqueName="40" name="Case_Status" queryTableFieldId="40" dataDxfId="646"/>
    <tableColumn id="41" xr3:uid="{B1DF67DA-CC69-4169-A4D0-B1F511F1C599}" uniqueName="41" name="NIBRS Classification" queryTableFieldId="41" dataDxfId="645"/>
    <tableColumn id="42" xr3:uid="{02A95E48-1703-4C0F-87D0-534909BAE500}" uniqueName="42" name="OCA_Length" queryTableFieldId="42" dataDxfId="644"/>
    <tableColumn id="12" xr3:uid="{C19133FA-1AC3-4D54-80CC-C4523F342082}" uniqueName="12" name="INC_Date_and_Time" queryTableFieldId="12" dataDxfId="643"/>
    <tableColumn id="44" xr3:uid="{B71FC1EB-8DB7-4095-863B-B7F4DCFB3D7E}" uniqueName="44" name="Narrative - Copy" queryTableFieldId="44" dataDxfId="642"/>
    <tableColumn id="50" xr3:uid="{9747D69B-EE19-42BC-92E3-5BD67A2B0AAA}" uniqueName="50" name="Text Before Delimiter" queryTableFieldId="84"/>
    <tableColumn id="46" xr3:uid="{EB4B4D09-EDF3-4A6C-8B02-AE7C74FCAA40}" uniqueName="46" name="Incident Date" queryTableFieldId="46" dataDxfId="641"/>
    <tableColumn id="13" xr3:uid="{E11804A6-B599-4BA6-8432-D7EC56D49DEE}" uniqueName="13" name="Incident Time" queryTableFieldId="13" dataDxfId="640"/>
    <tableColumn id="14" xr3:uid="{A6633F76-68FB-4F50-9A42-35FD8C704B9C}" uniqueName="14" name="Incident Date_Between" queryTableFieldId="14" dataDxfId="639"/>
    <tableColumn id="15" xr3:uid="{FE760171-AED5-43DB-83A2-46610D432179}" uniqueName="15" name="Incident Time_Between" queryTableFieldId="15" dataDxfId="638"/>
    <tableColumn id="16" xr3:uid="{9999C025-CEB6-41F3-8EC7-CFEB35921BD1}" uniqueName="16" name="Report Date" queryTableFieldId="16" dataDxfId="637"/>
    <tableColumn id="17" xr3:uid="{E05468A1-0773-4968-B3A1-18D564BBF6DA}" uniqueName="17" name="Report Time" queryTableFieldId="17" dataDxfId="636"/>
    <tableColumn id="45" xr3:uid="{24E4C062-388D-4162-B665-EBBD825B58D3}" uniqueName="45" name="SEASON" queryTableFieldId="136"/>
    <tableColumn id="56" xr3:uid="{88CB155F-1CE3-47B5-90A3-29AF8E8E12B0}" uniqueName="56" name="TIMEOFDAY" queryTableFieldId="139"/>
    <tableColumn id="58" xr3:uid="{48CD8F66-C301-4A5F-A0D9-916D55BC9889}" uniqueName="58" name="CYCLE" queryTableFieldId="142" dataDxfId="635"/>
    <tableColumn id="60" xr3:uid="{F401A260-42F4-4894-B578-A7B775FA2E37}" uniqueName="60" name="DUE_DATE" queryTableFieldId="145" dataDxfId="634"/>
    <tableColumn id="48" xr3:uid="{0EC22D47-B529-4E98-9AB2-E1D5ABF6ED54}" uniqueName="48" name="Logic" queryTableFieldId="48" dataDxfId="63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D881139-87D9-4E3F-9EB0-97D1033E46F4}" name="Robbery" displayName="Robbery" ref="A1:BE6" tableType="queryTable" totalsRowShown="0" headerRowDxfId="566" dataDxfId="565">
  <autoFilter ref="A1:BE6" xr:uid="{8D881139-87D9-4E3F-9EB0-97D1033E46F4}"/>
  <tableColumns count="57">
    <tableColumn id="1" xr3:uid="{7E569546-7884-43FF-9992-A110A75F52A1}" uniqueName="1" name="Case Number" queryTableFieldId="1" dataDxfId="564"/>
    <tableColumn id="2" xr3:uid="{8B92F15C-D637-41C4-AC40-34F0DEA4FEA2}" uniqueName="2" name="INC_Date" queryTableFieldId="2" dataDxfId="563"/>
    <tableColumn id="3" xr3:uid="{34C5E035-DF3B-40E9-9F91-8806DE1DF418}" uniqueName="3" name="Year" queryTableFieldId="3" dataDxfId="562"/>
    <tableColumn id="4" xr3:uid="{F40B3007-8719-4431-9CC6-C275B03BFC11}" uniqueName="4" name="Month Name" queryTableFieldId="4" dataDxfId="561"/>
    <tableColumn id="5" xr3:uid="{0EAEB916-FF8D-41D3-9550-5B67F1CE118C}" uniqueName="5" name="Quarter" queryTableFieldId="5" dataDxfId="560"/>
    <tableColumn id="6" xr3:uid="{C09DF319-1B59-405D-ADBA-9262B9289F37}" uniqueName="6" name="Week of Year" queryTableFieldId="6" dataDxfId="559"/>
    <tableColumn id="7" xr3:uid="{6F4CE559-72D3-46D1-8F60-31FBC3BA2948}" uniqueName="7" name="Week of Month" queryTableFieldId="7" dataDxfId="558"/>
    <tableColumn id="8" xr3:uid="{CCA13A88-1145-4229-94A4-63BADCC954E2}" uniqueName="8" name="Day Name" queryTableFieldId="8" dataDxfId="557"/>
    <tableColumn id="9" xr3:uid="{F446211E-BE38-4877-B831-89F999B2C92E}" uniqueName="9" name="Day of Year" queryTableFieldId="9" dataDxfId="556"/>
    <tableColumn id="10" xr3:uid="{D9B115A6-2379-4A01-B269-808D8E30509F}" uniqueName="10" name="Day" queryTableFieldId="10" dataDxfId="555"/>
    <tableColumn id="47" xr3:uid="{ECC2B3C6-37BF-4593-96FD-9EA2BCE2960E}" uniqueName="47" name="Start of Hour" queryTableFieldId="47" dataDxfId="554"/>
    <tableColumn id="11" xr3:uid="{D7D49D1B-6A63-42D6-AB31-59422516FF81}" uniqueName="11" name="INC_Time" queryTableFieldId="11" dataDxfId="553"/>
    <tableColumn id="52" xr3:uid="{2666BA26-D8AA-4C04-B8CC-730C617F5EB9}" uniqueName="52" name="Target_Incidents" queryTableFieldId="88"/>
    <tableColumn id="18" xr3:uid="{746AEC59-2A38-4990-8609-59FB04E98553}" uniqueName="18" name="Incident Type_1" queryTableFieldId="18" dataDxfId="552"/>
    <tableColumn id="19" xr3:uid="{38C6DA80-D1D1-4293-8341-76A7B7923ECE}" uniqueName="19" name="Incident Type_2" queryTableFieldId="19" dataDxfId="551"/>
    <tableColumn id="20" xr3:uid="{FDB277F2-A9A4-4D3C-81D2-6C8E09760EA2}" uniqueName="20" name="Incident Type_3" queryTableFieldId="20" dataDxfId="550"/>
    <tableColumn id="43" xr3:uid="{0568B47F-168D-4620-A573-8F4600FEE453}" uniqueName="43" name="All_Incident_Types" queryTableFieldId="43" dataDxfId="549"/>
    <tableColumn id="51" xr3:uid="{C7660A68-EA71-4F68-AB73-0E156A1DB3A1}" uniqueName="51" name="Block" queryTableFieldId="85"/>
    <tableColumn id="49" xr3:uid="{3C71A65E-8C6C-4B67-A906-09C866BA3943}" uniqueName="49" name="Location" queryTableFieldId="49"/>
    <tableColumn id="21" xr3:uid="{3A966AD1-86A6-4268-9348-E5F4CA212B6A}" uniqueName="21" name="FullAddress" queryTableFieldId="21" dataDxfId="548"/>
    <tableColumn id="22" xr3:uid="{8406772F-F4AC-4266-8E18-8C817CA8DF68}" uniqueName="22" name="Grid" queryTableFieldId="22" dataDxfId="547"/>
    <tableColumn id="23" xr3:uid="{8A2A46DC-F8DE-4046-81B6-7920FED1BB75}" uniqueName="23" name="Zone" queryTableFieldId="23" dataDxfId="546"/>
    <tableColumn id="24" xr3:uid="{20EFAAA1-33E3-4906-9C3A-36EDAA109054}" uniqueName="24" name="Narrative" queryTableFieldId="24" dataDxfId="545"/>
    <tableColumn id="25" xr3:uid="{C4E24116-2B6E-4135-9DDD-D12C4BE41FFF}" uniqueName="25" name="Total Value Stolen" queryTableFieldId="25" dataDxfId="544"/>
    <tableColumn id="26" xr3:uid="{4000757D-94CF-4E4E-BBA2-29467F9C5FC6}" uniqueName="26" name="Total Value Recover" queryTableFieldId="26" dataDxfId="543"/>
    <tableColumn id="53" xr3:uid="{91269470-DBFF-4FBB-B14C-5F4A83CD7821}" uniqueName="53" name="VEHICLE1" queryTableFieldId="132"/>
    <tableColumn id="54" xr3:uid="{32590D4C-982E-4B37-86F7-3A5ED019D787}" uniqueName="54" name="VEHICLE2" queryTableFieldId="133"/>
    <tableColumn id="27" xr3:uid="{8005F303-45C9-4365-8914-F518B279F753}" uniqueName="27" name="Registration 1" queryTableFieldId="27" dataDxfId="542"/>
    <tableColumn id="28" xr3:uid="{6AAB064F-DE84-456D-997F-8C8B98C0ACB8}" uniqueName="28" name="Make1" queryTableFieldId="28" dataDxfId="541"/>
    <tableColumn id="29" xr3:uid="{60649CCA-CCD5-4239-A7CF-12E00A0231D4}" uniqueName="29" name="Model1" queryTableFieldId="29" dataDxfId="540"/>
    <tableColumn id="30" xr3:uid="{3724D538-B1CA-4504-9355-83A3C4632889}" uniqueName="30" name="Reg State 1" queryTableFieldId="30" dataDxfId="539"/>
    <tableColumn id="31" xr3:uid="{0768FCE1-ED30-4155-A651-8256CF58C598}" uniqueName="31" name="Registration 2" queryTableFieldId="31" dataDxfId="538"/>
    <tableColumn id="32" xr3:uid="{4F484E6F-B03D-47CE-854F-33DA1C5F444A}" uniqueName="32" name="Reg State 2" queryTableFieldId="32" dataDxfId="537"/>
    <tableColumn id="33" xr3:uid="{D292CF8A-D765-4411-9E43-E8CBE9005669}" uniqueName="33" name="Make2" queryTableFieldId="33" dataDxfId="536"/>
    <tableColumn id="34" xr3:uid="{1624F1C0-03C5-44D4-BCF0-5EBCA836A551}" uniqueName="34" name="Model2" queryTableFieldId="34" dataDxfId="535"/>
    <tableColumn id="35" xr3:uid="{3BEAD53D-F1C8-4154-9371-9F09D519BEE9}" uniqueName="35" name="Reviewed By" queryTableFieldId="35" dataDxfId="534"/>
    <tableColumn id="36" xr3:uid="{499B3E7C-1994-4369-A159-9FDA340D029D}" uniqueName="36" name="CompleteCalc" queryTableFieldId="36" dataDxfId="533"/>
    <tableColumn id="37" xr3:uid="{0352309C-C3B6-499F-B33E-31D987C60AE7}" uniqueName="37" name="Officer of Record" queryTableFieldId="37" dataDxfId="532"/>
    <tableColumn id="38" xr3:uid="{0F284B0D-A58D-4229-A5B6-F57044AD41BF}" uniqueName="38" name="Squad" queryTableFieldId="38" dataDxfId="531"/>
    <tableColumn id="39" xr3:uid="{4C9764B6-0356-4C12-923A-872B0967F5BF}" uniqueName="39" name="Det_Assigned" queryTableFieldId="39" dataDxfId="530"/>
    <tableColumn id="40" xr3:uid="{BA9F2AA6-D398-4AAA-9CC2-6FC3408C1285}" uniqueName="40" name="Case_Status" queryTableFieldId="40" dataDxfId="529"/>
    <tableColumn id="41" xr3:uid="{CCFD7ACB-6920-42B7-B58B-03B65A4D0854}" uniqueName="41" name="NIBRS Classification" queryTableFieldId="41" dataDxfId="528"/>
    <tableColumn id="42" xr3:uid="{E000E099-ED02-4A65-97B8-D6A8D4EE6D29}" uniqueName="42" name="OCA_Length" queryTableFieldId="42" dataDxfId="527"/>
    <tableColumn id="12" xr3:uid="{C6275EBB-E8FE-4FC0-B722-F184C4EA685C}" uniqueName="12" name="INC_Date_and_Time" queryTableFieldId="12" dataDxfId="526"/>
    <tableColumn id="44" xr3:uid="{37536BD5-391E-4068-9F4A-D329A38E1C31}" uniqueName="44" name="Narrative - Copy" queryTableFieldId="44" dataDxfId="525"/>
    <tableColumn id="50" xr3:uid="{B5994412-1C9D-454C-93A9-7531A9397636}" uniqueName="50" name="Text Before Delimiter" queryTableFieldId="84"/>
    <tableColumn id="46" xr3:uid="{051851AD-FD4D-4168-A743-37115526A753}" uniqueName="46" name="Incident Date" queryTableFieldId="46" dataDxfId="524"/>
    <tableColumn id="13" xr3:uid="{35E2D251-054B-462D-9D9D-D7A6EE27FEA5}" uniqueName="13" name="Incident Time" queryTableFieldId="13" dataDxfId="523"/>
    <tableColumn id="14" xr3:uid="{811A6EF7-FBF7-4F58-B034-1924E2AA1BC8}" uniqueName="14" name="Incident Date_Between" queryTableFieldId="14" dataDxfId="522"/>
    <tableColumn id="15" xr3:uid="{79F230E1-80B3-456A-830C-29E9B95B5E8B}" uniqueName="15" name="Incident Time_Between" queryTableFieldId="15" dataDxfId="521"/>
    <tableColumn id="16" xr3:uid="{50FD772A-114A-4A60-9420-D9752A6A929B}" uniqueName="16" name="Report Date" queryTableFieldId="16" dataDxfId="520"/>
    <tableColumn id="17" xr3:uid="{E9E434B1-76B5-4C6F-BC28-23A0D3AD0215}" uniqueName="17" name="Report Time" queryTableFieldId="17" dataDxfId="519"/>
    <tableColumn id="45" xr3:uid="{7F629220-8BC2-48D7-9AAA-9CD0ED101E82}" uniqueName="45" name="SEASON" queryTableFieldId="136"/>
    <tableColumn id="56" xr3:uid="{D917E7BA-3552-45C8-87A4-8F6178299FFE}" uniqueName="56" name="TIMEOFDAY" queryTableFieldId="139"/>
    <tableColumn id="58" xr3:uid="{F5FE0AD0-4B19-4278-8B9D-1D759D1C4227}" uniqueName="58" name="CYCLE" queryTableFieldId="142" dataDxfId="518"/>
    <tableColumn id="60" xr3:uid="{2449F0AB-98C9-46F9-B28F-52C318B5A51E}" uniqueName="60" name="DUE_DATE" queryTableFieldId="145" dataDxfId="517"/>
    <tableColumn id="48" xr3:uid="{E1E5CD20-A80D-417B-A9B5-0DAA335DFE9F}" uniqueName="48" name="Logic" queryTableFieldId="48" dataDxfId="51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F28FE2F-63B9-4413-BAA3-DEFD40B83191}" name="ALL_CRIME" displayName="ALL_CRIME" ref="A1:AU111" tableType="queryTable" totalsRowShown="0">
  <autoFilter ref="A1:AU111" xr:uid="{8F28FE2F-63B9-4413-BAA3-DEFD40B83191}"/>
  <tableColumns count="47">
    <tableColumn id="1" xr3:uid="{9065B894-08FA-4EC7-B8A0-4AFD715B5022}" uniqueName="1" name="Source.Name" queryTableFieldId="1" dataDxfId="24"/>
    <tableColumn id="2" xr3:uid="{7A148D5C-B8FE-4276-BCF9-0CF9EACE4BD8}" uniqueName="2" name="Case Number" queryTableFieldId="2" dataDxfId="23"/>
    <tableColumn id="3" xr3:uid="{77591435-94ED-4130-8179-55C1B2116567}" uniqueName="3" name="INC_DATE" queryTableFieldId="3"/>
    <tableColumn id="4" xr3:uid="{86617043-EF78-4040-93B5-A31BC231AFEA}" uniqueName="4" name="INC_TIME" queryTableFieldId="4"/>
    <tableColumn id="5" xr3:uid="{B113F8D4-3AF7-4B79-8DCF-ABB11C9F1129}" uniqueName="5" name="Year" queryTableFieldId="5"/>
    <tableColumn id="6" xr3:uid="{DC17F508-9CBE-4EFD-884D-BA50A0901548}" uniqueName="6" name="Month Name" queryTableFieldId="6"/>
    <tableColumn id="7" xr3:uid="{9687B33C-B46B-42F3-88B7-077B6CCFE91D}" uniqueName="7" name="Day Name" queryTableFieldId="7"/>
    <tableColumn id="8" xr3:uid="{6343C941-949D-4A8C-A5C6-4617AE1903D5}" uniqueName="8" name="Start of Hour" queryTableFieldId="8"/>
    <tableColumn id="9" xr3:uid="{820D1072-8B19-4FA3-8594-272B35870D45}" uniqueName="9" name="ALL_INCIDENT_TYPES" queryTableFieldId="9"/>
    <tableColumn id="10" xr3:uid="{EC2E8DCE-5637-43D0-B2E9-1262096D99FC}" uniqueName="10" name="Incident Type_1" queryTableFieldId="10" dataDxfId="22"/>
    <tableColumn id="11" xr3:uid="{97F099EF-7161-4333-AAF2-F7EFAA465C56}" uniqueName="11" name="Incident Type_2" queryTableFieldId="11" dataDxfId="21"/>
    <tableColumn id="12" xr3:uid="{F5B52373-C998-4D83-A10D-55D5F6AFACAD}" uniqueName="12" name="Incident Type_3" queryTableFieldId="12" dataDxfId="20"/>
    <tableColumn id="13" xr3:uid="{8C110942-C548-488E-9760-E7DBAA323014}" uniqueName="13" name="Text Before Delimiter" queryTableFieldId="13"/>
    <tableColumn id="14" xr3:uid="{A689EF6D-9EB9-4855-B1A9-B35CBCEDFA34}" uniqueName="14" name="FullAddress" queryTableFieldId="14" dataDxfId="19"/>
    <tableColumn id="15" xr3:uid="{72F01927-9CAA-43C9-A2A5-1D40532E2FF3}" uniqueName="15" name="Grid" queryTableFieldId="15" dataDxfId="18"/>
    <tableColumn id="16" xr3:uid="{AC2CE341-A9B9-43BE-B8C6-3972ECBE7472}" uniqueName="16" name="Zone" queryTableFieldId="16"/>
    <tableColumn id="17" xr3:uid="{5218794A-4F09-4905-A765-D792C651870E}" uniqueName="17" name="Narrative" queryTableFieldId="17" dataDxfId="17"/>
    <tableColumn id="18" xr3:uid="{CA96F7BA-3AF6-400F-9128-4D2FBE0F0A41}" uniqueName="18" name="Total Value Stolen" queryTableFieldId="18"/>
    <tableColumn id="19" xr3:uid="{C504354D-C78C-4F55-9362-12BB36898124}" uniqueName="19" name="Total Value Recover" queryTableFieldId="19"/>
    <tableColumn id="20" xr3:uid="{77AEDAF5-A271-4E1C-A962-242225067091}" uniqueName="20" name="Registration 1" queryTableFieldId="20" dataDxfId="16"/>
    <tableColumn id="21" xr3:uid="{8D730319-4752-4075-8A79-9B9E48419E1A}" uniqueName="21" name="Make1" queryTableFieldId="21" dataDxfId="15"/>
    <tableColumn id="22" xr3:uid="{702BB94C-FE76-4D4F-BF75-D6B6EFC9D36D}" uniqueName="22" name="Model1" queryTableFieldId="22" dataDxfId="14"/>
    <tableColumn id="23" xr3:uid="{E9812240-3862-4058-8768-FD7E238E2C10}" uniqueName="23" name="Reg State 1" queryTableFieldId="23" dataDxfId="13"/>
    <tableColumn id="24" xr3:uid="{0A18787A-0A64-4965-8998-13EAF24EB4CF}" uniqueName="24" name="Registration 2" queryTableFieldId="24"/>
    <tableColumn id="25" xr3:uid="{E289DC63-8C6E-4DAC-9F39-51086B62BC39}" uniqueName="25" name="Reg State 2" queryTableFieldId="25"/>
    <tableColumn id="26" xr3:uid="{91DC31EC-EB5B-4734-8D39-C57AEB9501AE}" uniqueName="26" name="Make2" queryTableFieldId="26"/>
    <tableColumn id="27" xr3:uid="{14F3E7DC-FC71-4F91-96DF-0239274D450B}" uniqueName="27" name="Model2" queryTableFieldId="27"/>
    <tableColumn id="28" xr3:uid="{6F7DD571-6D31-41F8-B4BB-DC8AAEE09B10}" uniqueName="28" name="Reviewed By" queryTableFieldId="28" dataDxfId="12"/>
    <tableColumn id="29" xr3:uid="{1FA98904-775A-495B-A943-2060F43AAF9B}" uniqueName="29" name="CompleteCalc" queryTableFieldId="29" dataDxfId="11"/>
    <tableColumn id="30" xr3:uid="{8096B190-D2E0-4831-BE76-4ED68E690448}" uniqueName="30" name="Officer of Record" queryTableFieldId="30" dataDxfId="10"/>
    <tableColumn id="31" xr3:uid="{FB2336D9-51BE-47C0-BD6D-0704E4D89364}" uniqueName="31" name="Squad" queryTableFieldId="31" dataDxfId="9"/>
    <tableColumn id="32" xr3:uid="{1901C955-DA0D-4562-8AE0-86A140231F9B}" uniqueName="32" name="Det_Assigned" queryTableFieldId="32" dataDxfId="8"/>
    <tableColumn id="33" xr3:uid="{8690A881-A053-47C9-BA45-06659601430D}" uniqueName="33" name="Case_Status" queryTableFieldId="33" dataDxfId="7"/>
    <tableColumn id="34" xr3:uid="{9B582FBA-C4F1-48B2-A6B9-20F458BD55E9}" uniqueName="34" name="NIBRS Classification" queryTableFieldId="34" dataDxfId="6"/>
    <tableColumn id="35" xr3:uid="{71219411-B0C5-4EB9-A965-16644696A5D6}" uniqueName="35" name="OCA_COUNT" queryTableFieldId="35"/>
    <tableColumn id="36" xr3:uid="{C1FD1D17-6C01-4876-8DDD-4284BEDCB200}" uniqueName="36" name="Incident Date" queryTableFieldId="36" dataDxfId="5"/>
    <tableColumn id="37" xr3:uid="{44F17776-C98C-48B8-B392-91D463EE9B49}" uniqueName="37" name="Incident Time" queryTableFieldId="37" dataDxfId="4"/>
    <tableColumn id="38" xr3:uid="{D94DEAB5-0AB1-4169-91D5-0EE5D522F618}" uniqueName="38" name="Incident Date_Between" queryTableFieldId="38" dataDxfId="3"/>
    <tableColumn id="39" xr3:uid="{27F4B403-5105-47FA-885E-B88D58C87DE8}" uniqueName="39" name="Incident Time_Between" queryTableFieldId="39" dataDxfId="2"/>
    <tableColumn id="40" xr3:uid="{0015F785-2CDC-4783-8C8B-5A3CC9D10A65}" uniqueName="40" name="Report Date" queryTableFieldId="40" dataDxfId="1"/>
    <tableColumn id="41" xr3:uid="{8A8A692D-042E-4FD8-B708-B4B55BB3590E}" uniqueName="41" name="Report Time" queryTableFieldId="41" dataDxfId="0"/>
    <tableColumn id="42" xr3:uid="{8C9936C4-E84E-4186-8B7C-13B9E273D19D}" uniqueName="42" name="Quarter" queryTableFieldId="42"/>
    <tableColumn id="43" xr3:uid="{2BC86CDE-D0AC-481B-B4C6-4269427FFC42}" uniqueName="43" name="Week of Year" queryTableFieldId="43"/>
    <tableColumn id="44" xr3:uid="{74CA7BA7-00CD-44A9-9850-4EF62B1FA73B}" uniqueName="44" name="Week of Month" queryTableFieldId="44"/>
    <tableColumn id="45" xr3:uid="{FA05A7D3-AD80-4BD8-B322-9BC05CD64951}" uniqueName="45" name="Day" queryTableFieldId="45"/>
    <tableColumn id="46" xr3:uid="{64A614FE-3155-4BEF-B8E3-2C4439596A18}" uniqueName="46" name="Day of Year" queryTableFieldId="46"/>
    <tableColumn id="47" xr3:uid="{B292817F-B76D-4D49-87FC-7C7681B35CD1}" uniqueName="47" name="INC_DATE_AND_TIME" queryTableFieldId="4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890A5CD-5228-4EBF-A95B-1B7A2E51FCE8}" name="Sex_Offenses" displayName="Sex_Offenses" ref="A1:BE3" tableType="queryTable" totalsRowShown="0" headerRowDxfId="507" dataDxfId="506">
  <autoFilter ref="A1:BE3" xr:uid="{6890A5CD-5228-4EBF-A95B-1B7A2E51FCE8}"/>
  <tableColumns count="57">
    <tableColumn id="1" xr3:uid="{CDD421DE-0C0B-4348-B331-60F782C82CF7}" uniqueName="1" name="Case Number" queryTableFieldId="1" dataDxfId="505"/>
    <tableColumn id="2" xr3:uid="{27D4A1E3-327D-493B-865D-28B4CAC7551A}" uniqueName="2" name="INC_Date" queryTableFieldId="2" dataDxfId="504"/>
    <tableColumn id="3" xr3:uid="{DA012FCE-ED74-446F-9D1A-87B570FC6F7E}" uniqueName="3" name="Year" queryTableFieldId="3" dataDxfId="503"/>
    <tableColumn id="4" xr3:uid="{BAEDE2FA-8187-4995-A61C-67695AC247A9}" uniqueName="4" name="Month Name" queryTableFieldId="4" dataDxfId="502"/>
    <tableColumn id="5" xr3:uid="{45EB05B9-C3B0-4BDF-904C-07E5D15F143C}" uniqueName="5" name="Quarter" queryTableFieldId="5" dataDxfId="501"/>
    <tableColumn id="6" xr3:uid="{AC3B1E85-F426-485D-AEF0-C69F3DF47911}" uniqueName="6" name="Week of Year" queryTableFieldId="6" dataDxfId="500"/>
    <tableColumn id="7" xr3:uid="{49AE044E-5C92-4644-8AED-78C349451821}" uniqueName="7" name="Week of Month" queryTableFieldId="7" dataDxfId="499"/>
    <tableColumn id="8" xr3:uid="{B2FBF5B1-F19F-4465-8474-CE51F1577483}" uniqueName="8" name="Day Name" queryTableFieldId="8" dataDxfId="498"/>
    <tableColumn id="9" xr3:uid="{703944FE-07A8-4C01-9FCD-B0B2982F57DA}" uniqueName="9" name="Day of Year" queryTableFieldId="9" dataDxfId="497"/>
    <tableColumn id="10" xr3:uid="{834FD050-919E-4244-BA6A-E53DC90F361D}" uniqueName="10" name="Day" queryTableFieldId="10" dataDxfId="496"/>
    <tableColumn id="47" xr3:uid="{8AEAD39F-3F06-4737-92E5-E3544A666583}" uniqueName="47" name="Start of Hour" queryTableFieldId="47" dataDxfId="495"/>
    <tableColumn id="11" xr3:uid="{1B0C5F2B-5F1C-4583-BFA1-6A53C4AB5B10}" uniqueName="11" name="INC_Time" queryTableFieldId="11" dataDxfId="494"/>
    <tableColumn id="52" xr3:uid="{99EB35E9-4C21-4185-943C-B0C5DB685200}" uniqueName="52" name="Target_Incidents" queryTableFieldId="88"/>
    <tableColumn id="18" xr3:uid="{A0E9FC0D-C191-4946-8124-202B7A5B475E}" uniqueName="18" name="Incident Type_1" queryTableFieldId="18" dataDxfId="493"/>
    <tableColumn id="19" xr3:uid="{AE0C7C6E-A1EC-43ED-A424-7FFF24A792A4}" uniqueName="19" name="Incident Type_2" queryTableFieldId="19" dataDxfId="492"/>
    <tableColumn id="20" xr3:uid="{D84BC1A9-B3EC-4F34-BC7F-23A6C23FAB0C}" uniqueName="20" name="Incident Type_3" queryTableFieldId="20" dataDxfId="491"/>
    <tableColumn id="43" xr3:uid="{E305927F-00B0-42A9-9633-E443FCC444EF}" uniqueName="43" name="All_Incident_Types" queryTableFieldId="43" dataDxfId="490"/>
    <tableColumn id="51" xr3:uid="{5D345EB1-6C9E-4DBD-9D91-B6690F808A17}" uniqueName="51" name="Block" queryTableFieldId="85"/>
    <tableColumn id="49" xr3:uid="{9CAF9504-1869-414E-BD8B-A707A29E4C4E}" uniqueName="49" name="Location" queryTableFieldId="49"/>
    <tableColumn id="21" xr3:uid="{BB1BB04D-991C-495F-A12D-FE120D64FC57}" uniqueName="21" name="FullAddress" queryTableFieldId="21" dataDxfId="489"/>
    <tableColumn id="22" xr3:uid="{74C64703-018B-4C79-B465-349A0943E1EC}" uniqueName="22" name="Grid" queryTableFieldId="22" dataDxfId="488"/>
    <tableColumn id="23" xr3:uid="{08382F31-48A9-41D6-AD83-11EFE61015F8}" uniqueName="23" name="Zone" queryTableFieldId="23" dataDxfId="487"/>
    <tableColumn id="24" xr3:uid="{CCAE150C-C939-4622-A7DC-E0EA946F5F2B}" uniqueName="24" name="Narrative" queryTableFieldId="24" dataDxfId="486"/>
    <tableColumn id="25" xr3:uid="{AF99A3DB-D164-4632-94EC-99C2655C095A}" uniqueName="25" name="Total Value Stolen" queryTableFieldId="25" dataDxfId="485"/>
    <tableColumn id="26" xr3:uid="{B1F4C281-86F8-49C2-ABE0-177EBDFA9B5F}" uniqueName="26" name="Total Value Recover" queryTableFieldId="26" dataDxfId="484"/>
    <tableColumn id="53" xr3:uid="{34B7E68B-C481-4D35-98B6-7DDB6C287321}" uniqueName="53" name="VEHICLE1" queryTableFieldId="132"/>
    <tableColumn id="54" xr3:uid="{AAB4AD9A-DBC6-48DF-9D47-A072A2E27EF9}" uniqueName="54" name="VEHICLE2" queryTableFieldId="133"/>
    <tableColumn id="27" xr3:uid="{ABEAD7D2-680B-4912-A486-ED00A2D764F9}" uniqueName="27" name="Registration 1" queryTableFieldId="27" dataDxfId="483"/>
    <tableColumn id="28" xr3:uid="{67315B3D-ECC4-40AD-8A42-21AD531685C6}" uniqueName="28" name="Make1" queryTableFieldId="28" dataDxfId="482"/>
    <tableColumn id="29" xr3:uid="{643168BD-DE88-42B8-AFDD-B4C4152201B5}" uniqueName="29" name="Model1" queryTableFieldId="29" dataDxfId="481"/>
    <tableColumn id="30" xr3:uid="{63AE577D-5E92-473E-8543-59B9EE2EA948}" uniqueName="30" name="Reg State 1" queryTableFieldId="30" dataDxfId="480"/>
    <tableColumn id="31" xr3:uid="{B09C346C-BC1D-4ED0-A28F-425074711E0E}" uniqueName="31" name="Registration 2" queryTableFieldId="31" dataDxfId="479"/>
    <tableColumn id="32" xr3:uid="{5B8D7A82-F98D-4D47-B483-3CB005BF8561}" uniqueName="32" name="Reg State 2" queryTableFieldId="32" dataDxfId="478"/>
    <tableColumn id="33" xr3:uid="{D447AC65-BE39-4B1C-AAEC-13D392035B4E}" uniqueName="33" name="Make2" queryTableFieldId="33" dataDxfId="477"/>
    <tableColumn id="34" xr3:uid="{9443AEFC-4771-441E-8957-160B980A810C}" uniqueName="34" name="Model2" queryTableFieldId="34" dataDxfId="476"/>
    <tableColumn id="35" xr3:uid="{FFE4A87A-1AB5-4C51-BCB7-1FF4253CF05C}" uniqueName="35" name="Reviewed By" queryTableFieldId="35" dataDxfId="475"/>
    <tableColumn id="36" xr3:uid="{EC75E975-CAC1-4444-893F-C29E29FE24C9}" uniqueName="36" name="CompleteCalc" queryTableFieldId="36" dataDxfId="474"/>
    <tableColumn id="37" xr3:uid="{3348B949-24A2-472E-83A2-5751833AE12D}" uniqueName="37" name="Officer of Record" queryTableFieldId="37" dataDxfId="473"/>
    <tableColumn id="38" xr3:uid="{2E81D12E-7736-4293-85D4-C8E86C3A4576}" uniqueName="38" name="Squad" queryTableFieldId="38" dataDxfId="472"/>
    <tableColumn id="39" xr3:uid="{5436DB0F-2AC0-430F-A6DA-A13191FA80BE}" uniqueName="39" name="Det_Assigned" queryTableFieldId="39" dataDxfId="471"/>
    <tableColumn id="40" xr3:uid="{71ADCD05-C755-430F-AB23-D454FA9099E6}" uniqueName="40" name="Case_Status" queryTableFieldId="40" dataDxfId="470"/>
    <tableColumn id="41" xr3:uid="{67CC5A3C-068D-42C8-BB74-1DE3B3A098D1}" uniqueName="41" name="NIBRS Classification" queryTableFieldId="41" dataDxfId="469"/>
    <tableColumn id="42" xr3:uid="{6498ED20-5417-43CC-A8D5-35E80DFA633B}" uniqueName="42" name="OCA_Length" queryTableFieldId="42" dataDxfId="468"/>
    <tableColumn id="12" xr3:uid="{2B0A338C-E893-4432-8DDA-3B71BA069CDE}" uniqueName="12" name="INC_Date_and_Time" queryTableFieldId="12" dataDxfId="467"/>
    <tableColumn id="44" xr3:uid="{F76502E4-8534-4B01-9A5E-74F152AB697D}" uniqueName="44" name="Narrative - Copy" queryTableFieldId="44" dataDxfId="466"/>
    <tableColumn id="50" xr3:uid="{80E4EBF1-6435-493B-8729-2D3B5EAB45F1}" uniqueName="50" name="Text Before Delimiter" queryTableFieldId="84"/>
    <tableColumn id="46" xr3:uid="{4B972E83-856C-4838-88AA-8A92DBFB86BB}" uniqueName="46" name="Incident Date" queryTableFieldId="46" dataDxfId="465"/>
    <tableColumn id="13" xr3:uid="{00A60C66-B70E-42CE-AFF9-FE0A1B7A619C}" uniqueName="13" name="Incident Time" queryTableFieldId="13" dataDxfId="464"/>
    <tableColumn id="14" xr3:uid="{51FC374F-EFC2-4642-A6A7-5F413704D33D}" uniqueName="14" name="Incident Date_Between" queryTableFieldId="14" dataDxfId="463"/>
    <tableColumn id="15" xr3:uid="{C426F878-4177-474F-AC57-21BB4990E261}" uniqueName="15" name="Incident Time_Between" queryTableFieldId="15" dataDxfId="462"/>
    <tableColumn id="16" xr3:uid="{42EE4D50-8792-45D8-A940-3BA63F3291D1}" uniqueName="16" name="Report Date" queryTableFieldId="16" dataDxfId="461"/>
    <tableColumn id="17" xr3:uid="{7C895906-953F-49AA-95A4-95D6EB6B81DF}" uniqueName="17" name="Report Time" queryTableFieldId="17" dataDxfId="460"/>
    <tableColumn id="45" xr3:uid="{6E064EA8-681E-453F-BCDB-FA517210B142}" uniqueName="45" name="SEASON" queryTableFieldId="136"/>
    <tableColumn id="56" xr3:uid="{E45EAA2E-C63B-4BF7-A4B3-04DF08112CD2}" uniqueName="56" name="TIMEOFDAY" queryTableFieldId="139"/>
    <tableColumn id="58" xr3:uid="{40310732-352E-40C2-B03B-B98437F9F1F0}" uniqueName="58" name="CYCLE" queryTableFieldId="142" dataDxfId="459"/>
    <tableColumn id="60" xr3:uid="{1641075E-51FC-4AA1-B3F1-7919BE730CE2}" uniqueName="60" name="DUE_DATE" queryTableFieldId="145" dataDxfId="458"/>
    <tableColumn id="48" xr3:uid="{C690C28A-D87C-45F4-8E8A-97D87B207B20}" uniqueName="48" name="Logic" queryTableFieldId="48" dataDxfId="45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1490060-CC8B-4E20-A18C-2FD1869FEA5D}" name="_5_6" displayName="_5_6" ref="A1:BD10" tableType="queryTable" totalsRowShown="0" headerRowDxfId="456" dataDxfId="455">
  <autoFilter ref="A1:BD10" xr:uid="{E1490060-CC8B-4E20-A18C-2FD1869FEA5D}"/>
  <sortState xmlns:xlrd2="http://schemas.microsoft.com/office/spreadsheetml/2017/richdata2" ref="A2:BD10">
    <sortCondition ref="B1:B10"/>
  </sortState>
  <tableColumns count="56">
    <tableColumn id="1" xr3:uid="{B0067EE4-ADCB-45E1-BDEB-FFAA1EF2DD30}" uniqueName="1" name="Case Number" queryTableFieldId="1" dataDxfId="454"/>
    <tableColumn id="2" xr3:uid="{9CEA2517-3B22-497A-BBF6-45A7FB8BDD05}" uniqueName="2" name="INC_Date" queryTableFieldId="2" dataDxfId="453"/>
    <tableColumn id="3" xr3:uid="{4D683106-1768-4094-9277-BE885F97E895}" uniqueName="3" name="Year" queryTableFieldId="3" dataDxfId="452"/>
    <tableColumn id="4" xr3:uid="{BBEE063B-CDA9-4BB0-8D10-8FB30E4D476C}" uniqueName="4" name="Month Name" queryTableFieldId="4" dataDxfId="451"/>
    <tableColumn id="5" xr3:uid="{A3C922AB-BC65-4247-A1C8-84120630E0FD}" uniqueName="5" name="Quarter" queryTableFieldId="5" dataDxfId="450"/>
    <tableColumn id="6" xr3:uid="{BEF0A4F6-293C-4CC7-87F2-A4E3DE19E612}" uniqueName="6" name="Week of Year" queryTableFieldId="6" dataDxfId="449"/>
    <tableColumn id="7" xr3:uid="{F72630C0-1BD7-44F9-B510-48AF5A1531E9}" uniqueName="7" name="Week of Month" queryTableFieldId="7" dataDxfId="448"/>
    <tableColumn id="8" xr3:uid="{9255A6A3-0766-441F-85FB-859802C588A7}" uniqueName="8" name="Day Name" queryTableFieldId="8" dataDxfId="447"/>
    <tableColumn id="9" xr3:uid="{EE6CFDF9-18FA-4434-ABA2-E00156B11FCE}" uniqueName="9" name="Day of Year" queryTableFieldId="9" dataDxfId="446"/>
    <tableColumn id="10" xr3:uid="{17B67913-2F8B-4014-9D3A-5583FF76BF12}" uniqueName="10" name="Day" queryTableFieldId="10" dataDxfId="445"/>
    <tableColumn id="47" xr3:uid="{E0D29F43-3C11-42EA-97DB-58DCB8FA34F8}" uniqueName="47" name="Start of Hour" queryTableFieldId="47" dataDxfId="444"/>
    <tableColumn id="11" xr3:uid="{93527EB3-94E7-497E-B682-EDE9180D7EA0}" uniqueName="11" name="INC_Time" queryTableFieldId="11" dataDxfId="443"/>
    <tableColumn id="51" xr3:uid="{E2B5AAFC-DD7B-4E7C-B94C-00BFCCAF5883}" uniqueName="51" name="Target_Incidents" queryTableFieldId="84"/>
    <tableColumn id="18" xr3:uid="{4A51710F-69F7-499F-A9D3-FE39CC8F8B88}" uniqueName="18" name="Incident Type_1" queryTableFieldId="18" dataDxfId="442"/>
    <tableColumn id="19" xr3:uid="{BAD6BCE0-8E3D-44BD-BEC7-6965A0E2081E}" uniqueName="19" name="Incident Type_2" queryTableFieldId="19" dataDxfId="441"/>
    <tableColumn id="20" xr3:uid="{39EBCA01-A755-4C64-ADE1-48697A69CA78}" uniqueName="20" name="Incident Type_3" queryTableFieldId="20" dataDxfId="440"/>
    <tableColumn id="43" xr3:uid="{46CE416F-F299-4721-84CF-0C6646C19F41}" uniqueName="43" name="All_Incident_Types" queryTableFieldId="43" dataDxfId="439"/>
    <tableColumn id="50" xr3:uid="{87750737-C944-4D7B-BB87-6D52234A4BA7}" uniqueName="50" name="Block" queryTableFieldId="50"/>
    <tableColumn id="48" xr3:uid="{BD01A73F-65DC-44B8-845D-E1CE02C1AED0}" uniqueName="48" name="Location" queryTableFieldId="48"/>
    <tableColumn id="21" xr3:uid="{F6912660-0A35-48CE-B16B-069BC87F47C2}" uniqueName="21" name="FullAddress" queryTableFieldId="21" dataDxfId="438"/>
    <tableColumn id="22" xr3:uid="{0CC344F8-5568-4E16-B9DB-5277DF553DD9}" uniqueName="22" name="Grid" queryTableFieldId="22" dataDxfId="437"/>
    <tableColumn id="23" xr3:uid="{48DDDB7C-5BD1-4CF2-A8A8-29F6287D9F00}" uniqueName="23" name="Zone" queryTableFieldId="23" dataDxfId="436"/>
    <tableColumn id="24" xr3:uid="{74D50C63-9668-454C-A6E6-43D8A7FC8136}" uniqueName="24" name="Narrative" queryTableFieldId="24" dataDxfId="435"/>
    <tableColumn id="25" xr3:uid="{17C74DD1-704B-41C1-9A57-326C5C271BA4}" uniqueName="25" name="Total Value Stolen" queryTableFieldId="25" dataDxfId="434"/>
    <tableColumn id="26" xr3:uid="{B3BA1C53-9047-4AFC-A969-CBE40B5FD348}" uniqueName="26" name="Total Value Recover" queryTableFieldId="26" dataDxfId="433"/>
    <tableColumn id="52" xr3:uid="{0992D0E5-D2B9-4866-9E20-1EF266D11E6B}" uniqueName="52" name="VEHICLE1" queryTableFieldId="128"/>
    <tableColumn id="53" xr3:uid="{6E78C5D9-5DDC-4AEF-BC4F-1F79269CE06B}" uniqueName="53" name="VEHICLE2" queryTableFieldId="129"/>
    <tableColumn id="27" xr3:uid="{9CAA4E3F-24E7-4304-943A-5F7FEA05FBCF}" uniqueName="27" name="Registration 1" queryTableFieldId="27" dataDxfId="432"/>
    <tableColumn id="28" xr3:uid="{1EDC35C4-0BF6-4D03-818B-F4CBA1F90512}" uniqueName="28" name="Make1" queryTableFieldId="28" dataDxfId="431"/>
    <tableColumn id="29" xr3:uid="{3CD6FA7D-3A98-4B6D-8731-CE1A1448FEF0}" uniqueName="29" name="Model1" queryTableFieldId="29" dataDxfId="430"/>
    <tableColumn id="30" xr3:uid="{6E474B8B-6690-4A42-83E7-F6849D1FFAD8}" uniqueName="30" name="Reg State 1" queryTableFieldId="30" dataDxfId="429"/>
    <tableColumn id="31" xr3:uid="{9A7C10AB-7A8E-4A57-8214-0C2B28A5F04C}" uniqueName="31" name="Registration 2" queryTableFieldId="31" dataDxfId="428"/>
    <tableColumn id="32" xr3:uid="{31D1570F-0030-4950-A095-AE05F11875C6}" uniqueName="32" name="Reg State 2" queryTableFieldId="32" dataDxfId="427"/>
    <tableColumn id="33" xr3:uid="{6815C607-5805-4C7A-AF90-26555C5E11EB}" uniqueName="33" name="Make2" queryTableFieldId="33" dataDxfId="426"/>
    <tableColumn id="34" xr3:uid="{2FE94560-A89D-4077-A28B-FECF848FF0D2}" uniqueName="34" name="Model2" queryTableFieldId="34" dataDxfId="425"/>
    <tableColumn id="35" xr3:uid="{F51074A9-6C3F-4FBC-9940-A831A89FB675}" uniqueName="35" name="Reviewed By" queryTableFieldId="35" dataDxfId="424"/>
    <tableColumn id="36" xr3:uid="{B7787B4E-7FF4-47CA-A26A-CF1EB0628178}" uniqueName="36" name="CompleteCalc" queryTableFieldId="36" dataDxfId="423"/>
    <tableColumn id="37" xr3:uid="{04F60347-DCBA-409C-A2E7-52220664B109}" uniqueName="37" name="Officer of Record" queryTableFieldId="37" dataDxfId="422"/>
    <tableColumn id="38" xr3:uid="{F2EC7AB4-A271-4B0F-B822-8E0127ADCDAA}" uniqueName="38" name="Squad" queryTableFieldId="38" dataDxfId="421"/>
    <tableColumn id="39" xr3:uid="{171373B6-1985-4D91-8ECA-7D37D76E6889}" uniqueName="39" name="Det_Assigned" queryTableFieldId="39" dataDxfId="420"/>
    <tableColumn id="40" xr3:uid="{DEC835FC-B79C-49E4-8C9B-A47874044762}" uniqueName="40" name="Case_Status" queryTableFieldId="40" dataDxfId="419"/>
    <tableColumn id="41" xr3:uid="{F4E2479A-BC40-4728-BD78-DAAB2EE47AC4}" uniqueName="41" name="NIBRS Classification" queryTableFieldId="41" dataDxfId="418"/>
    <tableColumn id="42" xr3:uid="{D9915D16-EC41-4A15-9157-A869DE040089}" uniqueName="42" name="OCA_Length" queryTableFieldId="42" dataDxfId="417"/>
    <tableColumn id="12" xr3:uid="{882D398D-2190-4AEF-9426-9514E6E3721A}" uniqueName="12" name="INC_Date_and_Time" queryTableFieldId="12" dataDxfId="416"/>
    <tableColumn id="44" xr3:uid="{B8B34AF4-B91B-4B2B-B5BE-E59BEC1F3196}" uniqueName="44" name="Narrative - Copy" queryTableFieldId="44" dataDxfId="415"/>
    <tableColumn id="49" xr3:uid="{2D9302AF-4DCD-42E1-B8A5-C36AF50481C8}" uniqueName="49" name="Text Before Delimiter" queryTableFieldId="49"/>
    <tableColumn id="46" xr3:uid="{F1382B0B-1C4F-48AA-B81C-0DCDE8DFFB2D}" uniqueName="46" name="Incident Date" queryTableFieldId="46" dataDxfId="414"/>
    <tableColumn id="13" xr3:uid="{7D52EDB2-0A50-45E9-8094-618AD5D58BB1}" uniqueName="13" name="Incident Time" queryTableFieldId="13" dataDxfId="413"/>
    <tableColumn id="14" xr3:uid="{86A7ECCE-2661-4CB7-A229-7CF9612C144F}" uniqueName="14" name="Incident Date_Between" queryTableFieldId="14" dataDxfId="412"/>
    <tableColumn id="15" xr3:uid="{C768917A-D72F-4FCB-8768-86BA9DE396A6}" uniqueName="15" name="Incident Time_Between" queryTableFieldId="15" dataDxfId="411"/>
    <tableColumn id="16" xr3:uid="{CE760156-36B3-428B-BF50-F38B40886A71}" uniqueName="16" name="Report Date" queryTableFieldId="16" dataDxfId="410"/>
    <tableColumn id="17" xr3:uid="{52905016-15FA-4F1A-900D-648C8861CBAE}" uniqueName="17" name="Report Time" queryTableFieldId="17" dataDxfId="409"/>
    <tableColumn id="45" xr3:uid="{C0334725-4A54-427B-8778-3BD958E958FD}" uniqueName="45" name="SEASON" queryTableFieldId="132"/>
    <tableColumn id="54" xr3:uid="{E20E5BF7-8E2D-41C0-9138-20144709A067}" uniqueName="54" name="TIMEOFDAY" queryTableFieldId="133"/>
    <tableColumn id="55" xr3:uid="{1E5489D8-63C5-4308-9DF0-20A7AAD80ED3}" uniqueName="55" name="CYCLE" queryTableFieldId="134"/>
    <tableColumn id="56" xr3:uid="{F5AF47CC-D286-4083-9C29-B5E28B3F48BD}" uniqueName="56" name="DUE_DATE" queryTableFieldId="135" dataDxfId="40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4D38055-3F52-4CCB-8DB8-8C83F3CBAF7C}" name="Table13" displayName="Table13" ref="K1:N8" totalsRowShown="0" headerRowDxfId="353" dataDxfId="352">
  <autoFilter ref="K1:N8" xr:uid="{E4D38055-3F52-4CCB-8DB8-8C83F3CBAF7C}">
    <filterColumn colId="0">
      <filters>
        <dateGroupItem year="2025" month="2" day="7" dateTimeGrouping="day"/>
      </filters>
    </filterColumn>
  </autoFilter>
  <tableColumns count="4">
    <tableColumn id="1" xr3:uid="{4CAB60B1-B199-46C4-9092-5BD5AF36BDD7}" name="INC_Date" dataDxfId="351"/>
    <tableColumn id="2" xr3:uid="{49E56648-1F6C-48C3-B480-2861125752E8}" name="Narrative" dataDxfId="350"/>
    <tableColumn id="3" xr3:uid="{135191AA-43EA-4B5E-BFE0-44256F117F4D}" name="VEHICLE1" dataDxfId="349"/>
    <tableColumn id="4" xr3:uid="{77058B56-55B6-42E7-9CAC-7F3CB4ED4736}" name="VEHICLE2" dataDxfId="348"/>
  </tableColumns>
  <tableStyleInfo name="TableStyleLight15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497720D-846C-48A6-805B-B9CF94C2DAD7}" name="_7" displayName="_7" ref="A1:BD6" tableType="queryTable" totalsRowShown="0" headerRowDxfId="347" dataDxfId="346">
  <autoFilter ref="A1:BD6" xr:uid="{D497720D-846C-48A6-805B-B9CF94C2DAD7}"/>
  <tableColumns count="56">
    <tableColumn id="1" xr3:uid="{DB3053C7-CEF2-4E6A-91C7-2ABAF45A8719}" uniqueName="1" name="Case Number" queryTableFieldId="1" dataDxfId="345"/>
    <tableColumn id="2" xr3:uid="{CAFF04ED-CB45-42C3-AE4C-BE3541A5A89E}" uniqueName="2" name="INC_Date" queryTableFieldId="2" dataDxfId="344"/>
    <tableColumn id="3" xr3:uid="{8152376C-9EE2-4119-BFB1-5D1D3193734B}" uniqueName="3" name="Year" queryTableFieldId="3" dataDxfId="343"/>
    <tableColumn id="4" xr3:uid="{C5B59A94-C25B-4849-80CE-74D5C1B13B5A}" uniqueName="4" name="Month Name" queryTableFieldId="4" dataDxfId="342"/>
    <tableColumn id="5" xr3:uid="{D02100B6-0EE9-4AB0-8FCC-AB809A9FDCC5}" uniqueName="5" name="Quarter" queryTableFieldId="5" dataDxfId="341"/>
    <tableColumn id="6" xr3:uid="{DE08A68E-373B-4D04-8032-749DA9363794}" uniqueName="6" name="Week of Year" queryTableFieldId="6" dataDxfId="340"/>
    <tableColumn id="7" xr3:uid="{BF7F37B9-1A8D-4E8A-8D94-FD7868EC8FBE}" uniqueName="7" name="Week of Month" queryTableFieldId="7" dataDxfId="339"/>
    <tableColumn id="8" xr3:uid="{E661A2CC-9340-49E6-B91E-AE6649B19C79}" uniqueName="8" name="Day Name" queryTableFieldId="8" dataDxfId="338"/>
    <tableColumn id="9" xr3:uid="{790E65B5-52E5-498E-B621-DC9B5A2D0FFD}" uniqueName="9" name="Day of Year" queryTableFieldId="9" dataDxfId="337"/>
    <tableColumn id="10" xr3:uid="{E8E6FD40-14A0-4905-9B31-65E72CC532D2}" uniqueName="10" name="Day" queryTableFieldId="10" dataDxfId="336"/>
    <tableColumn id="47" xr3:uid="{FB7E513A-B9A2-489A-A417-88CA5B72AFA3}" uniqueName="47" name="Start of Hour" queryTableFieldId="47" dataDxfId="335"/>
    <tableColumn id="11" xr3:uid="{AB0A6D07-39E6-4729-95F8-DD38121676DD}" uniqueName="11" name="INC_Time" queryTableFieldId="11" dataDxfId="334"/>
    <tableColumn id="51" xr3:uid="{EBD7E5A5-1479-4AE7-A862-5D43C3515D2B}" uniqueName="51" name="Target_Incidents" queryTableFieldId="84"/>
    <tableColumn id="18" xr3:uid="{DA8D661F-5F4B-4965-8CAE-63D348EBB643}" uniqueName="18" name="Incident Type_1" queryTableFieldId="18" dataDxfId="333"/>
    <tableColumn id="19" xr3:uid="{6687E263-3ED4-47C2-950B-912723C6027E}" uniqueName="19" name="Incident Type_2" queryTableFieldId="19" dataDxfId="332"/>
    <tableColumn id="20" xr3:uid="{00F5AC56-A859-43F3-BDF3-DEDFD04377DF}" uniqueName="20" name="Incident Type_3" queryTableFieldId="20" dataDxfId="331"/>
    <tableColumn id="43" xr3:uid="{FA0F99D1-07D6-4D40-88E2-FBCADAD3C878}" uniqueName="43" name="All_Incident_Types" queryTableFieldId="43" dataDxfId="330"/>
    <tableColumn id="50" xr3:uid="{8FEF26F3-015D-418C-A1DE-EDB221DED037}" uniqueName="50" name="Block" queryTableFieldId="50"/>
    <tableColumn id="48" xr3:uid="{F5420168-334F-4596-884F-6DCCB1FE2F48}" uniqueName="48" name="Location" queryTableFieldId="48"/>
    <tableColumn id="21" xr3:uid="{DBB0FABF-CC2D-4D6E-8FED-67565B7265DB}" uniqueName="21" name="FullAddress" queryTableFieldId="21" dataDxfId="329"/>
    <tableColumn id="22" xr3:uid="{8901CB8D-2CAE-476D-A79C-3AC258E4A1A6}" uniqueName="22" name="Grid" queryTableFieldId="22" dataDxfId="328"/>
    <tableColumn id="23" xr3:uid="{78A06469-3233-4A88-991E-39DE82142934}" uniqueName="23" name="Zone" queryTableFieldId="23" dataDxfId="327"/>
    <tableColumn id="24" xr3:uid="{BB56E81F-9C8A-4778-A4E6-3934F13E270D}" uniqueName="24" name="Narrative" queryTableFieldId="24" dataDxfId="326"/>
    <tableColumn id="25" xr3:uid="{0335209F-6382-400A-912A-DA0278F0273E}" uniqueName="25" name="Total Value Stolen" queryTableFieldId="25" dataDxfId="325"/>
    <tableColumn id="26" xr3:uid="{4D346965-5607-4B55-AB7A-0DBF9F115477}" uniqueName="26" name="Total Value Recover" queryTableFieldId="26" dataDxfId="324"/>
    <tableColumn id="52" xr3:uid="{620D98B1-39C2-493D-B268-D83F62DA1958}" uniqueName="52" name="VEHICLE1" queryTableFieldId="128"/>
    <tableColumn id="53" xr3:uid="{DFD9A860-4919-480C-B001-E87E587921E5}" uniqueName="53" name="VEHICLE2" queryTableFieldId="129"/>
    <tableColumn id="27" xr3:uid="{74072949-BF4D-45A3-9C45-78354E5F0E87}" uniqueName="27" name="Registration 1" queryTableFieldId="27" dataDxfId="323"/>
    <tableColumn id="28" xr3:uid="{F58BA85C-C4A5-4DF0-B685-31B436D0BA78}" uniqueName="28" name="Make1" queryTableFieldId="28" dataDxfId="322"/>
    <tableColumn id="29" xr3:uid="{669273B5-2B59-4A7C-BB76-C309281D0AD5}" uniqueName="29" name="Model1" queryTableFieldId="29" dataDxfId="321"/>
    <tableColumn id="30" xr3:uid="{6CD6725C-8F65-4D9E-8058-F9BBF1A6C2BE}" uniqueName="30" name="Reg State 1" queryTableFieldId="30" dataDxfId="320"/>
    <tableColumn id="31" xr3:uid="{06424DBE-D13A-4795-B2C4-F598988F039A}" uniqueName="31" name="Registration 2" queryTableFieldId="31" dataDxfId="319"/>
    <tableColumn id="32" xr3:uid="{F83AC3B1-F6EC-464A-B3E0-30BEDCFEF951}" uniqueName="32" name="Reg State 2" queryTableFieldId="32" dataDxfId="318"/>
    <tableColumn id="33" xr3:uid="{2CFFA7A0-7390-4A5B-AB4D-832259E72136}" uniqueName="33" name="Make2" queryTableFieldId="33" dataDxfId="317"/>
    <tableColumn id="34" xr3:uid="{9C812AE0-2DDD-4542-8058-CAB57E2E0B75}" uniqueName="34" name="Model2" queryTableFieldId="34" dataDxfId="316"/>
    <tableColumn id="35" xr3:uid="{5FB61A00-9C0A-44CF-A57F-FE97943D668B}" uniqueName="35" name="Reviewed By" queryTableFieldId="35" dataDxfId="315"/>
    <tableColumn id="36" xr3:uid="{1C50670B-63CD-4E8E-9C5F-15B520440357}" uniqueName="36" name="CompleteCalc" queryTableFieldId="36" dataDxfId="314"/>
    <tableColumn id="37" xr3:uid="{6BE83039-09F2-4E70-8038-001BF3088A42}" uniqueName="37" name="Officer of Record" queryTableFieldId="37" dataDxfId="313"/>
    <tableColumn id="38" xr3:uid="{8FD0316C-56D6-493A-93D8-574F07DC4914}" uniqueName="38" name="Squad" queryTableFieldId="38" dataDxfId="312"/>
    <tableColumn id="39" xr3:uid="{4443901E-3B00-4FED-AA2A-B3688FAE7E4E}" uniqueName="39" name="Det_Assigned" queryTableFieldId="39" dataDxfId="311"/>
    <tableColumn id="40" xr3:uid="{8FA2954B-9183-42B9-98DD-063863C5E000}" uniqueName="40" name="Case_Status" queryTableFieldId="40" dataDxfId="310"/>
    <tableColumn id="41" xr3:uid="{2FAAE439-D23A-4486-9301-8FAED571252B}" uniqueName="41" name="NIBRS Classification" queryTableFieldId="41" dataDxfId="309"/>
    <tableColumn id="42" xr3:uid="{A5902662-7736-4542-8369-3539C5255B39}" uniqueName="42" name="OCA_Length" queryTableFieldId="42" dataDxfId="308"/>
    <tableColumn id="12" xr3:uid="{0D83B75E-763C-4005-9A7B-BD0D06B8C58A}" uniqueName="12" name="INC_Date_and_Time" queryTableFieldId="12" dataDxfId="307"/>
    <tableColumn id="44" xr3:uid="{F335B902-CEEF-4747-9921-FD86F87D147A}" uniqueName="44" name="Narrative - Copy" queryTableFieldId="44" dataDxfId="306"/>
    <tableColumn id="49" xr3:uid="{B9D24EC7-F4F5-4134-ABFB-769E261D4B53}" uniqueName="49" name="Text Before Delimiter" queryTableFieldId="49"/>
    <tableColumn id="46" xr3:uid="{4B61B9B2-6847-427C-AD06-1112E0237E7F}" uniqueName="46" name="Incident Date" queryTableFieldId="46" dataDxfId="305"/>
    <tableColumn id="13" xr3:uid="{31B19895-2885-401F-8084-D9582AAA836E}" uniqueName="13" name="Incident Time" queryTableFieldId="13" dataDxfId="304"/>
    <tableColumn id="14" xr3:uid="{54305973-0C0C-42E0-A5A6-F6F283BF74DC}" uniqueName="14" name="Incident Date_Between" queryTableFieldId="14" dataDxfId="303"/>
    <tableColumn id="15" xr3:uid="{E672F5F1-F8E1-46D1-9BFB-3F44401B4165}" uniqueName="15" name="Incident Time_Between" queryTableFieldId="15" dataDxfId="302"/>
    <tableColumn id="16" xr3:uid="{5BD846A5-CABC-43D6-987B-7D2451FDA778}" uniqueName="16" name="Report Date" queryTableFieldId="16" dataDxfId="301"/>
    <tableColumn id="17" xr3:uid="{4C9B2DD6-5D2B-4837-9053-2EC31041D510}" uniqueName="17" name="Report Time" queryTableFieldId="17" dataDxfId="300"/>
    <tableColumn id="45" xr3:uid="{23D26F0A-FC6D-4069-9328-C770998CEE6D}" uniqueName="45" name="SEASON" queryTableFieldId="132"/>
    <tableColumn id="54" xr3:uid="{295F4491-AE2C-4669-B825-1D672E353BD1}" uniqueName="54" name="TIMEOFDAY" queryTableFieldId="133"/>
    <tableColumn id="55" xr3:uid="{2D646828-EBB7-4C8B-B854-4F38E892C0D4}" uniqueName="55" name="CYCLE" queryTableFieldId="134"/>
    <tableColumn id="56" xr3:uid="{B0320110-DD69-4EEE-8BCE-1636E4B13C6A}" uniqueName="56" name="DUE_DATE" queryTableFieldId="135" dataDxfId="29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7DF89EF-9A70-4EDF-92C1-791554746D4D}" name="_8" displayName="_8" ref="A1:BD8" tableType="queryTable" totalsRowShown="0">
  <autoFilter ref="A1:BD8" xr:uid="{27DF89EF-9A70-4EDF-92C1-791554746D4D}"/>
  <tableColumns count="56">
    <tableColumn id="1" xr3:uid="{C229EDA7-CA33-4D33-880F-34D9B2BE727A}" uniqueName="1" name="Case Number" queryTableFieldId="1" dataDxfId="244"/>
    <tableColumn id="2" xr3:uid="{7220E7A3-79DD-4278-9205-74CC657FFDF9}" uniqueName="2" name="INC_Date" queryTableFieldId="2" dataDxfId="243"/>
    <tableColumn id="3" xr3:uid="{3B02AC96-5B60-4572-82C3-D7DE318022DC}" uniqueName="3" name="Year" queryTableFieldId="3" dataDxfId="242"/>
    <tableColumn id="4" xr3:uid="{1DE1FB42-E6A2-417F-B8E9-2539045C0B54}" uniqueName="4" name="Month Name" queryTableFieldId="4" dataDxfId="241"/>
    <tableColumn id="5" xr3:uid="{8C6EBEAD-751E-411A-AE91-D4E0642D9067}" uniqueName="5" name="Quarter" queryTableFieldId="5" dataDxfId="240"/>
    <tableColumn id="6" xr3:uid="{569F56AA-AA7A-433F-89EC-F18472A14D5F}" uniqueName="6" name="Week of Year" queryTableFieldId="6" dataDxfId="239"/>
    <tableColumn id="7" xr3:uid="{AF032583-354D-4AC6-9967-102E2692B5EC}" uniqueName="7" name="Week of Month" queryTableFieldId="7" dataDxfId="238"/>
    <tableColumn id="8" xr3:uid="{AE571CEB-4A2A-4D72-9E7F-F71E9D263E84}" uniqueName="8" name="Day Name" queryTableFieldId="8" dataDxfId="237"/>
    <tableColumn id="9" xr3:uid="{C0993F63-3263-4219-86A7-7DD1F6EBB002}" uniqueName="9" name="Day of Year" queryTableFieldId="9" dataDxfId="236"/>
    <tableColumn id="10" xr3:uid="{9407159C-78DA-4AE7-8405-C4F68DDA7973}" uniqueName="10" name="Day" queryTableFieldId="10" dataDxfId="235"/>
    <tableColumn id="47" xr3:uid="{449EE65F-6F56-4932-9453-70BD836E4C5D}" uniqueName="47" name="Start of Hour" queryTableFieldId="47" dataDxfId="234"/>
    <tableColumn id="11" xr3:uid="{7B54BFFA-6BBB-4575-9942-A83345BA76DA}" uniqueName="11" name="INC_Time" queryTableFieldId="11" dataDxfId="233"/>
    <tableColumn id="51" xr3:uid="{2763E960-7098-49C3-8F95-7606AFACA99F}" uniqueName="51" name="Target_Incidents" queryTableFieldId="84"/>
    <tableColumn id="18" xr3:uid="{5FEE87C9-E305-4E9E-AB60-67929C86D8F0}" uniqueName="18" name="Incident Type_1" queryTableFieldId="18" dataDxfId="232"/>
    <tableColumn id="19" xr3:uid="{7118C65F-552E-4EBD-88CF-5EC7581DE77D}" uniqueName="19" name="Incident Type_2" queryTableFieldId="19" dataDxfId="231"/>
    <tableColumn id="20" xr3:uid="{F1F5C26B-6E10-4751-AAFD-966666529B8D}" uniqueName="20" name="Incident Type_3" queryTableFieldId="20" dataDxfId="230"/>
    <tableColumn id="43" xr3:uid="{6A141EBD-1D10-4525-B95E-B532080B3756}" uniqueName="43" name="All_Incident_Types" queryTableFieldId="43" dataDxfId="229"/>
    <tableColumn id="50" xr3:uid="{1C96735D-D672-48B8-94AD-3D968BB90963}" uniqueName="50" name="Block" queryTableFieldId="50"/>
    <tableColumn id="48" xr3:uid="{C9D1D25B-0750-4BC6-A39C-C15EAA9C6744}" uniqueName="48" name="Location" queryTableFieldId="48"/>
    <tableColumn id="21" xr3:uid="{0729DD21-70B4-457E-9C62-E75CA8A5CB9B}" uniqueName="21" name="FullAddress" queryTableFieldId="21" dataDxfId="228"/>
    <tableColumn id="22" xr3:uid="{7A261A09-8449-41F9-A5CC-08543853677C}" uniqueName="22" name="Grid" queryTableFieldId="22" dataDxfId="227"/>
    <tableColumn id="23" xr3:uid="{19CD3576-4085-466B-BC0F-E3E4B704CD8F}" uniqueName="23" name="Zone" queryTableFieldId="23" dataDxfId="226"/>
    <tableColumn id="24" xr3:uid="{4DA28EF4-66CA-44AF-BBB6-3F25D2431161}" uniqueName="24" name="Narrative" queryTableFieldId="24" dataDxfId="225"/>
    <tableColumn id="25" xr3:uid="{66903C48-15F8-44BE-89BC-FAA7A58ACA76}" uniqueName="25" name="Total Value Stolen" queryTableFieldId="25" dataDxfId="224"/>
    <tableColumn id="26" xr3:uid="{BA8A429F-6EB7-4A13-8F1F-DEEA9002032F}" uniqueName="26" name="Total Value Recover" queryTableFieldId="26" dataDxfId="223"/>
    <tableColumn id="52" xr3:uid="{CF152254-762D-4A68-A728-447B8AA93C6A}" uniqueName="52" name="VEHICLE1" queryTableFieldId="128"/>
    <tableColumn id="53" xr3:uid="{74A36D6F-E879-42A9-81C0-9086E8C69843}" uniqueName="53" name="VEHICLE2" queryTableFieldId="129"/>
    <tableColumn id="27" xr3:uid="{BEFFB12B-61AD-410E-96AE-8EFEDF62BDC2}" uniqueName="27" name="Registration 1" queryTableFieldId="27" dataDxfId="222"/>
    <tableColumn id="28" xr3:uid="{3BF4CC59-61CF-412D-B195-D222F48BC620}" uniqueName="28" name="Make1" queryTableFieldId="28" dataDxfId="221"/>
    <tableColumn id="29" xr3:uid="{D0663232-95E0-465F-A845-D1ED71819E1A}" uniqueName="29" name="Model1" queryTableFieldId="29" dataDxfId="220"/>
    <tableColumn id="30" xr3:uid="{9867A684-175D-4527-A2EA-573B270B3300}" uniqueName="30" name="Reg State 1" queryTableFieldId="30" dataDxfId="219"/>
    <tableColumn id="31" xr3:uid="{CFB713C8-CB49-4C23-B129-1C786A457BC4}" uniqueName="31" name="Registration 2" queryTableFieldId="31" dataDxfId="218"/>
    <tableColumn id="32" xr3:uid="{7B164167-7250-4112-ACA8-9341A1D06B81}" uniqueName="32" name="Reg State 2" queryTableFieldId="32" dataDxfId="217"/>
    <tableColumn id="33" xr3:uid="{E4E4680F-4548-4AC5-82E3-13AB03DD755F}" uniqueName="33" name="Make2" queryTableFieldId="33" dataDxfId="216"/>
    <tableColumn id="34" xr3:uid="{4348AA6D-6837-43B1-9AA2-5D9FE225CB91}" uniqueName="34" name="Model2" queryTableFieldId="34" dataDxfId="215"/>
    <tableColumn id="35" xr3:uid="{E7182ED5-9DC8-4221-A567-68A55F2E9184}" uniqueName="35" name="Reviewed By" queryTableFieldId="35" dataDxfId="214"/>
    <tableColumn id="36" xr3:uid="{FA204D14-5308-416F-AC84-516288C11EDF}" uniqueName="36" name="CompleteCalc" queryTableFieldId="36" dataDxfId="213"/>
    <tableColumn id="37" xr3:uid="{85FE09C0-ED68-4BB0-BFD4-7E3E6D990CB8}" uniqueName="37" name="Officer of Record" queryTableFieldId="37" dataDxfId="212"/>
    <tableColumn id="38" xr3:uid="{5C322DD8-4FE6-42C6-B121-E33644E85C7D}" uniqueName="38" name="Squad" queryTableFieldId="38" dataDxfId="211"/>
    <tableColumn id="39" xr3:uid="{354A0D2E-AEC7-46A2-A4A1-5AB1E3511F34}" uniqueName="39" name="Det_Assigned" queryTableFieldId="39" dataDxfId="210"/>
    <tableColumn id="40" xr3:uid="{A0765781-5616-4895-8135-216746D5ADC8}" uniqueName="40" name="Case_Status" queryTableFieldId="40" dataDxfId="209"/>
    <tableColumn id="41" xr3:uid="{68BB62F6-C275-4DE5-B989-1CF7B05F26DB}" uniqueName="41" name="NIBRS Classification" queryTableFieldId="41" dataDxfId="208"/>
    <tableColumn id="42" xr3:uid="{910869BB-6B34-4A91-93CE-E70F925F11A9}" uniqueName="42" name="OCA_Length" queryTableFieldId="42" dataDxfId="207"/>
    <tableColumn id="12" xr3:uid="{47590C78-FEC8-4AB9-8296-61AFAD7B68EB}" uniqueName="12" name="INC_Date_and_Time" queryTableFieldId="12" dataDxfId="206"/>
    <tableColumn id="44" xr3:uid="{F9BE3F52-7795-41AC-8C43-E0CC1B4A02EC}" uniqueName="44" name="Narrative - Copy" queryTableFieldId="44" dataDxfId="205"/>
    <tableColumn id="49" xr3:uid="{ED88B8E1-2AB6-4787-8CE6-9F1B9683B505}" uniqueName="49" name="Text Before Delimiter" queryTableFieldId="49"/>
    <tableColumn id="46" xr3:uid="{3EEDBC55-FC00-4A8E-8754-0720F486C0D8}" uniqueName="46" name="Incident Date" queryTableFieldId="46" dataDxfId="204"/>
    <tableColumn id="13" xr3:uid="{FBC089E1-6486-44A6-8C39-DE12CE1BB323}" uniqueName="13" name="Incident Time" queryTableFieldId="13" dataDxfId="203"/>
    <tableColumn id="14" xr3:uid="{CC63FF01-28D9-49E9-812A-ACF2CD2EECB4}" uniqueName="14" name="Incident Date_Between" queryTableFieldId="14" dataDxfId="202"/>
    <tableColumn id="15" xr3:uid="{1F888E2D-00AA-4316-AFDE-29ACEA1EE28A}" uniqueName="15" name="Incident Time_Between" queryTableFieldId="15" dataDxfId="201"/>
    <tableColumn id="16" xr3:uid="{7ADDFEB4-1CD1-418D-8744-1770AFD2FA87}" uniqueName="16" name="Report Date" queryTableFieldId="16" dataDxfId="200"/>
    <tableColumn id="17" xr3:uid="{F1424A9F-832A-49DB-A595-3CA12F5F1A19}" uniqueName="17" name="Report Time" queryTableFieldId="17" dataDxfId="199"/>
    <tableColumn id="45" xr3:uid="{084382AC-E6B8-467A-8C36-DC0FB9B3DFF9}" uniqueName="45" name="SEASON" queryTableFieldId="132"/>
    <tableColumn id="54" xr3:uid="{9AFE65D4-ED35-422F-BFAC-213441FEFEEE}" uniqueName="54" name="TIMEOFDAY" queryTableFieldId="133"/>
    <tableColumn id="55" xr3:uid="{2A1038EC-894C-434F-9258-B22D9F124B8B}" uniqueName="55" name="CYCLE" queryTableFieldId="134"/>
    <tableColumn id="56" xr3:uid="{6A7722DC-49E1-44C8-A43F-102C6B2E6E9D}" uniqueName="56" name="DUE_DATE" queryTableFieldId="135" dataDxfId="19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30B8751-B27F-43E1-87E8-F0A7AE67A3E3}" name="Table12" displayName="Table12" ref="M2:P9" totalsRowShown="0">
  <autoFilter ref="M2:P9" xr:uid="{230B8751-B27F-43E1-87E8-F0A7AE67A3E3}">
    <filterColumn colId="0">
      <customFilters and="1">
        <customFilter operator="greaterThanOrEqual" val="45692"/>
        <customFilter operator="lessThanOrEqual" val="45698"/>
      </customFilters>
    </filterColumn>
  </autoFilter>
  <tableColumns count="4">
    <tableColumn id="1" xr3:uid="{0908C7E9-E49E-4FE5-AABC-42B0AD055C5F}" name="INC_Date" dataDxfId="195"/>
    <tableColumn id="2" xr3:uid="{1D73C306-65CC-4ED0-AABE-33066D0ED287}" name="Narrative - Copy" dataDxfId="194"/>
    <tableColumn id="3" xr3:uid="{0E0FBD32-9D6D-4069-A077-51C14310262B}" name="VEHICLE1"/>
    <tableColumn id="4" xr3:uid="{75684562-7481-4BB5-A892-32F60EFF5CE4}" name="VEHICLE2"/>
  </tableColumns>
  <tableStyleInfo name="TableStyleLight1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44B933C-4F10-4DDD-81BF-BDF5FE99C8D8}" name="_9" displayName="_9" ref="A1:BD10" tableType="queryTable" totalsRowShown="0" headerRowDxfId="193" dataDxfId="192">
  <autoFilter ref="A1:BD10" xr:uid="{644B933C-4F10-4DDD-81BF-BDF5FE99C8D8}"/>
  <tableColumns count="56">
    <tableColumn id="1" xr3:uid="{40D772D9-F11F-4370-9144-3196D090DFBA}" uniqueName="1" name="Case Number" queryTableFieldId="1" dataDxfId="191"/>
    <tableColumn id="2" xr3:uid="{D93CC9CD-722F-47E7-ABE3-5EE8A26DC3A6}" uniqueName="2" name="INC_Date" queryTableFieldId="2" dataDxfId="190"/>
    <tableColumn id="3" xr3:uid="{C3E6266F-4AA7-46FB-8639-096232D51B2F}" uniqueName="3" name="Year" queryTableFieldId="3" dataDxfId="189"/>
    <tableColumn id="4" xr3:uid="{A184B15F-47AF-485B-A948-ACF0B4A2D86E}" uniqueName="4" name="Month Name" queryTableFieldId="4" dataDxfId="188"/>
    <tableColumn id="5" xr3:uid="{CC980D11-7605-480B-A510-331AE49C430B}" uniqueName="5" name="Quarter" queryTableFieldId="5" dataDxfId="187"/>
    <tableColumn id="6" xr3:uid="{1C1B67DE-8F8D-43E2-957E-919B2C966D06}" uniqueName="6" name="Week of Year" queryTableFieldId="6" dataDxfId="186"/>
    <tableColumn id="7" xr3:uid="{D741FC65-E359-4796-A7BB-B1BC293B92E9}" uniqueName="7" name="Week of Month" queryTableFieldId="7" dataDxfId="185"/>
    <tableColumn id="8" xr3:uid="{4154B9BD-03D9-4F7F-B20B-ABFE63569BB4}" uniqueName="8" name="Day Name" queryTableFieldId="8" dataDxfId="184"/>
    <tableColumn id="9" xr3:uid="{B9A9267E-E4F7-4FB5-B90F-3EAFE65B6334}" uniqueName="9" name="Day of Year" queryTableFieldId="9" dataDxfId="183"/>
    <tableColumn id="10" xr3:uid="{4B6AB785-54F1-41D3-B93B-BF7BC64DF528}" uniqueName="10" name="Day" queryTableFieldId="10" dataDxfId="182"/>
    <tableColumn id="47" xr3:uid="{6B5E5D43-2797-4072-A2F3-EDE7F7831906}" uniqueName="47" name="Start of Hour" queryTableFieldId="47" dataDxfId="181"/>
    <tableColumn id="11" xr3:uid="{E47CA535-E806-4031-B82C-B1CCCA40146D}" uniqueName="11" name="INC_Time" queryTableFieldId="11" dataDxfId="180"/>
    <tableColumn id="51" xr3:uid="{3C5EE1DF-4B51-47F1-9EEF-317BDB98437C}" uniqueName="51" name="Target_Incidents" queryTableFieldId="84"/>
    <tableColumn id="18" xr3:uid="{1796B615-2CBD-48E1-AC41-85E5865F6B59}" uniqueName="18" name="Incident Type_1" queryTableFieldId="18" dataDxfId="179"/>
    <tableColumn id="19" xr3:uid="{A4DC07D8-A2A2-41AC-BC0A-60740C19A3B4}" uniqueName="19" name="Incident Type_2" queryTableFieldId="19" dataDxfId="178"/>
    <tableColumn id="20" xr3:uid="{F7067502-A938-4888-9824-5A0BECD0A20C}" uniqueName="20" name="Incident Type_3" queryTableFieldId="20" dataDxfId="177"/>
    <tableColumn id="43" xr3:uid="{45582981-0EDF-4ADB-AA95-7A6652D2E8A1}" uniqueName="43" name="All_Incident_Types" queryTableFieldId="43" dataDxfId="176"/>
    <tableColumn id="50" xr3:uid="{73CE08F4-24F5-4698-B115-C2861F080B02}" uniqueName="50" name="Block" queryTableFieldId="50"/>
    <tableColumn id="48" xr3:uid="{89935135-D785-4D59-8CDF-A30F1F5177FE}" uniqueName="48" name="Location" queryTableFieldId="48"/>
    <tableColumn id="21" xr3:uid="{E346DEFF-69EB-4B99-970C-AB4C5F39189D}" uniqueName="21" name="FullAddress" queryTableFieldId="21" dataDxfId="175"/>
    <tableColumn id="22" xr3:uid="{683D94EF-7122-4C12-B133-AE7BD38383CD}" uniqueName="22" name="Grid" queryTableFieldId="22" dataDxfId="174"/>
    <tableColumn id="23" xr3:uid="{2AD5027D-0294-4D38-956C-1656E9F4E434}" uniqueName="23" name="Zone" queryTableFieldId="23" dataDxfId="173"/>
    <tableColumn id="24" xr3:uid="{F90EEA8E-0B95-4D49-A281-4AD128F8E581}" uniqueName="24" name="Narrative" queryTableFieldId="24" dataDxfId="172"/>
    <tableColumn id="25" xr3:uid="{A030B914-2F38-4C89-B801-22BDF7E6185D}" uniqueName="25" name="Total Value Stolen" queryTableFieldId="25" dataDxfId="171"/>
    <tableColumn id="26" xr3:uid="{B6DD60C9-FB41-4CCC-98E3-E4F6EE21FF39}" uniqueName="26" name="Total Value Recover" queryTableFieldId="26" dataDxfId="170"/>
    <tableColumn id="52" xr3:uid="{B852F52A-E018-4936-A839-A15718B58F8E}" uniqueName="52" name="VEHICLE1" queryTableFieldId="128"/>
    <tableColumn id="53" xr3:uid="{7A857AE1-0F5F-4637-9B66-4127390EAD42}" uniqueName="53" name="VEHICLE2" queryTableFieldId="129"/>
    <tableColumn id="27" xr3:uid="{8070CA0C-5361-4A17-98D1-3CAB56EFF8DA}" uniqueName="27" name="Registration 1" queryTableFieldId="27" dataDxfId="169"/>
    <tableColumn id="28" xr3:uid="{0884EBFF-BB0B-4CCB-AE0E-DF923F52075F}" uniqueName="28" name="Make1" queryTableFieldId="28" dataDxfId="168"/>
    <tableColumn id="29" xr3:uid="{302DD900-CBE6-4A31-A2C4-237223D10BCB}" uniqueName="29" name="Model1" queryTableFieldId="29" dataDxfId="167"/>
    <tableColumn id="30" xr3:uid="{C76161EF-07CB-473D-B928-C32A4B4C428C}" uniqueName="30" name="Reg State 1" queryTableFieldId="30" dataDxfId="166"/>
    <tableColumn id="31" xr3:uid="{CC1481D4-D16F-43F1-A0DF-D98C92CBE9D1}" uniqueName="31" name="Registration 2" queryTableFieldId="31" dataDxfId="165"/>
    <tableColumn id="32" xr3:uid="{40948379-4DA3-4201-BF02-6BA4605E1842}" uniqueName="32" name="Reg State 2" queryTableFieldId="32" dataDxfId="164"/>
    <tableColumn id="33" xr3:uid="{4684EC8C-DA50-4351-A888-E295C0BF5DD5}" uniqueName="33" name="Make2" queryTableFieldId="33" dataDxfId="163"/>
    <tableColumn id="34" xr3:uid="{789D3540-D53E-46F6-B65D-58FC89538D11}" uniqueName="34" name="Model2" queryTableFieldId="34" dataDxfId="162"/>
    <tableColumn id="35" xr3:uid="{5AF64D06-9335-4AC7-A07B-C48BF05130C5}" uniqueName="35" name="Reviewed By" queryTableFieldId="35" dataDxfId="161"/>
    <tableColumn id="36" xr3:uid="{AD74EB6A-6E19-439B-A09E-7CC794AF480D}" uniqueName="36" name="CompleteCalc" queryTableFieldId="36" dataDxfId="160"/>
    <tableColumn id="37" xr3:uid="{5782473D-21FA-4F1E-B372-496DE617E603}" uniqueName="37" name="Officer of Record" queryTableFieldId="37" dataDxfId="159"/>
    <tableColumn id="38" xr3:uid="{28C5F71B-E09F-45D9-B14F-02EFD863DE7D}" uniqueName="38" name="Squad" queryTableFieldId="38" dataDxfId="158"/>
    <tableColumn id="39" xr3:uid="{7CBA990E-FB37-4CB5-8E31-09EA63B6715E}" uniqueName="39" name="Det_Assigned" queryTableFieldId="39" dataDxfId="157"/>
    <tableColumn id="40" xr3:uid="{64C81F77-50F9-4048-9A0A-E27630CC8DF3}" uniqueName="40" name="Case_Status" queryTableFieldId="40" dataDxfId="156"/>
    <tableColumn id="41" xr3:uid="{71BE1652-254C-4C86-BAFE-CD1EC99FB757}" uniqueName="41" name="NIBRS Classification" queryTableFieldId="41" dataDxfId="155"/>
    <tableColumn id="42" xr3:uid="{1062A8C5-9D22-4E02-8157-BF33F33C476E}" uniqueName="42" name="OCA_Length" queryTableFieldId="42" dataDxfId="154"/>
    <tableColumn id="12" xr3:uid="{684F764C-22F7-4A9E-9630-7E766E21B594}" uniqueName="12" name="INC_Date_and_Time" queryTableFieldId="12" dataDxfId="153"/>
    <tableColumn id="44" xr3:uid="{E705F9D0-0970-4C30-B55F-6FC52A7D66EA}" uniqueName="44" name="Narrative - Copy" queryTableFieldId="44" dataDxfId="152"/>
    <tableColumn id="49" xr3:uid="{39D3FA1D-BAC7-41B4-AC05-ABDC9D73B505}" uniqueName="49" name="Text Before Delimiter" queryTableFieldId="49"/>
    <tableColumn id="46" xr3:uid="{DA4DFE90-0261-4992-8537-D6AC4EDF6E8A}" uniqueName="46" name="Incident Date" queryTableFieldId="46" dataDxfId="151"/>
    <tableColumn id="13" xr3:uid="{0EA98141-2A35-42D9-8251-A0BADBC62787}" uniqueName="13" name="Incident Time" queryTableFieldId="13" dataDxfId="150"/>
    <tableColumn id="14" xr3:uid="{1C5BCA56-31B2-4F68-B446-B03C860682FC}" uniqueName="14" name="Incident Date_Between" queryTableFieldId="14" dataDxfId="149"/>
    <tableColumn id="15" xr3:uid="{2AB2F071-955A-48A1-85F3-942D148B1C69}" uniqueName="15" name="Incident Time_Between" queryTableFieldId="15" dataDxfId="148"/>
    <tableColumn id="16" xr3:uid="{2ACDED59-30D6-428E-822B-ED7EF38B0410}" uniqueName="16" name="Report Date" queryTableFieldId="16" dataDxfId="147"/>
    <tableColumn id="17" xr3:uid="{54A05F65-8301-4438-823E-25CC7A48B54E}" uniqueName="17" name="Report Time" queryTableFieldId="17" dataDxfId="146"/>
    <tableColumn id="45" xr3:uid="{CF9433EB-9739-4924-B915-2907895949E1}" uniqueName="45" name="SEASON" queryTableFieldId="132"/>
    <tableColumn id="54" xr3:uid="{F5ECF32F-399A-4F79-B889-492121E318A6}" uniqueName="54" name="TIMEOFDAY" queryTableFieldId="133"/>
    <tableColumn id="55" xr3:uid="{2C36FEC4-8F09-4AE9-81D6-AB68DAE7E555}" uniqueName="55" name="CYCLE" queryTableFieldId="134"/>
    <tableColumn id="56" xr3:uid="{BC336C56-D762-4CA9-9338-B7C588787F27}" uniqueName="56" name="DUE_DATE" queryTableFieldId="135" dataDxfId="14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B4DDE33-72D6-4C18-826C-62C6DAA4564C}" name="SCRPA__2" displayName="SCRPA__2" ref="A1:BD30" tableType="queryTable" totalsRowShown="0">
  <autoFilter ref="A1:BD30" xr:uid="{8B4DDE33-72D6-4C18-826C-62C6DAA4564C}"/>
  <tableColumns count="56">
    <tableColumn id="1" xr3:uid="{FE02F7B4-BD03-476B-B2F0-975F1429B9C9}" uniqueName="1" name="Case Number" queryTableFieldId="1" dataDxfId="90"/>
    <tableColumn id="34" xr3:uid="{7721C44C-9B73-4427-823D-6E9D572C34DD}" uniqueName="34" name="INC_Date" queryTableFieldId="34" dataDxfId="89"/>
    <tableColumn id="35" xr3:uid="{66685373-9CC1-4C32-84A9-680611017460}" uniqueName="35" name="Year" queryTableFieldId="35"/>
    <tableColumn id="36" xr3:uid="{6C5D59C4-AB69-42AC-A14D-0BE4F87ED10A}" uniqueName="36" name="Month Name" queryTableFieldId="36"/>
    <tableColumn id="37" xr3:uid="{6D8A1E8F-8075-4903-A090-0FA0E71C562A}" uniqueName="37" name="Quarter" queryTableFieldId="37" dataDxfId="88"/>
    <tableColumn id="38" xr3:uid="{1878CBD9-A5DA-479A-B1EE-87885E846145}" uniqueName="38" name="Week of Year" queryTableFieldId="38" dataDxfId="87"/>
    <tableColumn id="39" xr3:uid="{10848A74-002E-4CB4-9805-7253455B9EB1}" uniqueName="39" name="Week of Month" queryTableFieldId="39" dataDxfId="86"/>
    <tableColumn id="40" xr3:uid="{EFB533F0-FF3D-4621-9B26-38F997BECFB5}" uniqueName="40" name="Day Name" queryTableFieldId="40"/>
    <tableColumn id="41" xr3:uid="{0472AA2C-36D4-46AD-B1FD-A0AFF88D9034}" uniqueName="41" name="Day of Year" queryTableFieldId="41" dataDxfId="85"/>
    <tableColumn id="42" xr3:uid="{43CEF700-A671-4166-9CF1-476AA0D078A6}" uniqueName="42" name="Day" queryTableFieldId="42" dataDxfId="84"/>
    <tableColumn id="44" xr3:uid="{F3CCA6A2-001F-4047-9246-FBF59F74FC2C}" uniqueName="44" name="Start of Hour" queryTableFieldId="44" dataDxfId="83"/>
    <tableColumn id="43" xr3:uid="{D0D8AF11-76C1-48A2-AC26-0B1BBE5D25BF}" uniqueName="43" name="INC_Time" queryTableFieldId="43" dataDxfId="82"/>
    <tableColumn id="50" xr3:uid="{CBD95CD7-BC09-4C44-A114-79584E5CB49F}" uniqueName="50" name="Target_Incidents" queryTableFieldId="50"/>
    <tableColumn id="8" xr3:uid="{960B6B0A-32BB-44CC-9407-A909C52F497C}" uniqueName="8" name="Incident Type_1" queryTableFieldId="8" dataDxfId="81"/>
    <tableColumn id="9" xr3:uid="{2B1872DD-44FF-4DF5-A027-E4566ED8866F}" uniqueName="9" name="Incident Type_2" queryTableFieldId="9" dataDxfId="80"/>
    <tableColumn id="10" xr3:uid="{E8FCE151-0F4F-49AA-8BF5-C2C8647EA3E9}" uniqueName="10" name="Incident Type_3" queryTableFieldId="10" dataDxfId="79"/>
    <tableColumn id="33" xr3:uid="{A1F9CA3F-04A0-4939-A6B3-11A205991C01}" uniqueName="33" name="All_Incident_Types" queryTableFieldId="33"/>
    <tableColumn id="49" xr3:uid="{DFBAFAC0-AF94-45E5-BD54-5849BA9148F9}" uniqueName="49" name="Block" queryTableFieldId="49"/>
    <tableColumn id="47" xr3:uid="{0EE03F41-55C9-44A4-A280-58320F34146D}" uniqueName="47" name="Location" queryTableFieldId="47"/>
    <tableColumn id="11" xr3:uid="{0C8C83FE-64E6-40E9-87BB-DECDCA9D4FFE}" uniqueName="11" name="FullAddress" queryTableFieldId="11" dataDxfId="78"/>
    <tableColumn id="12" xr3:uid="{80085573-D5FC-4219-B083-04A7516B6714}" uniqueName="12" name="Grid" queryTableFieldId="12" dataDxfId="77"/>
    <tableColumn id="13" xr3:uid="{1D321DE9-E1B2-4B98-B990-084112562236}" uniqueName="13" name="Zone" queryTableFieldId="13"/>
    <tableColumn id="14" xr3:uid="{E82EF6AC-5074-4AE4-B631-79B2E6F5A1F7}" uniqueName="14" name="Narrative" queryTableFieldId="14" dataDxfId="76"/>
    <tableColumn id="15" xr3:uid="{667E302F-53B4-4D69-B245-A72A8BCA0885}" uniqueName="15" name="Total Value Stolen" queryTableFieldId="15"/>
    <tableColumn id="16" xr3:uid="{A95D7993-C240-4985-B849-494665018713}" uniqueName="16" name="Total Value Recover" queryTableFieldId="16"/>
    <tableColumn id="51" xr3:uid="{3FCAB9B2-647F-4152-B17C-09FB6A42A1F0}" uniqueName="51" name="VEHICLE1" queryTableFieldId="94"/>
    <tableColumn id="52" xr3:uid="{F5D8F35F-18F4-44E9-B900-B05FA410BA6A}" uniqueName="52" name="VEHICLE2" queryTableFieldId="95"/>
    <tableColumn id="17" xr3:uid="{F1779628-CE38-44DA-9A1A-9A1D319C5C36}" uniqueName="17" name="Registration 1" queryTableFieldId="17" dataDxfId="75"/>
    <tableColumn id="18" xr3:uid="{C17C4A70-E765-4F50-98E6-64E392AEB23C}" uniqueName="18" name="Make1" queryTableFieldId="18" dataDxfId="74"/>
    <tableColumn id="19" xr3:uid="{F9177945-E0BF-4533-9ABE-2088637E4CA3}" uniqueName="19" name="Model1" queryTableFieldId="19" dataDxfId="73"/>
    <tableColumn id="20" xr3:uid="{0864AD97-8759-4908-9717-F95AA91D2B8C}" uniqueName="20" name="Reg State 1" queryTableFieldId="20" dataDxfId="72"/>
    <tableColumn id="21" xr3:uid="{A8EB6606-DC5F-4997-B499-E8019118C29A}" uniqueName="21" name="Registration 2" queryTableFieldId="21"/>
    <tableColumn id="22" xr3:uid="{4DAEFEE8-2B79-45E6-A74A-05DA14F3EC84}" uniqueName="22" name="Reg State 2" queryTableFieldId="22"/>
    <tableColumn id="23" xr3:uid="{04E36618-8997-4F64-8B80-FC8F885085C1}" uniqueName="23" name="Make2" queryTableFieldId="23"/>
    <tableColumn id="24" xr3:uid="{FEDC1F8A-7705-4A2E-8C60-E1B469B5928A}" uniqueName="24" name="Model2" queryTableFieldId="24"/>
    <tableColumn id="25" xr3:uid="{4D8BC695-AACD-4DCB-BF14-FBE3BECC4D85}" uniqueName="25" name="Reviewed By" queryTableFieldId="25" dataDxfId="71"/>
    <tableColumn id="26" xr3:uid="{FAA66382-1030-457D-814C-1F268F5C3B6D}" uniqueName="26" name="CompleteCalc" queryTableFieldId="26" dataDxfId="70"/>
    <tableColumn id="27" xr3:uid="{2FB3DCED-291E-44D1-8091-597A522B6D5F}" uniqueName="27" name="Officer of Record" queryTableFieldId="27" dataDxfId="69"/>
    <tableColumn id="28" xr3:uid="{F5FD0314-6FAA-4461-9499-4A01BF1E5153}" uniqueName="28" name="Squad" queryTableFieldId="28" dataDxfId="68"/>
    <tableColumn id="29" xr3:uid="{B490FCD1-E7D4-431B-BEFE-74F8C5059676}" uniqueName="29" name="Det_Assigned" queryTableFieldId="29" dataDxfId="67"/>
    <tableColumn id="30" xr3:uid="{D930A026-4C22-4B2C-818F-8BA440540018}" uniqueName="30" name="Case_Status" queryTableFieldId="30" dataDxfId="66"/>
    <tableColumn id="31" xr3:uid="{A057B066-8C45-4630-BB7B-EE3E603F697A}" uniqueName="31" name="NIBRS Classification" queryTableFieldId="31" dataDxfId="65"/>
    <tableColumn id="32" xr3:uid="{00D1BDBC-F2E9-4227-A21B-0AADA444DCDB}" uniqueName="32" name="OCA_Length" queryTableFieldId="32"/>
    <tableColumn id="45" xr3:uid="{E91FDAFC-1B78-48CA-A677-35DFEF8AC50E}" uniqueName="45" name="INC_Date_and_Time" queryTableFieldId="45"/>
    <tableColumn id="46" xr3:uid="{F54ADAC3-E69C-4D9F-9396-2507449F6775}" uniqueName="46" name="Narrative - Copy" queryTableFieldId="46"/>
    <tableColumn id="48" xr3:uid="{F93AC39A-EAAE-4148-B125-68DAF3C90BEE}" uniqueName="48" name="Text Before Delimiter" queryTableFieldId="48"/>
    <tableColumn id="2" xr3:uid="{FCAB3117-CC70-4710-9D9F-02FDDB6A8E57}" uniqueName="2" name="Incident Date" queryTableFieldId="2" dataDxfId="64"/>
    <tableColumn id="3" xr3:uid="{B1618913-104D-4BB6-BBB7-1A2FB4886A27}" uniqueName="3" name="Incident Time" queryTableFieldId="3" dataDxfId="63"/>
    <tableColumn id="4" xr3:uid="{5B48F3FB-7B53-419B-9AEC-8D3AD556420F}" uniqueName="4" name="Incident Date_Between" queryTableFieldId="4" dataDxfId="62"/>
    <tableColumn id="5" xr3:uid="{B5E2E158-5713-4200-9D3B-CBF672AD3B98}" uniqueName="5" name="Incident Time_Between" queryTableFieldId="5" dataDxfId="61"/>
    <tableColumn id="6" xr3:uid="{51CD729B-25EF-4F77-850A-A76708953515}" uniqueName="6" name="Report Date" queryTableFieldId="6" dataDxfId="60"/>
    <tableColumn id="7" xr3:uid="{2786F1A3-03DC-4598-87BC-CCD39FCD26B0}" uniqueName="7" name="Report Time" queryTableFieldId="7" dataDxfId="59"/>
    <tableColumn id="53" xr3:uid="{86F2F5F0-05A0-4BF0-9628-7ECAAE91A119}" uniqueName="53" name="SEASON" queryTableFieldId="98"/>
    <tableColumn id="54" xr3:uid="{9C14B424-D642-4B23-8BE2-AA15C5B81679}" uniqueName="54" name="TIMEOFDAY" queryTableFieldId="99"/>
    <tableColumn id="55" xr3:uid="{C8CCE73E-9206-4496-B94A-C156A8F64C48}" uniqueName="55" name="CYCLE" queryTableFieldId="100"/>
    <tableColumn id="56" xr3:uid="{21D1C3BA-F258-4CC2-ADDB-AE091CA22D24}" uniqueName="56" name="DUE_DATE" queryTableFieldId="101" dataDxfId="5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F0B03F-48D5-4D27-A7F0-17B716A34F03}" name="SCRPA" displayName="SCRPA" ref="A1:AU24" totalsRowShown="0">
  <autoFilter ref="A1:AU24" xr:uid="{CEF0B03F-48D5-4D27-A7F0-17B716A34F03}"/>
  <tableColumns count="47">
    <tableColumn id="2" xr3:uid="{802443DF-C710-4411-90CB-8EE655333ED7}" name="Case Number" dataDxfId="57"/>
    <tableColumn id="35" xr3:uid="{5D5A277B-2F74-45F6-97B0-1840F9298155}" name="INC_Date" dataDxfId="56"/>
    <tableColumn id="36" xr3:uid="{3B03E445-235E-48DC-8116-A8A5479A4267}" name="Year"/>
    <tableColumn id="37" xr3:uid="{97A41020-C0D3-47A0-9175-A320D4FB9EC9}" name="Month Name"/>
    <tableColumn id="38" xr3:uid="{8EA3501D-6957-4B9C-B976-B2C498FF5AC9}" name="Quarter"/>
    <tableColumn id="39" xr3:uid="{B576D987-EE9F-4FDC-A4FC-AFBF6346FA15}" name="Week of Year"/>
    <tableColumn id="40" xr3:uid="{6B63500F-7C00-476A-B9E3-96D18A478E3A}" name="Week of Month"/>
    <tableColumn id="41" xr3:uid="{FCF72C9C-A423-4FA3-BA95-B8F6347288F9}" name="Day Name"/>
    <tableColumn id="42" xr3:uid="{C70E5908-E6C4-4278-B38C-E6F77F5718ED}" name="Day of Year"/>
    <tableColumn id="43" xr3:uid="{34DC54C3-9EE9-4D89-86F2-2478FC118281}" name="Day"/>
    <tableColumn id="44" xr3:uid="{EDAB97B0-3CC4-4ACF-B060-0ADE815044A9}" name="INC_Time"/>
    <tableColumn id="46" xr3:uid="{932C170F-C2B8-4236-97BF-7CB5CA19E8AC}" name="INC_Date_and_Time" dataDxfId="55"/>
    <tableColumn id="4" xr3:uid="{BAA3D92D-A8EC-4C7B-8595-DE0699851BD0}" name="Incident Time" dataDxfId="54"/>
    <tableColumn id="5" xr3:uid="{80ACDD32-9ADB-4384-ABA9-99611734FD34}" name="Incident Date_Between" dataDxfId="53"/>
    <tableColumn id="6" xr3:uid="{E37DBE70-C29C-45CB-A4DB-F2BA7573C8E7}" name="Incident Time_Between" dataDxfId="52"/>
    <tableColumn id="7" xr3:uid="{ACAC08D4-D258-4B9D-8832-39354DD1F821}" name="Report Date" dataDxfId="51"/>
    <tableColumn id="8" xr3:uid="{5AF66982-ED94-4FBE-9DBB-4C426A708F98}" name="Report Time" dataDxfId="50"/>
    <tableColumn id="9" xr3:uid="{16CC9B74-B509-42A2-B8C9-F8D7A3D4D465}" name="Incident Type_1" dataDxfId="49"/>
    <tableColumn id="10" xr3:uid="{7274290A-0BEA-4522-A4CB-C57D502332DE}" name="Incident Type_2" dataDxfId="48"/>
    <tableColumn id="11" xr3:uid="{617F338D-2222-456F-9E4B-FA33D551835D}" name="Incident Type_3" dataDxfId="47"/>
    <tableColumn id="12" xr3:uid="{B5710109-ECBF-4C36-9D8E-78797BC6EBC7}" name="FullAddress" dataDxfId="46"/>
    <tableColumn id="13" xr3:uid="{18360D3C-6E35-49F7-9C99-7CF9D1EBBCDA}" name="Grid" dataDxfId="45"/>
    <tableColumn id="14" xr3:uid="{D3098B2F-9336-4DEB-930E-5616556B6A54}" name="Zone"/>
    <tableColumn id="15" xr3:uid="{E11F6515-FF9D-44C2-A5B9-3E326AE7DDC6}" name="Narrative" dataDxfId="44"/>
    <tableColumn id="16" xr3:uid="{76247F34-BA7B-49A3-BA16-0809DF4C7C5E}" name="Total Value Stolen"/>
    <tableColumn id="17" xr3:uid="{DF91EDD7-1252-49AC-A380-23CD8E838D1E}" name="Total Value Recover"/>
    <tableColumn id="18" xr3:uid="{2A92472D-4661-4F7A-AFC0-8F54E4840157}" name="Registration 1" dataDxfId="43"/>
    <tableColumn id="19" xr3:uid="{FBE167DA-07F8-4EE9-89AB-01999756018A}" name="Make1" dataDxfId="42"/>
    <tableColumn id="20" xr3:uid="{5CA088C0-2E17-4F47-BFDB-99E2E4574449}" name="Model1" dataDxfId="41"/>
    <tableColumn id="21" xr3:uid="{A1FE1C5C-557C-40C8-BEC4-F4717AF491E9}" name="Reg State 1" dataDxfId="40"/>
    <tableColumn id="22" xr3:uid="{01036057-9398-4566-AEB3-10732B2EC0DA}" name="Registration 2"/>
    <tableColumn id="23" xr3:uid="{2359EFEC-1282-49AE-9F3A-3DE511CF839D}" name="Reg State 2"/>
    <tableColumn id="24" xr3:uid="{28EC7FBC-8902-4FC8-8336-D17171ACBEC4}" name="Make2"/>
    <tableColumn id="25" xr3:uid="{DF3213DC-C251-4C43-A928-297F4D3B7BA6}" name="Model2"/>
    <tableColumn id="26" xr3:uid="{BEA3B6D8-2D36-4DD5-8530-A51AF5D1F466}" name="Reviewed By" dataDxfId="39"/>
    <tableColumn id="27" xr3:uid="{0F6FD2BC-BA96-4399-B9F0-7C0006699027}" name="CompleteCalc" dataDxfId="38"/>
    <tableColumn id="28" xr3:uid="{2DFCAA8D-FC3B-48DA-959B-9807E0D9C7B8}" name="Officer of Record" dataDxfId="37"/>
    <tableColumn id="29" xr3:uid="{861298EE-6F3C-4D4C-9202-EA69060D1313}" name="Squad" dataDxfId="36"/>
    <tableColumn id="30" xr3:uid="{AD14A287-F14D-48DF-8AAA-12F7C8A9E6DE}" name="Det_Assigned" dataDxfId="35"/>
    <tableColumn id="31" xr3:uid="{B1B737AD-E49D-496A-9830-081C0EE00197}" name="Case_Status" dataDxfId="34"/>
    <tableColumn id="32" xr3:uid="{43C52B5F-25CA-420F-935A-7AF0A8713300}" name="NIBRS Classification" dataDxfId="33"/>
    <tableColumn id="33" xr3:uid="{749A6F86-99F1-4AE6-8C66-E757D5040C7D}" name="OCA_Length"/>
    <tableColumn id="34" xr3:uid="{EFB243A0-F232-420C-991F-D8E1D25BE1DE}" name="All_Incident_Types"/>
    <tableColumn id="47" xr3:uid="{9AF17BCD-8DAD-4838-B5AF-CDCD774DA451}" name="Narrative - Copy"/>
    <tableColumn id="48" xr3:uid="{FF99093A-4878-416C-9B06-CFDFD48663B0}" name="MV_Info"/>
    <tableColumn id="3" xr3:uid="{3D4A36FC-0E9D-4392-B293-6AE747024188}" name="Incident Date" dataDxfId="32"/>
    <tableColumn id="45" xr3:uid="{B0709B55-9581-458D-9250-885740C7BEB9}" name="Start of Hour" dataDxfId="3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4CBC03B-00BB-431E-A2E7-A0EC9AA749B3}" name="Week_Cycle" displayName="Week_Cycle" ref="A1:C55" tableType="queryTable" totalsRowShown="0">
  <autoFilter ref="A1:C55" xr:uid="{44CBC03B-00BB-431E-A2E7-A0EC9AA749B3}"/>
  <tableColumns count="3">
    <tableColumn id="1" xr3:uid="{DC06068A-425F-4CDF-86D6-1C0209923AAA}" uniqueName="1" name="CompStat_x000a_ Week" queryTableFieldId="1" dataDxfId="30"/>
    <tableColumn id="2" xr3:uid="{33732349-7D20-4E21-B3E2-6B2B20A3BE18}" uniqueName="2" name="Week Start" queryTableFieldId="2" dataDxfId="29"/>
    <tableColumn id="3" xr3:uid="{F77605B6-D341-4121-B082-E55C3EA038BB}" uniqueName="3" name="Week End" queryTableFieldId="3" dataDxfId="28"/>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AC01159-38EF-4C83-AB34-2ABA952328CD}" name="_28_cycle" displayName="_28_cycle" ref="A1:C15" tableType="queryTable" totalsRowShown="0">
  <autoFilter ref="A1:C15" xr:uid="{BAC01159-38EF-4C83-AB34-2ABA952328CD}"/>
  <tableColumns count="3">
    <tableColumn id="1" xr3:uid="{ACA23657-6B2B-4225-9CB5-9CF9231545B6}" uniqueName="1" name="CompStat 28-Day" queryTableFieldId="1" dataDxfId="27"/>
    <tableColumn id="2" xr3:uid="{859D744C-2904-453D-AC40-E13C3B89747F}" uniqueName="2" name="Week Start" queryTableFieldId="2" dataDxfId="26"/>
    <tableColumn id="3" xr3:uid="{280E664C-E407-438C-A101-5912E4ED4806}" uniqueName="3" name="Week End" queryTableFieldId="3" dataDxfId="2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5" Type="http://schemas.openxmlformats.org/officeDocument/2006/relationships/drawing" Target="../drawings/drawing3.xml"/><Relationship Id="rId4"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5" Type="http://schemas.openxmlformats.org/officeDocument/2006/relationships/drawing" Target="../drawings/drawing4.xml"/><Relationship Id="rId4"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6.xml"/><Relationship Id="rId2" Type="http://schemas.openxmlformats.org/officeDocument/2006/relationships/pivotTable" Target="../pivotTables/pivotTable15.xml"/><Relationship Id="rId1" Type="http://schemas.openxmlformats.org/officeDocument/2006/relationships/pivotTable" Target="../pivotTables/pivotTable14.xml"/><Relationship Id="rId6" Type="http://schemas.openxmlformats.org/officeDocument/2006/relationships/table" Target="../tables/table8.xml"/><Relationship Id="rId5" Type="http://schemas.openxmlformats.org/officeDocument/2006/relationships/drawing" Target="../drawings/drawing6.xml"/><Relationship Id="rId4"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openxmlformats.org/officeDocument/2006/relationships/drawing" Target="../drawings/drawing7.xml"/><Relationship Id="rId4"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6" Type="http://schemas.openxmlformats.org/officeDocument/2006/relationships/table" Target="../tables/table11.xml"/><Relationship Id="rId5" Type="http://schemas.openxmlformats.org/officeDocument/2006/relationships/drawing" Target="../drawings/drawing8.xml"/><Relationship Id="rId4"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25.xml"/><Relationship Id="rId2" Type="http://schemas.openxmlformats.org/officeDocument/2006/relationships/pivotTable" Target="../pivotTables/pivotTable24.xml"/><Relationship Id="rId1" Type="http://schemas.openxmlformats.org/officeDocument/2006/relationships/pivotTable" Target="../pivotTables/pivotTable23.xml"/><Relationship Id="rId5" Type="http://schemas.openxmlformats.org/officeDocument/2006/relationships/drawing" Target="../drawings/drawing9.xml"/><Relationship Id="rId4"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5" Type="http://schemas.openxmlformats.org/officeDocument/2006/relationships/drawing" Target="../drawings/drawing10.xml"/><Relationship Id="rId4"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0F20D-9D19-4769-A511-774C21B00A49}">
  <sheetPr>
    <tabColor theme="5" tint="0.39997558519241921"/>
  </sheetPr>
  <dimension ref="A1:H17"/>
  <sheetViews>
    <sheetView topLeftCell="A52" workbookViewId="0">
      <selection activeCell="M46" sqref="M46"/>
    </sheetView>
  </sheetViews>
  <sheetFormatPr defaultColWidth="9.109375" defaultRowHeight="15.6" x14ac:dyDescent="0.3"/>
  <cols>
    <col min="1" max="1" width="13.6640625" style="70" bestFit="1" customWidth="1"/>
    <col min="2" max="2" width="22.33203125" style="70" bestFit="1" customWidth="1"/>
    <col min="3" max="3" width="9.109375" style="70"/>
    <col min="4" max="4" width="13.6640625" style="70" bestFit="1" customWidth="1"/>
    <col min="5" max="5" width="22.33203125" style="70" bestFit="1" customWidth="1"/>
    <col min="6" max="6" width="9.109375" style="70"/>
    <col min="7" max="7" width="13.6640625" style="70" bestFit="1" customWidth="1"/>
    <col min="8" max="8" width="22.33203125" style="70" bestFit="1" customWidth="1"/>
    <col min="9" max="16384" width="9.109375" style="70"/>
  </cols>
  <sheetData>
    <row r="1" spans="1:8" ht="18" x14ac:dyDescent="0.35">
      <c r="A1" s="75"/>
      <c r="B1" s="75"/>
    </row>
    <row r="2" spans="1:8" x14ac:dyDescent="0.3">
      <c r="A2" s="70" t="s">
        <v>33</v>
      </c>
      <c r="B2" s="70" t="s">
        <v>254</v>
      </c>
      <c r="D2" s="69" t="s">
        <v>33</v>
      </c>
      <c r="E2" s="70" t="s">
        <v>260</v>
      </c>
      <c r="G2" s="69" t="s">
        <v>33</v>
      </c>
      <c r="H2" s="73">
        <v>45705</v>
      </c>
    </row>
    <row r="3" spans="1:8" x14ac:dyDescent="0.3">
      <c r="A3" s="70" t="s">
        <v>459</v>
      </c>
      <c r="B3" s="70" t="s">
        <v>254</v>
      </c>
      <c r="D3" s="69" t="s">
        <v>459</v>
      </c>
      <c r="E3" s="70" t="s">
        <v>254</v>
      </c>
      <c r="G3" s="69" t="s">
        <v>459</v>
      </c>
      <c r="H3" s="70" t="s">
        <v>254</v>
      </c>
    </row>
    <row r="4" spans="1:8" x14ac:dyDescent="0.3">
      <c r="A4"/>
      <c r="B4"/>
    </row>
    <row r="5" spans="1:8" x14ac:dyDescent="0.3">
      <c r="A5" s="70" t="s">
        <v>255</v>
      </c>
      <c r="B5" s="70" t="s">
        <v>253</v>
      </c>
      <c r="D5" s="69" t="s">
        <v>255</v>
      </c>
      <c r="E5" s="70" t="s">
        <v>253</v>
      </c>
      <c r="G5" s="69" t="s">
        <v>255</v>
      </c>
      <c r="H5" s="70" t="s">
        <v>253</v>
      </c>
    </row>
    <row r="6" spans="1:8" x14ac:dyDescent="0.3">
      <c r="A6" s="71" t="s">
        <v>91</v>
      </c>
      <c r="B6" s="70">
        <v>1</v>
      </c>
      <c r="D6" s="71" t="s">
        <v>91</v>
      </c>
      <c r="G6" s="71" t="s">
        <v>91</v>
      </c>
    </row>
    <row r="7" spans="1:8" x14ac:dyDescent="0.3">
      <c r="A7" s="72">
        <v>0.5</v>
      </c>
      <c r="B7" s="70">
        <v>1</v>
      </c>
      <c r="D7" s="72">
        <v>0.5</v>
      </c>
      <c r="E7" s="70">
        <v>1</v>
      </c>
      <c r="G7" s="72">
        <v>0.5</v>
      </c>
      <c r="H7" s="70">
        <v>1</v>
      </c>
    </row>
    <row r="8" spans="1:8" x14ac:dyDescent="0.3">
      <c r="A8" s="71" t="s">
        <v>124</v>
      </c>
      <c r="B8" s="70">
        <v>1</v>
      </c>
      <c r="D8" s="71" t="s">
        <v>124</v>
      </c>
      <c r="G8" s="71" t="s">
        <v>256</v>
      </c>
      <c r="H8" s="70">
        <v>1</v>
      </c>
    </row>
    <row r="9" spans="1:8" x14ac:dyDescent="0.3">
      <c r="A9" s="72">
        <v>8.3333333333333329E-2</v>
      </c>
      <c r="B9" s="70">
        <v>1</v>
      </c>
      <c r="D9" s="72">
        <v>8.3333333333333329E-2</v>
      </c>
      <c r="E9" s="70">
        <v>1</v>
      </c>
      <c r="G9"/>
      <c r="H9"/>
    </row>
    <row r="10" spans="1:8" x14ac:dyDescent="0.3">
      <c r="A10" s="71" t="s">
        <v>131</v>
      </c>
      <c r="B10" s="70">
        <v>2</v>
      </c>
      <c r="D10" s="71" t="s">
        <v>65</v>
      </c>
      <c r="G10"/>
      <c r="H10"/>
    </row>
    <row r="11" spans="1:8" x14ac:dyDescent="0.3">
      <c r="A11" s="72">
        <v>0.5</v>
      </c>
      <c r="B11" s="70">
        <v>1</v>
      </c>
      <c r="D11" s="72">
        <v>0.45833333333333331</v>
      </c>
      <c r="E11" s="70">
        <v>1</v>
      </c>
      <c r="G11"/>
      <c r="H11"/>
    </row>
    <row r="12" spans="1:8" x14ac:dyDescent="0.3">
      <c r="A12" s="72">
        <v>0.83333333333333337</v>
      </c>
      <c r="B12" s="70">
        <v>1</v>
      </c>
      <c r="D12" s="71" t="s">
        <v>256</v>
      </c>
      <c r="E12" s="70">
        <v>3</v>
      </c>
      <c r="G12"/>
      <c r="H12"/>
    </row>
    <row r="13" spans="1:8" x14ac:dyDescent="0.3">
      <c r="A13" s="71" t="s">
        <v>65</v>
      </c>
      <c r="B13" s="70">
        <v>1</v>
      </c>
      <c r="D13"/>
      <c r="E13"/>
      <c r="G13"/>
      <c r="H13"/>
    </row>
    <row r="14" spans="1:8" x14ac:dyDescent="0.3">
      <c r="A14" s="72">
        <v>0.45833333333333331</v>
      </c>
      <c r="B14" s="70">
        <v>1</v>
      </c>
      <c r="D14"/>
      <c r="E14"/>
      <c r="G14"/>
      <c r="H14"/>
    </row>
    <row r="15" spans="1:8" x14ac:dyDescent="0.3">
      <c r="A15" s="71" t="s">
        <v>170</v>
      </c>
      <c r="B15" s="70">
        <v>1</v>
      </c>
      <c r="D15"/>
      <c r="E15"/>
      <c r="G15"/>
      <c r="H15"/>
    </row>
    <row r="16" spans="1:8" x14ac:dyDescent="0.3">
      <c r="A16" s="72">
        <v>0.45833333333333331</v>
      </c>
      <c r="B16" s="70">
        <v>1</v>
      </c>
      <c r="D16"/>
      <c r="E16"/>
      <c r="G16"/>
      <c r="H16"/>
    </row>
    <row r="17" spans="1:8" x14ac:dyDescent="0.3">
      <c r="A17" s="71" t="s">
        <v>256</v>
      </c>
      <c r="B17" s="70">
        <v>6</v>
      </c>
      <c r="D17"/>
      <c r="E17"/>
      <c r="G17"/>
      <c r="H17"/>
    </row>
  </sheetData>
  <mergeCells count="1">
    <mergeCell ref="A1:B1"/>
  </mergeCells>
  <pageMargins left="0.7" right="0.7" top="0.75" bottom="0.75" header="0.3" footer="0.3"/>
  <pageSetup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DE57A-2979-4233-A6EE-B2EBE8594562}">
  <sheetPr codeName="Sheet1">
    <tabColor theme="5" tint="0.39997558519241921"/>
  </sheetPr>
  <dimension ref="A1:BI7"/>
  <sheetViews>
    <sheetView topLeftCell="P1" workbookViewId="0">
      <selection activeCell="Q12" sqref="Q12:Q13"/>
    </sheetView>
  </sheetViews>
  <sheetFormatPr defaultColWidth="9.109375" defaultRowHeight="15.6" x14ac:dyDescent="0.3"/>
  <cols>
    <col min="1" max="1" width="20.88671875" style="5" bestFit="1" customWidth="1"/>
    <col min="2" max="2" width="15.44140625" style="6" bestFit="1" customWidth="1"/>
    <col min="3" max="3" width="9.109375" style="5" bestFit="1" customWidth="1"/>
    <col min="4" max="4" width="19.88671875" style="5" bestFit="1" customWidth="1"/>
    <col min="5" max="5" width="13.109375" style="7" bestFit="1" customWidth="1"/>
    <col min="6" max="6" width="20.109375" style="7" bestFit="1" customWidth="1"/>
    <col min="7" max="7" width="22.5546875" style="7" bestFit="1" customWidth="1"/>
    <col min="8" max="8" width="16.33203125" style="5" bestFit="1" customWidth="1"/>
    <col min="9" max="9" width="17.44140625" style="8" bestFit="1" customWidth="1"/>
    <col min="10" max="10" width="8.109375" style="7" bestFit="1" customWidth="1"/>
    <col min="11" max="11" width="19.44140625" style="9" bestFit="1" customWidth="1"/>
    <col min="12" max="12" width="15.88671875" style="64" bestFit="1" customWidth="1"/>
    <col min="13" max="13" width="20.6640625" style="9" bestFit="1" customWidth="1"/>
    <col min="14" max="14" width="25" style="5" bestFit="1" customWidth="1"/>
    <col min="15" max="16" width="23.33203125" style="5" bestFit="1" customWidth="1"/>
    <col min="17" max="17" width="60.88671875" style="5" bestFit="1" customWidth="1"/>
    <col min="18" max="18" width="23.33203125" style="5" bestFit="1" customWidth="1"/>
    <col min="19" max="19" width="20.88671875" style="5" bestFit="1" customWidth="1"/>
    <col min="20" max="20" width="49.109375" style="5" bestFit="1" customWidth="1"/>
    <col min="21" max="21" width="8.88671875" style="5" bestFit="1" customWidth="1"/>
    <col min="22" max="22" width="9.6640625" style="5" bestFit="1" customWidth="1"/>
    <col min="23" max="23" width="81.109375" style="5" bestFit="1" customWidth="1"/>
    <col min="24" max="24" width="26.6640625" style="5" bestFit="1" customWidth="1"/>
    <col min="25" max="25" width="28.88671875" style="5" bestFit="1" customWidth="1"/>
    <col min="26" max="27" width="11.44140625" style="5" bestFit="1" customWidth="1"/>
    <col min="28" max="28" width="21" style="5" bestFit="1" customWidth="1"/>
    <col min="29" max="29" width="11.6640625" style="5" bestFit="1" customWidth="1"/>
    <col min="30" max="30" width="12.88671875" style="5" bestFit="1" customWidth="1"/>
    <col min="31" max="31" width="17.5546875" style="5" bestFit="1" customWidth="1"/>
    <col min="32" max="32" width="21" style="5" bestFit="1" customWidth="1"/>
    <col min="33" max="33" width="17.5546875" style="5" bestFit="1" customWidth="1"/>
    <col min="34" max="34" width="11.6640625" style="5" bestFit="1" customWidth="1"/>
    <col min="35" max="35" width="12.88671875" style="5" bestFit="1" customWidth="1"/>
    <col min="36" max="36" width="19.33203125" style="5" bestFit="1" customWidth="1"/>
    <col min="37" max="37" width="21.88671875" style="5" bestFit="1" customWidth="1"/>
    <col min="38" max="38" width="28.6640625" style="5" bestFit="1" customWidth="1"/>
    <col min="39" max="39" width="11.33203125" style="5" bestFit="1" customWidth="1"/>
    <col min="40" max="40" width="28.33203125" style="5" bestFit="1" customWidth="1"/>
    <col min="41" max="41" width="31.88671875" style="5" bestFit="1" customWidth="1"/>
    <col min="42" max="42" width="36.109375" style="5" bestFit="1" customWidth="1"/>
    <col min="43" max="43" width="19.109375" style="5" bestFit="1" customWidth="1"/>
    <col min="44" max="44" width="29.33203125" style="5" bestFit="1" customWidth="1"/>
    <col min="45" max="45" width="81.109375" style="5" bestFit="1" customWidth="1"/>
    <col min="46" max="46" width="22.6640625" style="6" bestFit="1" customWidth="1"/>
    <col min="47" max="47" width="20.5546875" style="9" bestFit="1" customWidth="1"/>
    <col min="48" max="48" width="20.88671875" style="9" bestFit="1" customWidth="1"/>
    <col min="49" max="49" width="33.33203125" style="9" bestFit="1" customWidth="1"/>
    <col min="50" max="50" width="33.5546875" style="9" bestFit="1" customWidth="1"/>
    <col min="51" max="51" width="18.5546875" style="9" bestFit="1" customWidth="1"/>
    <col min="52" max="52" width="18.88671875" style="9" bestFit="1" customWidth="1"/>
    <col min="53" max="53" width="10.44140625" style="9" bestFit="1" customWidth="1"/>
    <col min="54" max="54" width="27.5546875" style="9" bestFit="1" customWidth="1"/>
    <col min="55" max="55" width="8.5546875" style="9" bestFit="1" customWidth="1"/>
    <col min="56" max="56" width="12.5546875" style="6" bestFit="1" customWidth="1"/>
    <col min="57" max="57" width="10.109375" style="9" bestFit="1" customWidth="1"/>
    <col min="58" max="58" width="11.6640625" style="9" bestFit="1" customWidth="1"/>
    <col min="59" max="59" width="25.6640625" style="9" bestFit="1" customWidth="1"/>
    <col min="60" max="60" width="9.88671875" style="9" customWidth="1"/>
    <col min="61" max="61" width="13.6640625" style="9" bestFit="1" customWidth="1"/>
    <col min="62" max="62" width="10.109375" style="5" bestFit="1" customWidth="1"/>
    <col min="63" max="16384" width="9.109375" style="5"/>
  </cols>
  <sheetData>
    <row r="1" spans="1:61" ht="18" x14ac:dyDescent="0.35">
      <c r="A1" s="10" t="s">
        <v>0</v>
      </c>
      <c r="B1" s="11" t="s">
        <v>33</v>
      </c>
      <c r="C1" s="10" t="s">
        <v>34</v>
      </c>
      <c r="D1" s="10" t="s">
        <v>35</v>
      </c>
      <c r="E1" s="12" t="s">
        <v>36</v>
      </c>
      <c r="F1" s="12" t="s">
        <v>37</v>
      </c>
      <c r="G1" s="12" t="s">
        <v>38</v>
      </c>
      <c r="H1" s="10" t="s">
        <v>39</v>
      </c>
      <c r="I1" s="13" t="s">
        <v>40</v>
      </c>
      <c r="J1" s="12" t="s">
        <v>41</v>
      </c>
      <c r="K1" s="14" t="s">
        <v>43</v>
      </c>
      <c r="L1" s="63" t="s">
        <v>42</v>
      </c>
      <c r="M1" t="s">
        <v>308</v>
      </c>
      <c r="N1" s="10" t="s">
        <v>7</v>
      </c>
      <c r="O1" s="10" t="s">
        <v>8</v>
      </c>
      <c r="P1" s="10" t="s">
        <v>9</v>
      </c>
      <c r="Q1" s="10" t="s">
        <v>32</v>
      </c>
      <c r="R1" t="s">
        <v>286</v>
      </c>
      <c r="S1" t="s">
        <v>261</v>
      </c>
      <c r="T1" s="10" t="s">
        <v>10</v>
      </c>
      <c r="U1" s="10" t="s">
        <v>11</v>
      </c>
      <c r="V1" s="10" t="s">
        <v>12</v>
      </c>
      <c r="W1" s="10" t="s">
        <v>13</v>
      </c>
      <c r="X1" s="10" t="s">
        <v>14</v>
      </c>
      <c r="Y1" s="10" t="s">
        <v>15</v>
      </c>
      <c r="Z1" t="s">
        <v>314</v>
      </c>
      <c r="AA1" t="s">
        <v>315</v>
      </c>
      <c r="AB1" s="10" t="s">
        <v>16</v>
      </c>
      <c r="AC1" s="10" t="s">
        <v>17</v>
      </c>
      <c r="AD1" s="10" t="s">
        <v>18</v>
      </c>
      <c r="AE1" s="10" t="s">
        <v>19</v>
      </c>
      <c r="AF1" s="10" t="s">
        <v>20</v>
      </c>
      <c r="AG1" s="10" t="s">
        <v>21</v>
      </c>
      <c r="AH1" s="10" t="s">
        <v>22</v>
      </c>
      <c r="AI1" s="10" t="s">
        <v>23</v>
      </c>
      <c r="AJ1" s="10" t="s">
        <v>24</v>
      </c>
      <c r="AK1" s="10" t="s">
        <v>25</v>
      </c>
      <c r="AL1" s="10" t="s">
        <v>26</v>
      </c>
      <c r="AM1" s="10" t="s">
        <v>27</v>
      </c>
      <c r="AN1" s="10" t="s">
        <v>28</v>
      </c>
      <c r="AO1" s="10" t="s">
        <v>29</v>
      </c>
      <c r="AP1" s="10" t="s">
        <v>30</v>
      </c>
      <c r="AQ1" s="10" t="s">
        <v>31</v>
      </c>
      <c r="AR1" s="15" t="s">
        <v>44</v>
      </c>
      <c r="AS1" s="10" t="s">
        <v>45</v>
      </c>
      <c r="AT1" t="s">
        <v>285</v>
      </c>
      <c r="AU1" s="11" t="s">
        <v>1</v>
      </c>
      <c r="AV1" s="14" t="s">
        <v>2</v>
      </c>
      <c r="AW1" s="10" t="s">
        <v>3</v>
      </c>
      <c r="AX1" s="10" t="s">
        <v>4</v>
      </c>
      <c r="AY1" s="10" t="s">
        <v>5</v>
      </c>
      <c r="AZ1" s="10" t="s">
        <v>6</v>
      </c>
      <c r="BA1" t="s">
        <v>371</v>
      </c>
      <c r="BB1" t="s">
        <v>373</v>
      </c>
      <c r="BC1" t="s">
        <v>309</v>
      </c>
      <c r="BD1" s="16" t="s">
        <v>459</v>
      </c>
      <c r="BE1" s="10" t="s">
        <v>251</v>
      </c>
      <c r="BF1" s="5"/>
      <c r="BG1" s="5"/>
      <c r="BH1" s="5"/>
      <c r="BI1" s="5"/>
    </row>
    <row r="2" spans="1:61" x14ac:dyDescent="0.3">
      <c r="A2" s="47" t="s">
        <v>125</v>
      </c>
      <c r="B2" s="48">
        <v>45673</v>
      </c>
      <c r="C2" s="47">
        <v>2025</v>
      </c>
      <c r="D2" s="47" t="s">
        <v>64</v>
      </c>
      <c r="E2" s="49">
        <v>1</v>
      </c>
      <c r="F2" s="49">
        <v>3</v>
      </c>
      <c r="G2" s="49">
        <v>3</v>
      </c>
      <c r="H2" s="47" t="s">
        <v>131</v>
      </c>
      <c r="I2" s="50">
        <v>16</v>
      </c>
      <c r="J2" s="49">
        <v>16</v>
      </c>
      <c r="K2" s="51">
        <v>0.5</v>
      </c>
      <c r="L2" s="32">
        <v>0.5</v>
      </c>
      <c r="M2" t="s">
        <v>126</v>
      </c>
      <c r="N2" s="47" t="s">
        <v>126</v>
      </c>
      <c r="O2" s="47" t="s">
        <v>49</v>
      </c>
      <c r="P2" s="47" t="s">
        <v>49</v>
      </c>
      <c r="Q2" s="47" t="s">
        <v>126</v>
      </c>
      <c r="R2" t="s">
        <v>287</v>
      </c>
      <c r="S2" t="s">
        <v>271</v>
      </c>
      <c r="T2" s="47" t="s">
        <v>127</v>
      </c>
      <c r="U2" s="47" t="s">
        <v>71</v>
      </c>
      <c r="V2" s="47">
        <v>7</v>
      </c>
      <c r="W2" s="47" t="s">
        <v>128</v>
      </c>
      <c r="X2" s="47"/>
      <c r="Y2" s="47"/>
      <c r="Z2"/>
      <c r="AA2"/>
      <c r="AB2" s="47"/>
      <c r="AC2" s="47"/>
      <c r="AD2" s="47"/>
      <c r="AE2" s="47"/>
      <c r="AF2" s="47"/>
      <c r="AG2" s="47"/>
      <c r="AH2" s="47"/>
      <c r="AI2" s="47"/>
      <c r="AJ2" s="47" t="s">
        <v>86</v>
      </c>
      <c r="AK2" s="47" t="s">
        <v>58</v>
      </c>
      <c r="AL2" s="47" t="s">
        <v>129</v>
      </c>
      <c r="AM2" s="47" t="s">
        <v>88</v>
      </c>
      <c r="AN2" s="47" t="s">
        <v>89</v>
      </c>
      <c r="AO2" s="47" t="s">
        <v>62</v>
      </c>
      <c r="AP2" s="47" t="s">
        <v>130</v>
      </c>
      <c r="AQ2" s="47">
        <v>9</v>
      </c>
      <c r="AR2" s="52">
        <v>45673.5</v>
      </c>
      <c r="AS2" s="47" t="s">
        <v>128</v>
      </c>
      <c r="AT2">
        <v>30</v>
      </c>
      <c r="AU2" s="48">
        <v>45673</v>
      </c>
      <c r="AV2" s="51">
        <v>0.5</v>
      </c>
      <c r="AW2" s="53">
        <v>45673</v>
      </c>
      <c r="AX2" s="54">
        <v>0.75</v>
      </c>
      <c r="AY2" s="53">
        <v>45673</v>
      </c>
      <c r="AZ2" s="54">
        <v>0.81587962962962968</v>
      </c>
      <c r="BA2" t="s">
        <v>372</v>
      </c>
      <c r="BB2" t="s">
        <v>375</v>
      </c>
      <c r="BC2" t="s">
        <v>380</v>
      </c>
      <c r="BD2" s="16">
        <v>45678</v>
      </c>
      <c r="BE2" s="47" t="s">
        <v>252</v>
      </c>
      <c r="BF2" s="5"/>
      <c r="BG2" s="5"/>
      <c r="BH2" s="5"/>
      <c r="BI2" s="5"/>
    </row>
    <row r="3" spans="1:61" x14ac:dyDescent="0.3">
      <c r="A3" s="47" t="s">
        <v>343</v>
      </c>
      <c r="B3" s="48">
        <v>45673</v>
      </c>
      <c r="C3" s="47">
        <v>2025</v>
      </c>
      <c r="D3" s="47" t="s">
        <v>64</v>
      </c>
      <c r="E3" s="49">
        <v>1</v>
      </c>
      <c r="F3" s="49">
        <v>3</v>
      </c>
      <c r="G3" s="49">
        <v>3</v>
      </c>
      <c r="H3" s="47" t="s">
        <v>131</v>
      </c>
      <c r="I3" s="50">
        <v>16</v>
      </c>
      <c r="J3" s="49">
        <v>16</v>
      </c>
      <c r="K3" s="51">
        <v>0.83333333333333337</v>
      </c>
      <c r="L3" s="32">
        <v>0.83333333333333337</v>
      </c>
      <c r="M3" t="s">
        <v>126</v>
      </c>
      <c r="N3" s="47" t="s">
        <v>344</v>
      </c>
      <c r="O3" s="47" t="s">
        <v>126</v>
      </c>
      <c r="P3" s="47" t="s">
        <v>333</v>
      </c>
      <c r="Q3" s="47" t="s">
        <v>345</v>
      </c>
      <c r="R3" t="s">
        <v>346</v>
      </c>
      <c r="S3" t="s">
        <v>347</v>
      </c>
      <c r="T3" s="47" t="s">
        <v>348</v>
      </c>
      <c r="U3" s="47" t="s">
        <v>239</v>
      </c>
      <c r="V3" s="47">
        <v>5</v>
      </c>
      <c r="W3" s="47" t="s">
        <v>349</v>
      </c>
      <c r="X3" s="47"/>
      <c r="Y3" s="47"/>
      <c r="Z3"/>
      <c r="AA3"/>
      <c r="AB3" s="47"/>
      <c r="AC3" s="47"/>
      <c r="AD3" s="47"/>
      <c r="AE3" s="47"/>
      <c r="AF3" s="47"/>
      <c r="AG3" s="47"/>
      <c r="AH3" s="47"/>
      <c r="AI3" s="47"/>
      <c r="AJ3" s="47" t="s">
        <v>168</v>
      </c>
      <c r="AK3" s="47" t="s">
        <v>58</v>
      </c>
      <c r="AL3" s="47" t="s">
        <v>250</v>
      </c>
      <c r="AM3" s="47" t="s">
        <v>60</v>
      </c>
      <c r="AN3" s="47"/>
      <c r="AO3" s="47"/>
      <c r="AP3" s="47" t="s">
        <v>130</v>
      </c>
      <c r="AQ3" s="47">
        <v>9</v>
      </c>
      <c r="AR3" s="52">
        <v>45673.833333333336</v>
      </c>
      <c r="AS3" s="47" t="s">
        <v>349</v>
      </c>
      <c r="AT3">
        <v>152</v>
      </c>
      <c r="AU3" s="48">
        <v>45673</v>
      </c>
      <c r="AV3" s="51">
        <v>0.83333333333333337</v>
      </c>
      <c r="AW3" s="53"/>
      <c r="AX3" s="54"/>
      <c r="AY3" s="53">
        <v>45673</v>
      </c>
      <c r="AZ3" s="54">
        <v>9.0057870370370371E-2</v>
      </c>
      <c r="BA3" t="s">
        <v>372</v>
      </c>
      <c r="BB3" t="s">
        <v>376</v>
      </c>
      <c r="BC3" t="s">
        <v>380</v>
      </c>
      <c r="BD3" s="16">
        <v>45678</v>
      </c>
      <c r="BE3" s="47" t="s">
        <v>252</v>
      </c>
      <c r="BF3" s="5"/>
      <c r="BG3" s="5"/>
      <c r="BH3" s="5"/>
      <c r="BI3" s="5"/>
    </row>
    <row r="4" spans="1:61" x14ac:dyDescent="0.3">
      <c r="A4" s="47" t="s">
        <v>164</v>
      </c>
      <c r="B4" s="48">
        <v>45682</v>
      </c>
      <c r="C4" s="47">
        <v>2025</v>
      </c>
      <c r="D4" s="47" t="s">
        <v>64</v>
      </c>
      <c r="E4" s="49">
        <v>1</v>
      </c>
      <c r="F4" s="49">
        <v>4</v>
      </c>
      <c r="G4" s="49">
        <v>4</v>
      </c>
      <c r="H4" s="47" t="s">
        <v>170</v>
      </c>
      <c r="I4" s="50">
        <v>25</v>
      </c>
      <c r="J4" s="49">
        <v>25</v>
      </c>
      <c r="K4" s="51">
        <v>0.45833333333333331</v>
      </c>
      <c r="L4" s="32">
        <v>0.45833333333333331</v>
      </c>
      <c r="M4" t="s">
        <v>126</v>
      </c>
      <c r="N4" s="47" t="s">
        <v>126</v>
      </c>
      <c r="O4" s="47" t="s">
        <v>49</v>
      </c>
      <c r="P4" s="47" t="s">
        <v>49</v>
      </c>
      <c r="Q4" s="47" t="s">
        <v>126</v>
      </c>
      <c r="R4" t="s">
        <v>288</v>
      </c>
      <c r="S4" t="s">
        <v>263</v>
      </c>
      <c r="T4" s="47" t="s">
        <v>165</v>
      </c>
      <c r="U4" s="47" t="s">
        <v>166</v>
      </c>
      <c r="V4" s="47">
        <v>5</v>
      </c>
      <c r="W4" s="47" t="s">
        <v>167</v>
      </c>
      <c r="X4" s="47"/>
      <c r="Y4" s="47"/>
      <c r="Z4"/>
      <c r="AA4"/>
      <c r="AB4" s="47"/>
      <c r="AC4" s="47"/>
      <c r="AD4" s="47"/>
      <c r="AE4" s="47"/>
      <c r="AF4" s="47"/>
      <c r="AG4" s="47"/>
      <c r="AH4" s="47"/>
      <c r="AI4" s="47"/>
      <c r="AJ4" s="47" t="s">
        <v>168</v>
      </c>
      <c r="AK4" s="47" t="s">
        <v>58</v>
      </c>
      <c r="AL4" s="47" t="s">
        <v>169</v>
      </c>
      <c r="AM4" s="47" t="s">
        <v>139</v>
      </c>
      <c r="AN4" s="47" t="s">
        <v>89</v>
      </c>
      <c r="AO4" s="47" t="s">
        <v>102</v>
      </c>
      <c r="AP4" s="47" t="s">
        <v>130</v>
      </c>
      <c r="AQ4" s="47">
        <v>9</v>
      </c>
      <c r="AR4" s="52">
        <v>45682.458333333336</v>
      </c>
      <c r="AS4" s="47" t="s">
        <v>167</v>
      </c>
      <c r="AT4">
        <v>60</v>
      </c>
      <c r="AU4" s="48">
        <v>45682</v>
      </c>
      <c r="AV4" s="51">
        <v>0.45833333333333331</v>
      </c>
      <c r="AW4" s="53">
        <v>45682</v>
      </c>
      <c r="AX4" s="54">
        <v>0.58333333333333337</v>
      </c>
      <c r="AY4" s="53">
        <v>45682</v>
      </c>
      <c r="AZ4" s="54">
        <v>0.58054398148148145</v>
      </c>
      <c r="BA4" t="s">
        <v>372</v>
      </c>
      <c r="BB4" t="s">
        <v>374</v>
      </c>
      <c r="BC4" t="s">
        <v>381</v>
      </c>
      <c r="BD4" s="16">
        <v>45685</v>
      </c>
      <c r="BE4" s="47" t="s">
        <v>252</v>
      </c>
      <c r="BF4" s="5"/>
      <c r="BG4" s="5"/>
      <c r="BH4" s="5"/>
      <c r="BI4" s="5"/>
    </row>
    <row r="5" spans="1:61" x14ac:dyDescent="0.3">
      <c r="A5" s="47" t="s">
        <v>198</v>
      </c>
      <c r="B5" s="48">
        <v>45688</v>
      </c>
      <c r="C5" s="47">
        <v>2025</v>
      </c>
      <c r="D5" s="47" t="s">
        <v>64</v>
      </c>
      <c r="E5" s="49">
        <v>1</v>
      </c>
      <c r="F5" s="49">
        <v>5</v>
      </c>
      <c r="G5" s="49">
        <v>5</v>
      </c>
      <c r="H5" s="47" t="s">
        <v>65</v>
      </c>
      <c r="I5" s="50">
        <v>31</v>
      </c>
      <c r="J5" s="49">
        <v>31</v>
      </c>
      <c r="K5" s="51">
        <v>0.45833333333333331</v>
      </c>
      <c r="L5" s="32">
        <v>0.49988425925925928</v>
      </c>
      <c r="M5" t="s">
        <v>126</v>
      </c>
      <c r="N5" s="47" t="s">
        <v>126</v>
      </c>
      <c r="O5" s="47" t="s">
        <v>49</v>
      </c>
      <c r="P5" s="47" t="s">
        <v>49</v>
      </c>
      <c r="Q5" s="47" t="s">
        <v>126</v>
      </c>
      <c r="R5" t="s">
        <v>289</v>
      </c>
      <c r="S5" t="s">
        <v>276</v>
      </c>
      <c r="T5" s="47" t="s">
        <v>199</v>
      </c>
      <c r="U5" s="47" t="s">
        <v>200</v>
      </c>
      <c r="V5" s="47">
        <v>8</v>
      </c>
      <c r="W5" s="47" t="s">
        <v>201</v>
      </c>
      <c r="X5" s="47"/>
      <c r="Y5" s="47"/>
      <c r="Z5"/>
      <c r="AA5"/>
      <c r="AB5" s="47"/>
      <c r="AC5" s="47"/>
      <c r="AD5" s="47"/>
      <c r="AE5" s="47"/>
      <c r="AF5" s="47"/>
      <c r="AG5" s="47"/>
      <c r="AH5" s="47"/>
      <c r="AI5" s="47"/>
      <c r="AJ5" s="47" t="s">
        <v>57</v>
      </c>
      <c r="AK5" s="47" t="s">
        <v>58</v>
      </c>
      <c r="AL5" s="47" t="s">
        <v>202</v>
      </c>
      <c r="AM5" s="47" t="s">
        <v>115</v>
      </c>
      <c r="AN5" s="47" t="s">
        <v>116</v>
      </c>
      <c r="AO5" s="47" t="s">
        <v>62</v>
      </c>
      <c r="AP5" s="47" t="s">
        <v>130</v>
      </c>
      <c r="AQ5" s="47">
        <v>9</v>
      </c>
      <c r="AR5" s="52">
        <v>45688.499305555553</v>
      </c>
      <c r="AS5" s="47" t="s">
        <v>201</v>
      </c>
      <c r="AT5">
        <v>292</v>
      </c>
      <c r="AU5" s="48">
        <v>45688</v>
      </c>
      <c r="AV5" s="51">
        <v>0.49988425925925928</v>
      </c>
      <c r="AW5" s="53"/>
      <c r="AX5" s="54"/>
      <c r="AY5" s="53">
        <v>45688</v>
      </c>
      <c r="AZ5" s="54">
        <v>0.49988425925925928</v>
      </c>
      <c r="BA5" t="s">
        <v>372</v>
      </c>
      <c r="BB5" t="s">
        <v>374</v>
      </c>
      <c r="BC5" t="s">
        <v>382</v>
      </c>
      <c r="BD5" s="16">
        <v>45692</v>
      </c>
      <c r="BE5" s="47" t="s">
        <v>252</v>
      </c>
      <c r="BF5" s="5"/>
      <c r="BG5" s="5"/>
      <c r="BH5" s="5"/>
      <c r="BI5" s="5"/>
    </row>
    <row r="6" spans="1:61" x14ac:dyDescent="0.3">
      <c r="A6" s="47" t="s">
        <v>229</v>
      </c>
      <c r="B6" s="48">
        <v>45693</v>
      </c>
      <c r="C6" s="47">
        <v>2025</v>
      </c>
      <c r="D6" s="47" t="s">
        <v>210</v>
      </c>
      <c r="E6" s="49">
        <v>1</v>
      </c>
      <c r="F6" s="49">
        <v>6</v>
      </c>
      <c r="G6" s="49">
        <v>2</v>
      </c>
      <c r="H6" s="47" t="s">
        <v>124</v>
      </c>
      <c r="I6" s="50">
        <v>36</v>
      </c>
      <c r="J6" s="49">
        <v>5</v>
      </c>
      <c r="K6" s="51">
        <v>8.3333333333333329E-2</v>
      </c>
      <c r="L6" s="32">
        <v>0.12291666666666666</v>
      </c>
      <c r="M6" t="s">
        <v>230</v>
      </c>
      <c r="N6" s="47" t="s">
        <v>230</v>
      </c>
      <c r="O6" s="47" t="s">
        <v>231</v>
      </c>
      <c r="P6" s="47" t="s">
        <v>49</v>
      </c>
      <c r="Q6" s="47" t="s">
        <v>236</v>
      </c>
      <c r="R6" t="s">
        <v>290</v>
      </c>
      <c r="S6" t="s">
        <v>278</v>
      </c>
      <c r="T6" s="47" t="s">
        <v>232</v>
      </c>
      <c r="U6" s="47" t="s">
        <v>200</v>
      </c>
      <c r="V6" s="47">
        <v>8</v>
      </c>
      <c r="W6" s="47" t="s">
        <v>233</v>
      </c>
      <c r="X6" s="47"/>
      <c r="Y6" s="47"/>
      <c r="Z6"/>
      <c r="AA6"/>
      <c r="AB6" s="47"/>
      <c r="AC6" s="47"/>
      <c r="AD6" s="47"/>
      <c r="AE6" s="47"/>
      <c r="AF6" s="47"/>
      <c r="AG6" s="47"/>
      <c r="AH6" s="47"/>
      <c r="AI6" s="47"/>
      <c r="AJ6" s="47" t="s">
        <v>114</v>
      </c>
      <c r="AK6" s="47" t="s">
        <v>58</v>
      </c>
      <c r="AL6" s="47" t="s">
        <v>234</v>
      </c>
      <c r="AM6" s="47" t="s">
        <v>139</v>
      </c>
      <c r="AN6" s="47" t="s">
        <v>235</v>
      </c>
      <c r="AO6" s="47" t="s">
        <v>102</v>
      </c>
      <c r="AP6" s="47" t="s">
        <v>130</v>
      </c>
      <c r="AQ6" s="47">
        <v>9</v>
      </c>
      <c r="AR6" s="52">
        <v>45693.122916666667</v>
      </c>
      <c r="AS6" s="47" t="s">
        <v>233</v>
      </c>
      <c r="AT6">
        <v>441</v>
      </c>
      <c r="AU6" s="48">
        <v>45693</v>
      </c>
      <c r="AV6" s="51">
        <v>0.12291666666666666</v>
      </c>
      <c r="AW6" s="53"/>
      <c r="AX6" s="54"/>
      <c r="AY6" s="53">
        <v>45693</v>
      </c>
      <c r="AZ6" s="54">
        <v>0.1233912037037037</v>
      </c>
      <c r="BA6" t="s">
        <v>372</v>
      </c>
      <c r="BB6" t="s">
        <v>377</v>
      </c>
      <c r="BC6" t="s">
        <v>383</v>
      </c>
      <c r="BD6" s="16">
        <v>45699</v>
      </c>
      <c r="BE6" s="47" t="s">
        <v>252</v>
      </c>
      <c r="BF6" s="5"/>
      <c r="BG6" s="5"/>
      <c r="BH6" s="5"/>
      <c r="BI6" s="5"/>
    </row>
    <row r="7" spans="1:61" x14ac:dyDescent="0.3">
      <c r="A7" s="47" t="s">
        <v>477</v>
      </c>
      <c r="B7" s="48">
        <v>45705</v>
      </c>
      <c r="C7" s="47">
        <v>2025</v>
      </c>
      <c r="D7" s="47" t="s">
        <v>210</v>
      </c>
      <c r="E7" s="49">
        <v>1</v>
      </c>
      <c r="F7" s="49">
        <v>8</v>
      </c>
      <c r="G7" s="49">
        <v>4</v>
      </c>
      <c r="H7" s="47" t="s">
        <v>91</v>
      </c>
      <c r="I7" s="50">
        <v>48</v>
      </c>
      <c r="J7" s="49">
        <v>17</v>
      </c>
      <c r="K7" s="51">
        <v>0.5</v>
      </c>
      <c r="L7" s="32">
        <v>0.52497685185185183</v>
      </c>
      <c r="M7" t="s">
        <v>230</v>
      </c>
      <c r="N7" s="47" t="s">
        <v>230</v>
      </c>
      <c r="O7" s="47" t="s">
        <v>212</v>
      </c>
      <c r="P7" s="47" t="s">
        <v>49</v>
      </c>
      <c r="Q7" s="47" t="s">
        <v>478</v>
      </c>
      <c r="R7" t="s">
        <v>293</v>
      </c>
      <c r="S7" t="s">
        <v>479</v>
      </c>
      <c r="T7" s="47" t="s">
        <v>480</v>
      </c>
      <c r="U7" s="47" t="s">
        <v>134</v>
      </c>
      <c r="V7" s="47">
        <v>9</v>
      </c>
      <c r="W7" s="47" t="s">
        <v>481</v>
      </c>
      <c r="X7" s="47"/>
      <c r="Y7" s="47"/>
      <c r="Z7"/>
      <c r="AA7"/>
      <c r="AB7" s="47"/>
      <c r="AC7" s="47"/>
      <c r="AD7" s="47"/>
      <c r="AE7" s="47"/>
      <c r="AF7" s="47"/>
      <c r="AG7" s="47"/>
      <c r="AH7" s="47"/>
      <c r="AI7" s="47"/>
      <c r="AJ7" s="47" t="s">
        <v>86</v>
      </c>
      <c r="AK7" s="47" t="s">
        <v>58</v>
      </c>
      <c r="AL7" s="47" t="s">
        <v>87</v>
      </c>
      <c r="AM7" s="47" t="s">
        <v>88</v>
      </c>
      <c r="AN7" s="47" t="s">
        <v>215</v>
      </c>
      <c r="AO7" s="47" t="s">
        <v>359</v>
      </c>
      <c r="AP7" s="47"/>
      <c r="AQ7" s="47">
        <v>9</v>
      </c>
      <c r="AR7" s="52">
        <v>45705.524305555555</v>
      </c>
      <c r="AS7" s="47" t="s">
        <v>481</v>
      </c>
      <c r="AT7">
        <v>35</v>
      </c>
      <c r="AU7" s="48">
        <v>45705</v>
      </c>
      <c r="AV7" s="51">
        <v>0.52497685185185183</v>
      </c>
      <c r="AW7" s="53"/>
      <c r="AX7" s="54"/>
      <c r="AY7" s="53">
        <v>45705</v>
      </c>
      <c r="AZ7" s="54">
        <v>0.52497685185185183</v>
      </c>
      <c r="BA7" t="s">
        <v>372</v>
      </c>
      <c r="BB7" t="s">
        <v>375</v>
      </c>
      <c r="BC7" t="s">
        <v>385</v>
      </c>
      <c r="BD7" s="16">
        <v>45706</v>
      </c>
      <c r="BE7" s="47" t="s">
        <v>252</v>
      </c>
      <c r="BF7" s="5"/>
      <c r="BG7" s="5"/>
      <c r="BH7" s="5"/>
      <c r="BI7" s="5"/>
    </row>
  </sheetData>
  <phoneticPr fontId="7"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0CDAA-C3A6-40AF-AF9D-B711542BAD4B}">
  <sheetPr codeName="Sheet2">
    <tabColor rgb="FFC00000"/>
  </sheetPr>
  <dimension ref="A1:BE5"/>
  <sheetViews>
    <sheetView workbookViewId="0">
      <selection activeCell="D3" sqref="D3"/>
    </sheetView>
  </sheetViews>
  <sheetFormatPr defaultRowHeight="14.4" x14ac:dyDescent="0.3"/>
  <cols>
    <col min="1" max="1" width="20.88671875" bestFit="1" customWidth="1"/>
    <col min="2" max="2" width="15.44140625" bestFit="1" customWidth="1"/>
    <col min="3" max="3" width="9.109375" bestFit="1" customWidth="1"/>
    <col min="4" max="4" width="19.88671875" bestFit="1" customWidth="1"/>
    <col min="5" max="5" width="13.109375" bestFit="1" customWidth="1"/>
    <col min="6" max="6" width="20.109375" bestFit="1" customWidth="1"/>
    <col min="7" max="7" width="22.5546875" bestFit="1" customWidth="1"/>
    <col min="8" max="8" width="16.33203125" bestFit="1" customWidth="1"/>
    <col min="9" max="9" width="17.44140625" bestFit="1" customWidth="1"/>
    <col min="10" max="10" width="8.109375" bestFit="1" customWidth="1"/>
    <col min="11" max="11" width="19.44140625" bestFit="1" customWidth="1"/>
    <col min="12" max="12" width="15.88671875" bestFit="1" customWidth="1"/>
    <col min="13" max="13" width="18.109375" bestFit="1" customWidth="1"/>
    <col min="14" max="16" width="23.33203125" bestFit="1" customWidth="1"/>
    <col min="17" max="17" width="27.5546875" bestFit="1" customWidth="1"/>
    <col min="18" max="18" width="20" bestFit="1" customWidth="1"/>
    <col min="19" max="19" width="37.109375" bestFit="1" customWidth="1"/>
    <col min="20" max="20" width="66" bestFit="1" customWidth="1"/>
    <col min="21" max="21" width="8.88671875" bestFit="1" customWidth="1"/>
    <col min="22" max="22" width="9.6640625" bestFit="1" customWidth="1"/>
    <col min="23" max="23" width="81.109375" bestFit="1" customWidth="1"/>
    <col min="24" max="24" width="26.6640625" bestFit="1" customWidth="1"/>
    <col min="25" max="25" width="28.88671875" bestFit="1" customWidth="1"/>
    <col min="26" max="26" width="23.33203125" bestFit="1" customWidth="1"/>
    <col min="27" max="27" width="11.44140625" bestFit="1" customWidth="1"/>
    <col min="28" max="28" width="21" bestFit="1" customWidth="1"/>
    <col min="29" max="29" width="11.6640625" bestFit="1" customWidth="1"/>
    <col min="30" max="30" width="12.88671875" bestFit="1" customWidth="1"/>
    <col min="31" max="31" width="17.5546875" bestFit="1" customWidth="1"/>
    <col min="32" max="32" width="21" bestFit="1" customWidth="1"/>
    <col min="33" max="33" width="17.5546875" bestFit="1" customWidth="1"/>
    <col min="34" max="34" width="11.6640625" bestFit="1" customWidth="1"/>
    <col min="35" max="35" width="12.88671875" bestFit="1" customWidth="1"/>
    <col min="36" max="36" width="19.33203125" bestFit="1" customWidth="1"/>
    <col min="37" max="37" width="21.88671875" bestFit="1" customWidth="1"/>
    <col min="38" max="38" width="29.109375" bestFit="1" customWidth="1"/>
    <col min="39" max="39" width="11.33203125" bestFit="1" customWidth="1"/>
    <col min="40" max="40" width="28.33203125" bestFit="1" customWidth="1"/>
    <col min="41" max="41" width="31.88671875" bestFit="1" customWidth="1"/>
    <col min="42" max="42" width="32.33203125" bestFit="1" customWidth="1"/>
    <col min="43" max="43" width="19.109375" bestFit="1" customWidth="1"/>
    <col min="44" max="44" width="29.33203125" bestFit="1" customWidth="1"/>
    <col min="45" max="45" width="81.109375" bestFit="1" customWidth="1"/>
    <col min="46" max="46" width="22.6640625" bestFit="1" customWidth="1"/>
    <col min="47" max="47" width="20.5546875" bestFit="1" customWidth="1"/>
    <col min="48" max="48" width="20.88671875" bestFit="1" customWidth="1"/>
    <col min="49" max="49" width="33.33203125" bestFit="1" customWidth="1"/>
    <col min="50" max="50" width="33.5546875" bestFit="1" customWidth="1"/>
    <col min="51" max="51" width="18.5546875" bestFit="1" customWidth="1"/>
    <col min="52" max="52" width="18.88671875" bestFit="1" customWidth="1"/>
    <col min="53" max="53" width="10.44140625" bestFit="1" customWidth="1"/>
    <col min="54" max="54" width="27.5546875" bestFit="1" customWidth="1"/>
    <col min="55" max="55" width="8.5546875" bestFit="1" customWidth="1"/>
    <col min="56" max="56" width="12.5546875" style="16" bestFit="1" customWidth="1"/>
    <col min="57" max="57" width="10.109375" bestFit="1" customWidth="1"/>
    <col min="58" max="58" width="11.6640625" bestFit="1" customWidth="1"/>
    <col min="59" max="59" width="25.6640625" bestFit="1" customWidth="1"/>
    <col min="60" max="60" width="9.88671875" customWidth="1"/>
    <col min="61" max="61" width="13.6640625" bestFit="1" customWidth="1"/>
    <col min="62" max="62" width="7.6640625" bestFit="1" customWidth="1"/>
  </cols>
  <sheetData>
    <row r="1" spans="1:57" ht="18" x14ac:dyDescent="0.35">
      <c r="A1" s="10" t="s">
        <v>0</v>
      </c>
      <c r="B1" s="11" t="s">
        <v>33</v>
      </c>
      <c r="C1" s="10" t="s">
        <v>34</v>
      </c>
      <c r="D1" s="10" t="s">
        <v>35</v>
      </c>
      <c r="E1" s="12" t="s">
        <v>36</v>
      </c>
      <c r="F1" s="12" t="s">
        <v>37</v>
      </c>
      <c r="G1" s="12" t="s">
        <v>38</v>
      </c>
      <c r="H1" s="10" t="s">
        <v>39</v>
      </c>
      <c r="I1" s="13" t="s">
        <v>40</v>
      </c>
      <c r="J1" s="12" t="s">
        <v>41</v>
      </c>
      <c r="K1" s="14" t="s">
        <v>43</v>
      </c>
      <c r="L1" s="14" t="s">
        <v>42</v>
      </c>
      <c r="M1" t="s">
        <v>308</v>
      </c>
      <c r="N1" s="10" t="s">
        <v>7</v>
      </c>
      <c r="O1" s="10" t="s">
        <v>8</v>
      </c>
      <c r="P1" s="10" t="s">
        <v>9</v>
      </c>
      <c r="Q1" s="10" t="s">
        <v>32</v>
      </c>
      <c r="R1" t="s">
        <v>286</v>
      </c>
      <c r="S1" t="s">
        <v>261</v>
      </c>
      <c r="T1" s="10" t="s">
        <v>10</v>
      </c>
      <c r="U1" s="10" t="s">
        <v>11</v>
      </c>
      <c r="V1" s="10" t="s">
        <v>12</v>
      </c>
      <c r="W1" s="10" t="s">
        <v>13</v>
      </c>
      <c r="X1" s="10" t="s">
        <v>14</v>
      </c>
      <c r="Y1" s="10" t="s">
        <v>15</v>
      </c>
      <c r="Z1" t="s">
        <v>314</v>
      </c>
      <c r="AA1" t="s">
        <v>315</v>
      </c>
      <c r="AB1" s="10" t="s">
        <v>16</v>
      </c>
      <c r="AC1" s="10" t="s">
        <v>17</v>
      </c>
      <c r="AD1" s="10" t="s">
        <v>18</v>
      </c>
      <c r="AE1" s="10" t="s">
        <v>19</v>
      </c>
      <c r="AF1" s="10" t="s">
        <v>20</v>
      </c>
      <c r="AG1" s="10" t="s">
        <v>21</v>
      </c>
      <c r="AH1" s="10" t="s">
        <v>22</v>
      </c>
      <c r="AI1" s="10" t="s">
        <v>23</v>
      </c>
      <c r="AJ1" s="10" t="s">
        <v>24</v>
      </c>
      <c r="AK1" s="10" t="s">
        <v>25</v>
      </c>
      <c r="AL1" s="10" t="s">
        <v>26</v>
      </c>
      <c r="AM1" s="10" t="s">
        <v>27</v>
      </c>
      <c r="AN1" s="10" t="s">
        <v>28</v>
      </c>
      <c r="AO1" s="10" t="s">
        <v>29</v>
      </c>
      <c r="AP1" s="10" t="s">
        <v>30</v>
      </c>
      <c r="AQ1" s="10" t="s">
        <v>31</v>
      </c>
      <c r="AR1" s="15" t="s">
        <v>44</v>
      </c>
      <c r="AS1" s="10" t="s">
        <v>45</v>
      </c>
      <c r="AT1" t="s">
        <v>285</v>
      </c>
      <c r="AU1" s="11" t="s">
        <v>1</v>
      </c>
      <c r="AV1" s="14" t="s">
        <v>2</v>
      </c>
      <c r="AW1" s="10" t="s">
        <v>3</v>
      </c>
      <c r="AX1" s="10" t="s">
        <v>4</v>
      </c>
      <c r="AY1" s="10" t="s">
        <v>5</v>
      </c>
      <c r="AZ1" s="10" t="s">
        <v>6</v>
      </c>
      <c r="BA1" t="s">
        <v>371</v>
      </c>
      <c r="BB1" t="s">
        <v>373</v>
      </c>
      <c r="BC1" t="s">
        <v>309</v>
      </c>
      <c r="BD1" s="16" t="s">
        <v>459</v>
      </c>
      <c r="BE1" s="10" t="s">
        <v>251</v>
      </c>
    </row>
    <row r="2" spans="1:57" ht="15.6" x14ac:dyDescent="0.3">
      <c r="A2" s="28" t="s">
        <v>80</v>
      </c>
      <c r="B2" s="29">
        <v>45663</v>
      </c>
      <c r="C2" s="28">
        <v>2025</v>
      </c>
      <c r="D2" s="28" t="s">
        <v>64</v>
      </c>
      <c r="E2" s="30">
        <v>1</v>
      </c>
      <c r="F2" s="30">
        <v>2</v>
      </c>
      <c r="G2" s="30">
        <v>2</v>
      </c>
      <c r="H2" s="28" t="s">
        <v>91</v>
      </c>
      <c r="I2" s="31">
        <v>6</v>
      </c>
      <c r="J2" s="30">
        <v>6</v>
      </c>
      <c r="K2" s="32">
        <v>0.625</v>
      </c>
      <c r="L2" s="35">
        <v>0.64583333333333337</v>
      </c>
      <c r="M2" t="s">
        <v>81</v>
      </c>
      <c r="N2" s="28" t="s">
        <v>81</v>
      </c>
      <c r="O2" s="28" t="s">
        <v>49</v>
      </c>
      <c r="P2" s="28" t="s">
        <v>49</v>
      </c>
      <c r="Q2" s="28" t="s">
        <v>81</v>
      </c>
      <c r="R2" t="s">
        <v>291</v>
      </c>
      <c r="S2" t="s">
        <v>270</v>
      </c>
      <c r="T2" s="28" t="s">
        <v>82</v>
      </c>
      <c r="U2" s="28"/>
      <c r="V2" s="28">
        <v>7</v>
      </c>
      <c r="W2" s="28" t="s">
        <v>83</v>
      </c>
      <c r="X2" s="28"/>
      <c r="Y2" s="28"/>
      <c r="Z2" t="s">
        <v>318</v>
      </c>
      <c r="AB2" s="28" t="s">
        <v>84</v>
      </c>
      <c r="AC2" s="28" t="s">
        <v>54</v>
      </c>
      <c r="AD2" s="28" t="s">
        <v>85</v>
      </c>
      <c r="AE2" s="28" t="s">
        <v>56</v>
      </c>
      <c r="AF2" s="28"/>
      <c r="AG2" s="28"/>
      <c r="AH2" s="28"/>
      <c r="AI2" s="28"/>
      <c r="AJ2" s="28" t="s">
        <v>86</v>
      </c>
      <c r="AK2" s="28" t="s">
        <v>58</v>
      </c>
      <c r="AL2" s="28" t="s">
        <v>87</v>
      </c>
      <c r="AM2" s="28" t="s">
        <v>88</v>
      </c>
      <c r="AN2" s="28" t="s">
        <v>89</v>
      </c>
      <c r="AO2" s="28" t="s">
        <v>62</v>
      </c>
      <c r="AP2" s="28" t="s">
        <v>90</v>
      </c>
      <c r="AQ2" s="28">
        <v>9</v>
      </c>
      <c r="AR2" s="33">
        <v>45663.645833333336</v>
      </c>
      <c r="AS2" s="28" t="s">
        <v>83</v>
      </c>
      <c r="AT2">
        <v>90</v>
      </c>
      <c r="AU2" s="29">
        <v>45663</v>
      </c>
      <c r="AV2" s="32">
        <v>0.64583333333333337</v>
      </c>
      <c r="AW2" s="34">
        <v>45667</v>
      </c>
      <c r="AX2" s="35"/>
      <c r="AY2" s="34">
        <v>45667</v>
      </c>
      <c r="AZ2" s="35">
        <v>0.82629629629629631</v>
      </c>
      <c r="BA2" t="s">
        <v>372</v>
      </c>
      <c r="BB2" t="s">
        <v>375</v>
      </c>
      <c r="BC2" t="s">
        <v>384</v>
      </c>
      <c r="BD2" s="16">
        <v>45664</v>
      </c>
      <c r="BE2" s="28" t="s">
        <v>252</v>
      </c>
    </row>
    <row r="3" spans="1:57" ht="15.6" x14ac:dyDescent="0.3">
      <c r="A3" s="28" t="s">
        <v>171</v>
      </c>
      <c r="B3" s="29">
        <v>45682</v>
      </c>
      <c r="C3" s="28">
        <v>2025</v>
      </c>
      <c r="D3" s="28" t="s">
        <v>64</v>
      </c>
      <c r="E3" s="30">
        <v>1</v>
      </c>
      <c r="F3" s="30">
        <v>4</v>
      </c>
      <c r="G3" s="30">
        <v>4</v>
      </c>
      <c r="H3" s="28" t="s">
        <v>170</v>
      </c>
      <c r="I3" s="31">
        <v>25</v>
      </c>
      <c r="J3" s="30">
        <v>25</v>
      </c>
      <c r="K3" s="32">
        <v>0.75</v>
      </c>
      <c r="L3" s="35">
        <v>0.76875000000000004</v>
      </c>
      <c r="M3" t="s">
        <v>81</v>
      </c>
      <c r="N3" s="28" t="s">
        <v>81</v>
      </c>
      <c r="O3" s="28" t="s">
        <v>172</v>
      </c>
      <c r="P3" s="28" t="s">
        <v>49</v>
      </c>
      <c r="Q3" s="28" t="s">
        <v>179</v>
      </c>
      <c r="R3" t="s">
        <v>292</v>
      </c>
      <c r="S3" t="s">
        <v>275</v>
      </c>
      <c r="T3" s="28" t="s">
        <v>173</v>
      </c>
      <c r="U3" s="28" t="s">
        <v>97</v>
      </c>
      <c r="V3" s="28">
        <v>8</v>
      </c>
      <c r="W3" s="28" t="s">
        <v>174</v>
      </c>
      <c r="X3" s="28"/>
      <c r="Y3" s="28"/>
      <c r="Z3" t="s">
        <v>319</v>
      </c>
      <c r="AB3" s="28" t="s">
        <v>175</v>
      </c>
      <c r="AC3" s="28" t="s">
        <v>54</v>
      </c>
      <c r="AD3" s="28" t="s">
        <v>176</v>
      </c>
      <c r="AE3" s="28" t="s">
        <v>56</v>
      </c>
      <c r="AF3" s="28"/>
      <c r="AG3" s="28"/>
      <c r="AH3" s="28"/>
      <c r="AI3" s="28"/>
      <c r="AJ3" s="28" t="s">
        <v>168</v>
      </c>
      <c r="AK3" s="28" t="s">
        <v>58</v>
      </c>
      <c r="AL3" s="28" t="s">
        <v>138</v>
      </c>
      <c r="AM3" s="28" t="s">
        <v>139</v>
      </c>
      <c r="AN3" s="28" t="s">
        <v>177</v>
      </c>
      <c r="AO3" s="28" t="s">
        <v>178</v>
      </c>
      <c r="AP3" s="28" t="s">
        <v>90</v>
      </c>
      <c r="AQ3" s="28">
        <v>9</v>
      </c>
      <c r="AR3" s="33">
        <v>45682.768750000003</v>
      </c>
      <c r="AS3" s="28" t="s">
        <v>174</v>
      </c>
      <c r="AT3">
        <v>206</v>
      </c>
      <c r="AU3" s="29">
        <v>45682</v>
      </c>
      <c r="AV3" s="32">
        <v>0.76875000000000004</v>
      </c>
      <c r="AW3" s="34"/>
      <c r="AX3" s="35"/>
      <c r="AY3" s="34">
        <v>45683</v>
      </c>
      <c r="AZ3" s="35">
        <v>0.44056712962962963</v>
      </c>
      <c r="BA3" t="s">
        <v>372</v>
      </c>
      <c r="BB3" t="s">
        <v>378</v>
      </c>
      <c r="BC3" t="s">
        <v>381</v>
      </c>
      <c r="BD3" s="16">
        <v>45685</v>
      </c>
      <c r="BE3" s="28" t="s">
        <v>252</v>
      </c>
    </row>
    <row r="4" spans="1:57" ht="15.6" x14ac:dyDescent="0.3">
      <c r="A4" s="28" t="s">
        <v>180</v>
      </c>
      <c r="B4" s="29">
        <v>45683</v>
      </c>
      <c r="C4" s="28">
        <v>2025</v>
      </c>
      <c r="D4" s="28" t="s">
        <v>64</v>
      </c>
      <c r="E4" s="30">
        <v>1</v>
      </c>
      <c r="F4" s="30">
        <v>5</v>
      </c>
      <c r="G4" s="30">
        <v>5</v>
      </c>
      <c r="H4" s="28" t="s">
        <v>188</v>
      </c>
      <c r="I4" s="31">
        <v>26</v>
      </c>
      <c r="J4" s="30">
        <v>26</v>
      </c>
      <c r="K4" s="32">
        <v>0.83333333333333337</v>
      </c>
      <c r="L4" s="35">
        <v>0.84027777777777779</v>
      </c>
      <c r="M4" t="s">
        <v>81</v>
      </c>
      <c r="N4" s="28" t="s">
        <v>81</v>
      </c>
      <c r="O4" s="28" t="s">
        <v>172</v>
      </c>
      <c r="P4" s="28" t="s">
        <v>49</v>
      </c>
      <c r="Q4" s="28" t="s">
        <v>179</v>
      </c>
      <c r="R4" t="s">
        <v>293</v>
      </c>
      <c r="S4" t="s">
        <v>283</v>
      </c>
      <c r="T4" s="28" t="s">
        <v>181</v>
      </c>
      <c r="U4" s="28" t="s">
        <v>182</v>
      </c>
      <c r="V4" s="28">
        <v>9</v>
      </c>
      <c r="W4" s="28" t="s">
        <v>183</v>
      </c>
      <c r="X4" s="28"/>
      <c r="Y4" s="28"/>
      <c r="Z4" t="s">
        <v>320</v>
      </c>
      <c r="AB4" s="28" t="s">
        <v>184</v>
      </c>
      <c r="AC4" s="28" t="s">
        <v>54</v>
      </c>
      <c r="AD4" s="28" t="s">
        <v>185</v>
      </c>
      <c r="AE4" s="28" t="s">
        <v>56</v>
      </c>
      <c r="AF4" s="28"/>
      <c r="AG4" s="28"/>
      <c r="AH4" s="28"/>
      <c r="AI4" s="28"/>
      <c r="AJ4" s="28" t="s">
        <v>86</v>
      </c>
      <c r="AK4" s="28" t="s">
        <v>58</v>
      </c>
      <c r="AL4" s="28" t="s">
        <v>186</v>
      </c>
      <c r="AM4" s="28" t="s">
        <v>88</v>
      </c>
      <c r="AN4" s="28" t="s">
        <v>187</v>
      </c>
      <c r="AO4" s="28" t="s">
        <v>102</v>
      </c>
      <c r="AP4" s="28" t="s">
        <v>90</v>
      </c>
      <c r="AQ4" s="28">
        <v>9</v>
      </c>
      <c r="AR4" s="33">
        <v>45683.840277777781</v>
      </c>
      <c r="AS4" s="28" t="s">
        <v>183</v>
      </c>
      <c r="AT4">
        <v>5</v>
      </c>
      <c r="AU4" s="29">
        <v>45683</v>
      </c>
      <c r="AV4" s="32">
        <v>0.84027777777777779</v>
      </c>
      <c r="AW4" s="34">
        <v>45683</v>
      </c>
      <c r="AX4" s="35">
        <v>0.84652777777777777</v>
      </c>
      <c r="AY4" s="34">
        <v>45683</v>
      </c>
      <c r="AZ4" s="35">
        <v>0.85009259259259262</v>
      </c>
      <c r="BA4" t="s">
        <v>372</v>
      </c>
      <c r="BB4" t="s">
        <v>376</v>
      </c>
      <c r="BC4" t="s">
        <v>381</v>
      </c>
      <c r="BD4" s="16">
        <v>45685</v>
      </c>
      <c r="BE4" s="28" t="s">
        <v>252</v>
      </c>
    </row>
    <row r="5" spans="1:57" ht="15.6" x14ac:dyDescent="0.3">
      <c r="A5" s="28" t="s">
        <v>350</v>
      </c>
      <c r="B5" s="29">
        <v>45701</v>
      </c>
      <c r="C5" s="28">
        <v>2025</v>
      </c>
      <c r="D5" s="28" t="s">
        <v>210</v>
      </c>
      <c r="E5" s="30">
        <v>1</v>
      </c>
      <c r="F5" s="30">
        <v>7</v>
      </c>
      <c r="G5" s="30">
        <v>3</v>
      </c>
      <c r="H5" s="28" t="s">
        <v>131</v>
      </c>
      <c r="I5" s="31">
        <v>44</v>
      </c>
      <c r="J5" s="30">
        <v>13</v>
      </c>
      <c r="K5" s="32">
        <v>0.66666666666666663</v>
      </c>
      <c r="L5" s="35">
        <v>0.66666666666666663</v>
      </c>
      <c r="M5" t="s">
        <v>81</v>
      </c>
      <c r="N5" s="28" t="s">
        <v>81</v>
      </c>
      <c r="O5" s="28" t="s">
        <v>49</v>
      </c>
      <c r="P5" s="28" t="s">
        <v>49</v>
      </c>
      <c r="Q5" s="28" t="s">
        <v>81</v>
      </c>
      <c r="S5" t="s">
        <v>351</v>
      </c>
      <c r="T5" s="28" t="s">
        <v>352</v>
      </c>
      <c r="U5" s="28" t="s">
        <v>353</v>
      </c>
      <c r="V5" s="28">
        <v>6</v>
      </c>
      <c r="W5" s="28" t="s">
        <v>354</v>
      </c>
      <c r="X5" s="28"/>
      <c r="Y5" s="28"/>
      <c r="Z5" t="s">
        <v>355</v>
      </c>
      <c r="AB5" s="28" t="s">
        <v>356</v>
      </c>
      <c r="AC5" s="28" t="s">
        <v>208</v>
      </c>
      <c r="AD5" s="28" t="s">
        <v>357</v>
      </c>
      <c r="AE5" s="28" t="s">
        <v>56</v>
      </c>
      <c r="AF5" s="28"/>
      <c r="AG5" s="28"/>
      <c r="AH5" s="28"/>
      <c r="AI5" s="28"/>
      <c r="AJ5" s="28" t="s">
        <v>114</v>
      </c>
      <c r="AK5" s="28" t="s">
        <v>58</v>
      </c>
      <c r="AL5" s="28" t="s">
        <v>358</v>
      </c>
      <c r="AM5" s="28" t="s">
        <v>245</v>
      </c>
      <c r="AN5" s="28" t="s">
        <v>177</v>
      </c>
      <c r="AO5" s="28" t="s">
        <v>359</v>
      </c>
      <c r="AP5" s="28" t="s">
        <v>90</v>
      </c>
      <c r="AQ5" s="28">
        <v>9</v>
      </c>
      <c r="AR5" s="33">
        <v>45701.666666666664</v>
      </c>
      <c r="AS5" s="28" t="s">
        <v>354</v>
      </c>
      <c r="AU5" s="29">
        <v>45701</v>
      </c>
      <c r="AV5" s="32">
        <v>0.66666666666666663</v>
      </c>
      <c r="AW5" s="34"/>
      <c r="AX5" s="35"/>
      <c r="AY5" s="34">
        <v>45702</v>
      </c>
      <c r="AZ5" s="35">
        <v>0.29906250000000001</v>
      </c>
      <c r="BA5" t="s">
        <v>372</v>
      </c>
      <c r="BB5" t="s">
        <v>378</v>
      </c>
      <c r="BC5" t="s">
        <v>385</v>
      </c>
      <c r="BD5" s="16">
        <v>45706</v>
      </c>
      <c r="BE5" s="28" t="s">
        <v>252</v>
      </c>
    </row>
  </sheetData>
  <phoneticPr fontId="7" type="noConversion"/>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F18C3-AD04-4BA8-841B-E2DC512C4CB0}">
  <sheetPr>
    <tabColor rgb="FFC00000"/>
  </sheetPr>
  <dimension ref="A2:H13"/>
  <sheetViews>
    <sheetView topLeftCell="A23" workbookViewId="0">
      <selection activeCell="V45" sqref="V45"/>
    </sheetView>
  </sheetViews>
  <sheetFormatPr defaultColWidth="9.109375" defaultRowHeight="15.6" x14ac:dyDescent="0.3"/>
  <cols>
    <col min="1" max="1" width="15.33203125" style="47" bestFit="1" customWidth="1"/>
    <col min="2" max="2" width="25" style="47" bestFit="1" customWidth="1"/>
    <col min="3" max="3" width="9.109375" style="47"/>
    <col min="4" max="4" width="15.33203125" style="47" bestFit="1" customWidth="1"/>
    <col min="5" max="5" width="25" style="47" bestFit="1" customWidth="1"/>
    <col min="6" max="6" width="9.109375" style="47"/>
    <col min="7" max="7" width="15.33203125" style="47" bestFit="1" customWidth="1"/>
    <col min="8" max="8" width="25" style="47" bestFit="1" customWidth="1"/>
    <col min="9" max="16384" width="9.109375" style="47"/>
  </cols>
  <sheetData>
    <row r="2" spans="1:8" x14ac:dyDescent="0.3">
      <c r="A2" s="65" t="s">
        <v>33</v>
      </c>
      <c r="B2" s="47" t="s">
        <v>254</v>
      </c>
      <c r="D2" s="65" t="s">
        <v>33</v>
      </c>
      <c r="E2" s="66">
        <v>45701</v>
      </c>
      <c r="G2" s="65" t="s">
        <v>33</v>
      </c>
      <c r="H2" s="66">
        <v>45701</v>
      </c>
    </row>
    <row r="4" spans="1:8" x14ac:dyDescent="0.3">
      <c r="A4" s="65" t="s">
        <v>255</v>
      </c>
      <c r="B4" s="47" t="s">
        <v>253</v>
      </c>
      <c r="D4" s="65" t="s">
        <v>255</v>
      </c>
      <c r="E4" s="47" t="s">
        <v>253</v>
      </c>
      <c r="G4" s="65" t="s">
        <v>255</v>
      </c>
      <c r="H4" s="47" t="s">
        <v>253</v>
      </c>
    </row>
    <row r="5" spans="1:8" x14ac:dyDescent="0.3">
      <c r="A5" s="67" t="s">
        <v>188</v>
      </c>
      <c r="D5" s="67" t="s">
        <v>131</v>
      </c>
      <c r="G5" s="67" t="s">
        <v>131</v>
      </c>
    </row>
    <row r="6" spans="1:8" x14ac:dyDescent="0.3">
      <c r="A6" s="74">
        <v>0.83333333333333337</v>
      </c>
      <c r="B6" s="47">
        <v>1</v>
      </c>
      <c r="D6" s="74">
        <v>0.66666666666666663</v>
      </c>
      <c r="E6" s="47">
        <v>1</v>
      </c>
      <c r="G6" s="74">
        <v>0.66666666666666663</v>
      </c>
      <c r="H6" s="47">
        <v>1</v>
      </c>
    </row>
    <row r="7" spans="1:8" x14ac:dyDescent="0.3">
      <c r="A7" s="67" t="s">
        <v>91</v>
      </c>
      <c r="D7" s="67" t="s">
        <v>256</v>
      </c>
      <c r="E7" s="47">
        <v>1</v>
      </c>
      <c r="G7" s="67" t="s">
        <v>256</v>
      </c>
      <c r="H7" s="47">
        <v>1</v>
      </c>
    </row>
    <row r="8" spans="1:8" x14ac:dyDescent="0.3">
      <c r="A8" s="74">
        <v>0.625</v>
      </c>
      <c r="B8" s="47">
        <v>1</v>
      </c>
      <c r="D8"/>
      <c r="E8"/>
      <c r="G8"/>
      <c r="H8"/>
    </row>
    <row r="9" spans="1:8" x14ac:dyDescent="0.3">
      <c r="A9" s="67" t="s">
        <v>131</v>
      </c>
      <c r="D9"/>
      <c r="E9"/>
      <c r="G9"/>
      <c r="H9"/>
    </row>
    <row r="10" spans="1:8" x14ac:dyDescent="0.3">
      <c r="A10" s="74">
        <v>0.66666666666666663</v>
      </c>
      <c r="B10" s="47">
        <v>1</v>
      </c>
      <c r="D10"/>
      <c r="E10"/>
      <c r="G10"/>
      <c r="H10"/>
    </row>
    <row r="11" spans="1:8" x14ac:dyDescent="0.3">
      <c r="A11" s="67" t="s">
        <v>170</v>
      </c>
      <c r="D11"/>
      <c r="E11"/>
      <c r="G11"/>
      <c r="H11"/>
    </row>
    <row r="12" spans="1:8" x14ac:dyDescent="0.3">
      <c r="A12" s="74">
        <v>0.75</v>
      </c>
      <c r="B12" s="47">
        <v>1</v>
      </c>
      <c r="D12"/>
      <c r="E12"/>
      <c r="G12"/>
      <c r="H12"/>
    </row>
    <row r="13" spans="1:8" x14ac:dyDescent="0.3">
      <c r="A13" s="67" t="s">
        <v>256</v>
      </c>
      <c r="B13" s="47">
        <v>4</v>
      </c>
      <c r="D13"/>
      <c r="E13"/>
      <c r="G13"/>
      <c r="H13"/>
    </row>
  </sheetData>
  <pageMargins left="0.7" right="0.7" top="0.75" bottom="0.75" header="0.3" footer="0.3"/>
  <pageSetup orientation="portrait" r:id="rId4"/>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A5B7B-F790-48A9-A3C0-FB33006AA0AE}">
  <sheetPr codeName="Sheet3">
    <tabColor theme="3" tint="-0.249977111117893"/>
  </sheetPr>
  <dimension ref="A1:BI24"/>
  <sheetViews>
    <sheetView topLeftCell="Q1" workbookViewId="0">
      <selection activeCell="S23" sqref="Q23:S24"/>
    </sheetView>
  </sheetViews>
  <sheetFormatPr defaultRowHeight="14.4" x14ac:dyDescent="0.3"/>
  <cols>
    <col min="1" max="1" width="20.88671875" bestFit="1" customWidth="1"/>
    <col min="2" max="2" width="15.44140625" style="16" bestFit="1" customWidth="1"/>
    <col min="3" max="3" width="9.109375" bestFit="1" customWidth="1"/>
    <col min="4" max="4" width="19.88671875" bestFit="1" customWidth="1"/>
    <col min="5" max="5" width="13.109375" style="17" bestFit="1" customWidth="1"/>
    <col min="6" max="6" width="20.109375" style="17" bestFit="1" customWidth="1"/>
    <col min="7" max="7" width="22.5546875" style="17" bestFit="1" customWidth="1"/>
    <col min="8" max="8" width="16.33203125" bestFit="1" customWidth="1"/>
    <col min="9" max="9" width="17.44140625" style="18" bestFit="1" customWidth="1"/>
    <col min="10" max="10" width="8.109375" style="17" bestFit="1" customWidth="1"/>
    <col min="11" max="11" width="19.44140625" style="19" bestFit="1" customWidth="1"/>
    <col min="12" max="12" width="15.88671875" style="20" bestFit="1" customWidth="1"/>
    <col min="13" max="13" width="19" style="19" bestFit="1" customWidth="1"/>
    <col min="14" max="14" width="23.33203125" bestFit="1" customWidth="1"/>
    <col min="15" max="15" width="26.44140625" bestFit="1" customWidth="1"/>
    <col min="16" max="16" width="23.33203125" bestFit="1" customWidth="1"/>
    <col min="17" max="17" width="47.109375" bestFit="1" customWidth="1"/>
    <col min="18" max="18" width="31.88671875" bestFit="1" customWidth="1"/>
    <col min="19" max="19" width="27" bestFit="1" customWidth="1"/>
    <col min="20" max="20" width="55.6640625" bestFit="1" customWidth="1"/>
    <col min="21" max="21" width="8.88671875" bestFit="1" customWidth="1"/>
    <col min="22" max="22" width="9.6640625" bestFit="1" customWidth="1"/>
    <col min="23" max="23" width="81.109375" bestFit="1" customWidth="1"/>
    <col min="24" max="24" width="26.6640625" bestFit="1" customWidth="1"/>
    <col min="25" max="25" width="28.88671875" bestFit="1" customWidth="1"/>
    <col min="26" max="26" width="29" bestFit="1" customWidth="1"/>
    <col min="27" max="27" width="11.44140625" bestFit="1" customWidth="1"/>
    <col min="28" max="28" width="21" bestFit="1" customWidth="1"/>
    <col min="29" max="29" width="11.6640625" bestFit="1" customWidth="1"/>
    <col min="30" max="30" width="14.109375" bestFit="1" customWidth="1"/>
    <col min="31" max="31" width="17.5546875" bestFit="1" customWidth="1"/>
    <col min="32" max="32" width="21" bestFit="1" customWidth="1"/>
    <col min="33" max="33" width="17.5546875" bestFit="1" customWidth="1"/>
    <col min="34" max="34" width="11.6640625" bestFit="1" customWidth="1"/>
    <col min="35" max="35" width="12.88671875" bestFit="1" customWidth="1"/>
    <col min="36" max="36" width="19.33203125" bestFit="1" customWidth="1"/>
    <col min="37" max="37" width="21.88671875" bestFit="1" customWidth="1"/>
    <col min="38" max="38" width="32.44140625" bestFit="1" customWidth="1"/>
    <col min="39" max="39" width="11.33203125" bestFit="1" customWidth="1"/>
    <col min="40" max="40" width="28.33203125" bestFit="1" customWidth="1"/>
    <col min="41" max="41" width="31.88671875" bestFit="1" customWidth="1"/>
    <col min="42" max="42" width="29.5546875" bestFit="1" customWidth="1"/>
    <col min="43" max="43" width="19.109375" bestFit="1" customWidth="1"/>
    <col min="44" max="44" width="29.33203125" bestFit="1" customWidth="1"/>
    <col min="45" max="45" width="81.109375" bestFit="1" customWidth="1"/>
    <col min="46" max="46" width="22.6640625" style="16" bestFit="1" customWidth="1"/>
    <col min="47" max="47" width="20.5546875" style="19" bestFit="1" customWidth="1"/>
    <col min="48" max="48" width="20.88671875" style="19" bestFit="1" customWidth="1"/>
    <col min="49" max="49" width="33.33203125" style="19" bestFit="1" customWidth="1"/>
    <col min="50" max="50" width="33.5546875" style="19" bestFit="1" customWidth="1"/>
    <col min="51" max="51" width="18.5546875" style="19" bestFit="1" customWidth="1"/>
    <col min="52" max="52" width="18.88671875" style="19" bestFit="1" customWidth="1"/>
    <col min="53" max="53" width="10.44140625" style="19" bestFit="1" customWidth="1"/>
    <col min="54" max="54" width="27.5546875" style="19" bestFit="1" customWidth="1"/>
    <col min="55" max="55" width="8.5546875" style="19" bestFit="1" customWidth="1"/>
    <col min="56" max="56" width="12.5546875" style="16" bestFit="1" customWidth="1"/>
    <col min="57" max="57" width="10.109375" style="19" bestFit="1" customWidth="1"/>
    <col min="58" max="58" width="11.6640625" style="19" bestFit="1" customWidth="1"/>
    <col min="59" max="59" width="25.6640625" style="19" bestFit="1" customWidth="1"/>
    <col min="60" max="60" width="9.88671875" style="19" customWidth="1"/>
    <col min="61" max="61" width="13.6640625" style="19" bestFit="1" customWidth="1"/>
    <col min="62" max="62" width="7.6640625" bestFit="1" customWidth="1"/>
  </cols>
  <sheetData>
    <row r="1" spans="1:61" ht="18" x14ac:dyDescent="0.35">
      <c r="A1" s="10" t="s">
        <v>0</v>
      </c>
      <c r="B1" s="11" t="s">
        <v>33</v>
      </c>
      <c r="C1" s="10" t="s">
        <v>34</v>
      </c>
      <c r="D1" s="10" t="s">
        <v>35</v>
      </c>
      <c r="E1" s="12" t="s">
        <v>36</v>
      </c>
      <c r="F1" s="12" t="s">
        <v>37</v>
      </c>
      <c r="G1" s="12" t="s">
        <v>38</v>
      </c>
      <c r="H1" s="10" t="s">
        <v>39</v>
      </c>
      <c r="I1" s="13" t="s">
        <v>40</v>
      </c>
      <c r="J1" s="12" t="s">
        <v>41</v>
      </c>
      <c r="K1" s="14" t="s">
        <v>43</v>
      </c>
      <c r="L1" s="14" t="s">
        <v>42</v>
      </c>
      <c r="M1" t="s">
        <v>308</v>
      </c>
      <c r="N1" s="10" t="s">
        <v>7</v>
      </c>
      <c r="O1" s="10" t="s">
        <v>8</v>
      </c>
      <c r="P1" s="10" t="s">
        <v>9</v>
      </c>
      <c r="Q1" s="10" t="s">
        <v>32</v>
      </c>
      <c r="R1" t="s">
        <v>286</v>
      </c>
      <c r="S1" t="s">
        <v>261</v>
      </c>
      <c r="T1" s="10" t="s">
        <v>10</v>
      </c>
      <c r="U1" s="10" t="s">
        <v>11</v>
      </c>
      <c r="V1" s="10" t="s">
        <v>12</v>
      </c>
      <c r="W1" s="10" t="s">
        <v>13</v>
      </c>
      <c r="X1" s="10" t="s">
        <v>14</v>
      </c>
      <c r="Y1" s="10" t="s">
        <v>15</v>
      </c>
      <c r="Z1" t="s">
        <v>314</v>
      </c>
      <c r="AA1" t="s">
        <v>315</v>
      </c>
      <c r="AB1" s="10" t="s">
        <v>16</v>
      </c>
      <c r="AC1" s="10" t="s">
        <v>17</v>
      </c>
      <c r="AD1" s="10" t="s">
        <v>18</v>
      </c>
      <c r="AE1" s="10" t="s">
        <v>19</v>
      </c>
      <c r="AF1" s="10" t="s">
        <v>20</v>
      </c>
      <c r="AG1" s="10" t="s">
        <v>21</v>
      </c>
      <c r="AH1" s="10" t="s">
        <v>22</v>
      </c>
      <c r="AI1" s="10" t="s">
        <v>23</v>
      </c>
      <c r="AJ1" s="10" t="s">
        <v>24</v>
      </c>
      <c r="AK1" s="10" t="s">
        <v>25</v>
      </c>
      <c r="AL1" s="10" t="s">
        <v>26</v>
      </c>
      <c r="AM1" s="10" t="s">
        <v>27</v>
      </c>
      <c r="AN1" s="10" t="s">
        <v>28</v>
      </c>
      <c r="AO1" s="10" t="s">
        <v>29</v>
      </c>
      <c r="AP1" s="10" t="s">
        <v>30</v>
      </c>
      <c r="AQ1" s="10" t="s">
        <v>31</v>
      </c>
      <c r="AR1" s="15" t="s">
        <v>44</v>
      </c>
      <c r="AS1" s="10" t="s">
        <v>45</v>
      </c>
      <c r="AT1" t="s">
        <v>285</v>
      </c>
      <c r="AU1" s="11" t="s">
        <v>1</v>
      </c>
      <c r="AV1" s="14" t="s">
        <v>2</v>
      </c>
      <c r="AW1" s="10" t="s">
        <v>3</v>
      </c>
      <c r="AX1" s="10" t="s">
        <v>4</v>
      </c>
      <c r="AY1" s="10" t="s">
        <v>5</v>
      </c>
      <c r="AZ1" s="10" t="s">
        <v>6</v>
      </c>
      <c r="BA1" t="s">
        <v>371</v>
      </c>
      <c r="BB1" t="s">
        <v>373</v>
      </c>
      <c r="BC1" t="s">
        <v>309</v>
      </c>
      <c r="BD1" s="16" t="s">
        <v>459</v>
      </c>
      <c r="BE1" s="10" t="s">
        <v>251</v>
      </c>
      <c r="BF1"/>
      <c r="BG1"/>
      <c r="BH1"/>
      <c r="BI1"/>
    </row>
    <row r="2" spans="1:61" ht="15.6" x14ac:dyDescent="0.3">
      <c r="A2" s="47" t="s">
        <v>47</v>
      </c>
      <c r="B2" s="48">
        <v>45660</v>
      </c>
      <c r="C2" s="47">
        <v>2025</v>
      </c>
      <c r="D2" s="47" t="s">
        <v>64</v>
      </c>
      <c r="E2" s="49">
        <v>1</v>
      </c>
      <c r="F2" s="49">
        <v>1</v>
      </c>
      <c r="G2" s="49">
        <v>1</v>
      </c>
      <c r="H2" s="47" t="s">
        <v>65</v>
      </c>
      <c r="I2" s="50">
        <v>3</v>
      </c>
      <c r="J2" s="49">
        <v>3</v>
      </c>
      <c r="K2" s="51">
        <v>0.875</v>
      </c>
      <c r="L2" s="35">
        <v>0.89583333333333337</v>
      </c>
      <c r="M2" t="s">
        <v>48</v>
      </c>
      <c r="N2" s="47" t="s">
        <v>48</v>
      </c>
      <c r="O2" s="47" t="s">
        <v>49</v>
      </c>
      <c r="P2" s="47" t="s">
        <v>49</v>
      </c>
      <c r="Q2" s="47" t="s">
        <v>48</v>
      </c>
      <c r="R2" t="s">
        <v>295</v>
      </c>
      <c r="S2" t="s">
        <v>279</v>
      </c>
      <c r="T2" s="47" t="s">
        <v>50</v>
      </c>
      <c r="U2" s="47" t="s">
        <v>51</v>
      </c>
      <c r="V2" s="47">
        <v>9</v>
      </c>
      <c r="W2" s="47" t="s">
        <v>52</v>
      </c>
      <c r="X2" s="47"/>
      <c r="Y2" s="47"/>
      <c r="Z2" t="s">
        <v>321</v>
      </c>
      <c r="AB2" s="47" t="s">
        <v>53</v>
      </c>
      <c r="AC2" s="47" t="s">
        <v>54</v>
      </c>
      <c r="AD2" s="47" t="s">
        <v>55</v>
      </c>
      <c r="AE2" s="47" t="s">
        <v>56</v>
      </c>
      <c r="AF2" s="47"/>
      <c r="AG2" s="47"/>
      <c r="AH2" s="47"/>
      <c r="AI2" s="47"/>
      <c r="AJ2" s="47" t="s">
        <v>57</v>
      </c>
      <c r="AK2" s="47" t="s">
        <v>58</v>
      </c>
      <c r="AL2" s="47" t="s">
        <v>59</v>
      </c>
      <c r="AM2" s="47" t="s">
        <v>60</v>
      </c>
      <c r="AN2" s="47" t="s">
        <v>61</v>
      </c>
      <c r="AO2" s="47" t="s">
        <v>62</v>
      </c>
      <c r="AP2" s="47" t="s">
        <v>63</v>
      </c>
      <c r="AQ2" s="47">
        <v>9</v>
      </c>
      <c r="AR2" s="52">
        <v>45660.895833333336</v>
      </c>
      <c r="AS2" s="47" t="s">
        <v>52</v>
      </c>
      <c r="AT2">
        <v>309</v>
      </c>
      <c r="AU2" s="48">
        <v>45660</v>
      </c>
      <c r="AV2" s="51">
        <v>0.89583333333333337</v>
      </c>
      <c r="AW2" s="53">
        <v>45661</v>
      </c>
      <c r="AX2" s="54">
        <v>0.2673611111111111</v>
      </c>
      <c r="AY2" s="53">
        <v>45661</v>
      </c>
      <c r="AZ2" s="54">
        <v>0.45774305555555556</v>
      </c>
      <c r="BA2" t="s">
        <v>372</v>
      </c>
      <c r="BB2" t="s">
        <v>376</v>
      </c>
      <c r="BC2" t="s">
        <v>384</v>
      </c>
      <c r="BD2" s="16">
        <v>45664</v>
      </c>
      <c r="BE2" s="47" t="s">
        <v>252</v>
      </c>
      <c r="BF2"/>
      <c r="BG2"/>
      <c r="BH2"/>
      <c r="BI2"/>
    </row>
    <row r="3" spans="1:61" ht="15.6" x14ac:dyDescent="0.3">
      <c r="A3" s="47" t="s">
        <v>118</v>
      </c>
      <c r="B3" s="48">
        <v>45672</v>
      </c>
      <c r="C3" s="47">
        <v>2025</v>
      </c>
      <c r="D3" s="47" t="s">
        <v>64</v>
      </c>
      <c r="E3" s="49">
        <v>1</v>
      </c>
      <c r="F3" s="49">
        <v>3</v>
      </c>
      <c r="G3" s="49">
        <v>3</v>
      </c>
      <c r="H3" s="47" t="s">
        <v>124</v>
      </c>
      <c r="I3" s="50">
        <v>15</v>
      </c>
      <c r="J3" s="49">
        <v>15</v>
      </c>
      <c r="K3" s="51">
        <v>0.5</v>
      </c>
      <c r="L3" s="35">
        <v>0.53988425925925931</v>
      </c>
      <c r="M3" t="s">
        <v>48</v>
      </c>
      <c r="N3" s="47" t="s">
        <v>48</v>
      </c>
      <c r="O3" s="47" t="s">
        <v>49</v>
      </c>
      <c r="P3" s="47" t="s">
        <v>49</v>
      </c>
      <c r="Q3" s="47" t="s">
        <v>48</v>
      </c>
      <c r="R3" t="s">
        <v>298</v>
      </c>
      <c r="S3" t="s">
        <v>273</v>
      </c>
      <c r="T3" s="47" t="s">
        <v>119</v>
      </c>
      <c r="U3" s="47" t="s">
        <v>97</v>
      </c>
      <c r="V3" s="47">
        <v>8</v>
      </c>
      <c r="W3" s="47" t="s">
        <v>120</v>
      </c>
      <c r="X3" s="47"/>
      <c r="Y3" s="47"/>
      <c r="Z3" t="s">
        <v>322</v>
      </c>
      <c r="AB3" s="47" t="s">
        <v>121</v>
      </c>
      <c r="AC3" s="47" t="s">
        <v>54</v>
      </c>
      <c r="AD3" s="47" t="s">
        <v>122</v>
      </c>
      <c r="AE3" s="47" t="s">
        <v>56</v>
      </c>
      <c r="AF3" s="47"/>
      <c r="AG3" s="47"/>
      <c r="AH3" s="47"/>
      <c r="AI3" s="47"/>
      <c r="AJ3" s="47" t="s">
        <v>114</v>
      </c>
      <c r="AK3" s="47" t="s">
        <v>58</v>
      </c>
      <c r="AL3" s="47" t="s">
        <v>123</v>
      </c>
      <c r="AM3" s="47" t="s">
        <v>100</v>
      </c>
      <c r="AN3" s="47" t="s">
        <v>89</v>
      </c>
      <c r="AO3" s="47" t="s">
        <v>62</v>
      </c>
      <c r="AP3" s="47" t="s">
        <v>63</v>
      </c>
      <c r="AQ3" s="47">
        <v>9</v>
      </c>
      <c r="AR3" s="52">
        <v>45672.539583333331</v>
      </c>
      <c r="AS3" s="47" t="s">
        <v>120</v>
      </c>
      <c r="AT3">
        <v>244</v>
      </c>
      <c r="AU3" s="48">
        <v>45672</v>
      </c>
      <c r="AV3" s="51">
        <v>0.53988425925925931</v>
      </c>
      <c r="AW3" s="53"/>
      <c r="AX3" s="54"/>
      <c r="AY3" s="53">
        <v>45672</v>
      </c>
      <c r="AZ3" s="54">
        <v>0.53988425925925931</v>
      </c>
      <c r="BA3" t="s">
        <v>372</v>
      </c>
      <c r="BB3" t="s">
        <v>375</v>
      </c>
      <c r="BC3" t="s">
        <v>380</v>
      </c>
      <c r="BD3" s="16">
        <v>45678</v>
      </c>
      <c r="BE3" s="47" t="s">
        <v>252</v>
      </c>
      <c r="BF3"/>
      <c r="BG3"/>
      <c r="BH3"/>
      <c r="BI3"/>
    </row>
    <row r="4" spans="1:61" ht="15.6" x14ac:dyDescent="0.3">
      <c r="A4" s="47" t="s">
        <v>141</v>
      </c>
      <c r="B4" s="48">
        <v>45678</v>
      </c>
      <c r="C4" s="47">
        <v>2025</v>
      </c>
      <c r="D4" s="47" t="s">
        <v>64</v>
      </c>
      <c r="E4" s="49">
        <v>1</v>
      </c>
      <c r="F4" s="49">
        <v>4</v>
      </c>
      <c r="G4" s="49">
        <v>4</v>
      </c>
      <c r="H4" s="47" t="s">
        <v>79</v>
      </c>
      <c r="I4" s="50">
        <v>21</v>
      </c>
      <c r="J4" s="49">
        <v>21</v>
      </c>
      <c r="K4" s="51">
        <v>0.79166666666666663</v>
      </c>
      <c r="L4" s="35">
        <v>0.79166666666666663</v>
      </c>
      <c r="M4" t="s">
        <v>48</v>
      </c>
      <c r="N4" s="47" t="s">
        <v>48</v>
      </c>
      <c r="O4" s="47" t="s">
        <v>49</v>
      </c>
      <c r="P4" s="47" t="s">
        <v>49</v>
      </c>
      <c r="Q4" s="47" t="s">
        <v>48</v>
      </c>
      <c r="R4" t="s">
        <v>300</v>
      </c>
      <c r="S4" t="s">
        <v>282</v>
      </c>
      <c r="T4" s="47" t="s">
        <v>142</v>
      </c>
      <c r="U4" s="47" t="s">
        <v>134</v>
      </c>
      <c r="V4" s="47">
        <v>9</v>
      </c>
      <c r="W4" s="47" t="s">
        <v>143</v>
      </c>
      <c r="X4" s="47"/>
      <c r="Y4" s="47"/>
      <c r="Z4" t="s">
        <v>323</v>
      </c>
      <c r="AB4" s="47" t="s">
        <v>144</v>
      </c>
      <c r="AC4" s="47" t="s">
        <v>54</v>
      </c>
      <c r="AD4" s="47" t="s">
        <v>145</v>
      </c>
      <c r="AE4" s="47" t="s">
        <v>56</v>
      </c>
      <c r="AF4" s="47"/>
      <c r="AG4" s="47"/>
      <c r="AH4" s="47"/>
      <c r="AI4" s="47"/>
      <c r="AJ4" s="47" t="s">
        <v>146</v>
      </c>
      <c r="AK4" s="47" t="s">
        <v>58</v>
      </c>
      <c r="AL4" s="47" t="s">
        <v>147</v>
      </c>
      <c r="AM4" s="47" t="s">
        <v>60</v>
      </c>
      <c r="AN4" s="47" t="s">
        <v>116</v>
      </c>
      <c r="AO4" s="47" t="s">
        <v>62</v>
      </c>
      <c r="AP4" s="47" t="s">
        <v>63</v>
      </c>
      <c r="AQ4" s="47">
        <v>9</v>
      </c>
      <c r="AR4" s="52">
        <v>45678.791666666664</v>
      </c>
      <c r="AS4" s="47" t="s">
        <v>143</v>
      </c>
      <c r="AT4">
        <v>33</v>
      </c>
      <c r="AU4" s="48">
        <v>45678</v>
      </c>
      <c r="AV4" s="51">
        <v>0.79166666666666663</v>
      </c>
      <c r="AW4" s="53">
        <v>45679</v>
      </c>
      <c r="AX4" s="54">
        <v>0.13125000000000001</v>
      </c>
      <c r="AY4" s="53">
        <v>45679</v>
      </c>
      <c r="AZ4" s="54">
        <v>0.13255787037037037</v>
      </c>
      <c r="BA4" t="s">
        <v>372</v>
      </c>
      <c r="BB4" t="s">
        <v>378</v>
      </c>
      <c r="BC4" t="s">
        <v>381</v>
      </c>
      <c r="BD4" s="16">
        <v>45678</v>
      </c>
      <c r="BE4" s="47" t="s">
        <v>252</v>
      </c>
      <c r="BF4"/>
      <c r="BG4"/>
      <c r="BH4"/>
      <c r="BI4"/>
    </row>
    <row r="5" spans="1:61" ht="15.6" x14ac:dyDescent="0.3">
      <c r="A5" s="47" t="s">
        <v>148</v>
      </c>
      <c r="B5" s="48">
        <v>45679</v>
      </c>
      <c r="C5" s="47">
        <v>2025</v>
      </c>
      <c r="D5" s="47" t="s">
        <v>64</v>
      </c>
      <c r="E5" s="49">
        <v>1</v>
      </c>
      <c r="F5" s="49">
        <v>4</v>
      </c>
      <c r="G5" s="49">
        <v>4</v>
      </c>
      <c r="H5" s="47" t="s">
        <v>124</v>
      </c>
      <c r="I5" s="50">
        <v>22</v>
      </c>
      <c r="J5" s="49">
        <v>22</v>
      </c>
      <c r="K5" s="51">
        <v>0.33333333333333331</v>
      </c>
      <c r="L5" s="35">
        <v>0.33333333333333331</v>
      </c>
      <c r="M5" t="s">
        <v>48</v>
      </c>
      <c r="N5" s="47" t="s">
        <v>48</v>
      </c>
      <c r="O5" s="47" t="s">
        <v>49</v>
      </c>
      <c r="P5" s="47" t="s">
        <v>49</v>
      </c>
      <c r="Q5" s="47" t="s">
        <v>48</v>
      </c>
      <c r="R5" t="s">
        <v>301</v>
      </c>
      <c r="S5" t="s">
        <v>262</v>
      </c>
      <c r="T5" s="47" t="s">
        <v>149</v>
      </c>
      <c r="U5" s="47" t="s">
        <v>150</v>
      </c>
      <c r="V5" s="47">
        <v>5</v>
      </c>
      <c r="W5" s="47" t="s">
        <v>151</v>
      </c>
      <c r="X5" s="47"/>
      <c r="Y5" s="47"/>
      <c r="Z5" t="s">
        <v>324</v>
      </c>
      <c r="AB5" s="47" t="s">
        <v>152</v>
      </c>
      <c r="AC5" s="47" t="s">
        <v>153</v>
      </c>
      <c r="AD5" s="47" t="s">
        <v>154</v>
      </c>
      <c r="AE5" s="47" t="s">
        <v>56</v>
      </c>
      <c r="AF5" s="47"/>
      <c r="AG5" s="47"/>
      <c r="AH5" s="47"/>
      <c r="AI5" s="47"/>
      <c r="AJ5" s="47" t="s">
        <v>114</v>
      </c>
      <c r="AK5" s="47" t="s">
        <v>58</v>
      </c>
      <c r="AL5" s="47" t="s">
        <v>147</v>
      </c>
      <c r="AM5" s="47" t="s">
        <v>60</v>
      </c>
      <c r="AN5" s="47" t="s">
        <v>155</v>
      </c>
      <c r="AO5" s="47" t="s">
        <v>62</v>
      </c>
      <c r="AP5" s="47" t="s">
        <v>63</v>
      </c>
      <c r="AQ5" s="47">
        <v>9</v>
      </c>
      <c r="AR5" s="52">
        <v>45679.333333333336</v>
      </c>
      <c r="AS5" s="47" t="s">
        <v>151</v>
      </c>
      <c r="AT5">
        <v>443</v>
      </c>
      <c r="AU5" s="48">
        <v>45679</v>
      </c>
      <c r="AV5" s="51">
        <v>0.33333333333333331</v>
      </c>
      <c r="AW5" s="53">
        <v>45679</v>
      </c>
      <c r="AX5" s="54">
        <v>0.80069444444444449</v>
      </c>
      <c r="AY5" s="53">
        <v>45679</v>
      </c>
      <c r="AZ5" s="54">
        <v>0.80203703703703699</v>
      </c>
      <c r="BA5" t="s">
        <v>372</v>
      </c>
      <c r="BB5" t="s">
        <v>374</v>
      </c>
      <c r="BC5" t="s">
        <v>381</v>
      </c>
      <c r="BD5" s="16">
        <v>45685</v>
      </c>
      <c r="BE5" s="47" t="s">
        <v>252</v>
      </c>
      <c r="BF5"/>
      <c r="BG5"/>
      <c r="BH5"/>
      <c r="BI5"/>
    </row>
    <row r="6" spans="1:61" ht="15.6" x14ac:dyDescent="0.3">
      <c r="A6" s="47" t="s">
        <v>189</v>
      </c>
      <c r="B6" s="48">
        <v>45685</v>
      </c>
      <c r="C6" s="47">
        <v>2025</v>
      </c>
      <c r="D6" s="47" t="s">
        <v>64</v>
      </c>
      <c r="E6" s="49">
        <v>1</v>
      </c>
      <c r="F6" s="49">
        <v>5</v>
      </c>
      <c r="G6" s="49">
        <v>5</v>
      </c>
      <c r="H6" s="47" t="s">
        <v>79</v>
      </c>
      <c r="I6" s="50">
        <v>28</v>
      </c>
      <c r="J6" s="49">
        <v>28</v>
      </c>
      <c r="K6" s="51">
        <v>0.625</v>
      </c>
      <c r="L6" s="35">
        <v>0.625</v>
      </c>
      <c r="M6" t="s">
        <v>48</v>
      </c>
      <c r="N6" s="47" t="s">
        <v>48</v>
      </c>
      <c r="O6" s="47" t="s">
        <v>172</v>
      </c>
      <c r="P6" s="47" t="s">
        <v>49</v>
      </c>
      <c r="Q6" s="47" t="s">
        <v>197</v>
      </c>
      <c r="R6" t="s">
        <v>302</v>
      </c>
      <c r="S6" t="s">
        <v>264</v>
      </c>
      <c r="T6" s="47" t="s">
        <v>190</v>
      </c>
      <c r="U6" s="47" t="s">
        <v>191</v>
      </c>
      <c r="V6" s="47">
        <v>6</v>
      </c>
      <c r="W6" s="47" t="s">
        <v>192</v>
      </c>
      <c r="X6" s="47"/>
      <c r="Y6" s="47"/>
      <c r="Z6" t="s">
        <v>325</v>
      </c>
      <c r="AB6" s="47" t="s">
        <v>193</v>
      </c>
      <c r="AC6" s="47" t="s">
        <v>194</v>
      </c>
      <c r="AD6" s="47" t="s">
        <v>195</v>
      </c>
      <c r="AE6" s="47" t="s">
        <v>56</v>
      </c>
      <c r="AF6" s="47"/>
      <c r="AG6" s="47"/>
      <c r="AH6" s="47"/>
      <c r="AI6" s="47"/>
      <c r="AJ6" s="47" t="s">
        <v>114</v>
      </c>
      <c r="AK6" s="47" t="s">
        <v>58</v>
      </c>
      <c r="AL6" s="47" t="s">
        <v>147</v>
      </c>
      <c r="AM6" s="47" t="s">
        <v>60</v>
      </c>
      <c r="AN6" s="47" t="s">
        <v>89</v>
      </c>
      <c r="AO6" s="47" t="s">
        <v>196</v>
      </c>
      <c r="AP6" s="47" t="s">
        <v>63</v>
      </c>
      <c r="AQ6" s="47">
        <v>9</v>
      </c>
      <c r="AR6" s="52">
        <v>45685.625</v>
      </c>
      <c r="AS6" s="47" t="s">
        <v>192</v>
      </c>
      <c r="AT6">
        <v>119</v>
      </c>
      <c r="AU6" s="48">
        <v>45685</v>
      </c>
      <c r="AV6" s="51">
        <v>0.625</v>
      </c>
      <c r="AW6" s="53">
        <v>45686</v>
      </c>
      <c r="AX6" s="54">
        <v>0.91736111111111107</v>
      </c>
      <c r="AY6" s="53">
        <v>45686</v>
      </c>
      <c r="AZ6" s="54">
        <v>0.91833333333333333</v>
      </c>
      <c r="BA6" t="s">
        <v>372</v>
      </c>
      <c r="BB6" t="s">
        <v>375</v>
      </c>
      <c r="BC6" t="s">
        <v>382</v>
      </c>
      <c r="BD6" s="16">
        <v>45685</v>
      </c>
      <c r="BE6" s="47" t="s">
        <v>252</v>
      </c>
      <c r="BF6"/>
      <c r="BG6"/>
      <c r="BH6"/>
      <c r="BI6"/>
    </row>
    <row r="7" spans="1:61" ht="15.6" x14ac:dyDescent="0.3">
      <c r="A7" s="47" t="s">
        <v>246</v>
      </c>
      <c r="B7" s="48">
        <v>45688</v>
      </c>
      <c r="C7" s="47">
        <v>2025</v>
      </c>
      <c r="D7" s="47" t="s">
        <v>64</v>
      </c>
      <c r="E7" s="49">
        <v>1</v>
      </c>
      <c r="F7" s="49">
        <v>5</v>
      </c>
      <c r="G7" s="49">
        <v>5</v>
      </c>
      <c r="H7" s="47" t="s">
        <v>65</v>
      </c>
      <c r="I7" s="50">
        <v>31</v>
      </c>
      <c r="J7" s="49">
        <v>31</v>
      </c>
      <c r="K7" s="51">
        <v>0.5</v>
      </c>
      <c r="L7" s="35">
        <v>0.5</v>
      </c>
      <c r="M7" t="s">
        <v>48</v>
      </c>
      <c r="N7" s="47" t="s">
        <v>48</v>
      </c>
      <c r="O7" s="47" t="s">
        <v>49</v>
      </c>
      <c r="P7" s="47" t="s">
        <v>49</v>
      </c>
      <c r="Q7" s="47" t="s">
        <v>48</v>
      </c>
      <c r="R7" t="s">
        <v>306</v>
      </c>
      <c r="S7" t="s">
        <v>268</v>
      </c>
      <c r="T7" s="47" t="s">
        <v>247</v>
      </c>
      <c r="U7" s="47" t="s">
        <v>150</v>
      </c>
      <c r="V7" s="47">
        <v>5</v>
      </c>
      <c r="W7" s="47" t="s">
        <v>248</v>
      </c>
      <c r="X7" s="47"/>
      <c r="Y7" s="47"/>
      <c r="Z7" t="s">
        <v>329</v>
      </c>
      <c r="AB7" s="47" t="s">
        <v>249</v>
      </c>
      <c r="AC7" s="47"/>
      <c r="AD7" s="47" t="s">
        <v>122</v>
      </c>
      <c r="AE7" s="47" t="s">
        <v>56</v>
      </c>
      <c r="AF7" s="47"/>
      <c r="AG7" s="47"/>
      <c r="AH7" s="47"/>
      <c r="AI7" s="47"/>
      <c r="AJ7" s="47" t="s">
        <v>114</v>
      </c>
      <c r="AK7" s="47" t="s">
        <v>58</v>
      </c>
      <c r="AL7" s="47" t="s">
        <v>250</v>
      </c>
      <c r="AM7" s="47" t="s">
        <v>60</v>
      </c>
      <c r="AN7" s="47" t="s">
        <v>187</v>
      </c>
      <c r="AO7" s="47" t="s">
        <v>102</v>
      </c>
      <c r="AP7" s="47" t="s">
        <v>63</v>
      </c>
      <c r="AQ7" s="47">
        <v>9</v>
      </c>
      <c r="AR7" s="52">
        <v>45688.5</v>
      </c>
      <c r="AS7" s="47" t="s">
        <v>248</v>
      </c>
      <c r="AT7">
        <v>535</v>
      </c>
      <c r="AU7" s="48">
        <v>45688</v>
      </c>
      <c r="AV7" s="51">
        <v>0.5</v>
      </c>
      <c r="AW7" s="53">
        <v>45695</v>
      </c>
      <c r="AX7" s="54">
        <v>0.54166666666666663</v>
      </c>
      <c r="AY7" s="53">
        <v>45696</v>
      </c>
      <c r="AZ7" s="54">
        <v>0.3903240740740741</v>
      </c>
      <c r="BA7" t="s">
        <v>372</v>
      </c>
      <c r="BB7" t="s">
        <v>375</v>
      </c>
      <c r="BC7" t="s">
        <v>382</v>
      </c>
      <c r="BD7" s="16">
        <v>45692</v>
      </c>
      <c r="BE7" s="47" t="s">
        <v>252</v>
      </c>
      <c r="BF7"/>
      <c r="BG7"/>
      <c r="BH7"/>
      <c r="BI7"/>
    </row>
    <row r="8" spans="1:61" ht="15.6" x14ac:dyDescent="0.3">
      <c r="A8" s="47" t="s">
        <v>203</v>
      </c>
      <c r="B8" s="48">
        <v>45689</v>
      </c>
      <c r="C8" s="47">
        <v>2025</v>
      </c>
      <c r="D8" s="47" t="s">
        <v>210</v>
      </c>
      <c r="E8" s="49">
        <v>1</v>
      </c>
      <c r="F8" s="49">
        <v>5</v>
      </c>
      <c r="G8" s="49">
        <v>1</v>
      </c>
      <c r="H8" s="47" t="s">
        <v>170</v>
      </c>
      <c r="I8" s="50">
        <v>32</v>
      </c>
      <c r="J8" s="49">
        <v>1</v>
      </c>
      <c r="K8" s="51">
        <v>4.1666666666666664E-2</v>
      </c>
      <c r="L8" s="35">
        <v>4.1666666666666664E-2</v>
      </c>
      <c r="M8" t="s">
        <v>48</v>
      </c>
      <c r="N8" s="47" t="s">
        <v>48</v>
      </c>
      <c r="O8" s="47" t="s">
        <v>49</v>
      </c>
      <c r="P8" s="47" t="s">
        <v>49</v>
      </c>
      <c r="Q8" s="47" t="s">
        <v>48</v>
      </c>
      <c r="R8" t="s">
        <v>303</v>
      </c>
      <c r="S8" t="s">
        <v>265</v>
      </c>
      <c r="T8" s="47" t="s">
        <v>204</v>
      </c>
      <c r="U8" s="47" t="s">
        <v>205</v>
      </c>
      <c r="V8" s="47">
        <v>6</v>
      </c>
      <c r="W8" s="47" t="s">
        <v>206</v>
      </c>
      <c r="X8" s="47"/>
      <c r="Y8" s="47"/>
      <c r="Z8" t="s">
        <v>326</v>
      </c>
      <c r="AB8" s="47" t="s">
        <v>207</v>
      </c>
      <c r="AC8" s="47" t="s">
        <v>208</v>
      </c>
      <c r="AD8" s="47" t="s">
        <v>209</v>
      </c>
      <c r="AE8" s="47" t="s">
        <v>56</v>
      </c>
      <c r="AF8" s="47"/>
      <c r="AG8" s="47"/>
      <c r="AH8" s="47"/>
      <c r="AI8" s="47"/>
      <c r="AJ8" s="47" t="s">
        <v>114</v>
      </c>
      <c r="AK8" s="47" t="s">
        <v>58</v>
      </c>
      <c r="AL8" s="47" t="s">
        <v>147</v>
      </c>
      <c r="AM8" s="47" t="s">
        <v>60</v>
      </c>
      <c r="AN8" s="47" t="s">
        <v>155</v>
      </c>
      <c r="AO8" s="47" t="s">
        <v>62</v>
      </c>
      <c r="AP8" s="47" t="s">
        <v>63</v>
      </c>
      <c r="AQ8" s="47">
        <v>9</v>
      </c>
      <c r="AR8" s="52">
        <v>45689.041666666664</v>
      </c>
      <c r="AS8" s="47" t="s">
        <v>206</v>
      </c>
      <c r="AT8">
        <v>453</v>
      </c>
      <c r="AU8" s="48">
        <v>45689</v>
      </c>
      <c r="AV8" s="51">
        <v>4.1666666666666664E-2</v>
      </c>
      <c r="AW8" s="53"/>
      <c r="AX8" s="54">
        <v>0.10416666666666667</v>
      </c>
      <c r="AY8" s="53">
        <v>45689</v>
      </c>
      <c r="AZ8" s="54">
        <v>0.11982638888888889</v>
      </c>
      <c r="BA8" t="s">
        <v>372</v>
      </c>
      <c r="BB8" t="s">
        <v>377</v>
      </c>
      <c r="BC8" t="s">
        <v>382</v>
      </c>
      <c r="BD8" s="16">
        <v>45692</v>
      </c>
      <c r="BE8" s="47" t="s">
        <v>252</v>
      </c>
      <c r="BF8"/>
      <c r="BG8"/>
      <c r="BH8"/>
      <c r="BI8"/>
    </row>
    <row r="9" spans="1:61" ht="15.6" x14ac:dyDescent="0.3">
      <c r="A9" s="47" t="s">
        <v>220</v>
      </c>
      <c r="B9" s="48">
        <v>45691</v>
      </c>
      <c r="C9" s="47">
        <v>2025</v>
      </c>
      <c r="D9" s="47" t="s">
        <v>210</v>
      </c>
      <c r="E9" s="49">
        <v>1</v>
      </c>
      <c r="F9" s="49">
        <v>6</v>
      </c>
      <c r="G9" s="49">
        <v>2</v>
      </c>
      <c r="H9" s="47" t="s">
        <v>91</v>
      </c>
      <c r="I9" s="50">
        <v>34</v>
      </c>
      <c r="J9" s="49">
        <v>3</v>
      </c>
      <c r="K9" s="51">
        <v>0.75</v>
      </c>
      <c r="L9" s="35">
        <v>0.77083333333333337</v>
      </c>
      <c r="M9" t="s">
        <v>48</v>
      </c>
      <c r="N9" s="47" t="s">
        <v>48</v>
      </c>
      <c r="O9" s="47" t="s">
        <v>49</v>
      </c>
      <c r="P9" s="47" t="s">
        <v>49</v>
      </c>
      <c r="Q9" s="47" t="s">
        <v>48</v>
      </c>
      <c r="R9" t="s">
        <v>305</v>
      </c>
      <c r="S9" t="s">
        <v>277</v>
      </c>
      <c r="T9" s="47" t="s">
        <v>221</v>
      </c>
      <c r="U9" s="47" t="s">
        <v>222</v>
      </c>
      <c r="V9" s="47">
        <v>8</v>
      </c>
      <c r="W9" s="47" t="s">
        <v>223</v>
      </c>
      <c r="X9" s="47"/>
      <c r="Y9" s="47"/>
      <c r="Z9" t="s">
        <v>327</v>
      </c>
      <c r="AB9" s="47" t="s">
        <v>224</v>
      </c>
      <c r="AC9" s="47" t="s">
        <v>225</v>
      </c>
      <c r="AD9" s="47" t="s">
        <v>226</v>
      </c>
      <c r="AE9" s="47" t="s">
        <v>227</v>
      </c>
      <c r="AF9" s="47"/>
      <c r="AG9" s="47"/>
      <c r="AH9" s="47"/>
      <c r="AI9" s="47"/>
      <c r="AJ9" s="47" t="s">
        <v>86</v>
      </c>
      <c r="AK9" s="47" t="s">
        <v>58</v>
      </c>
      <c r="AL9" s="47" t="s">
        <v>186</v>
      </c>
      <c r="AM9" s="47" t="s">
        <v>88</v>
      </c>
      <c r="AN9" s="47" t="s">
        <v>89</v>
      </c>
      <c r="AO9" s="47" t="s">
        <v>228</v>
      </c>
      <c r="AP9" s="47" t="s">
        <v>63</v>
      </c>
      <c r="AQ9" s="47">
        <v>9</v>
      </c>
      <c r="AR9" s="52">
        <v>45691.770833333336</v>
      </c>
      <c r="AS9" s="47" t="s">
        <v>223</v>
      </c>
      <c r="AT9">
        <v>55</v>
      </c>
      <c r="AU9" s="48">
        <v>45691</v>
      </c>
      <c r="AV9" s="51">
        <v>0.77083333333333337</v>
      </c>
      <c r="AW9" s="53">
        <v>45692</v>
      </c>
      <c r="AX9" s="54">
        <v>0.79166666666666663</v>
      </c>
      <c r="AY9" s="53">
        <v>45692</v>
      </c>
      <c r="AZ9" s="54">
        <v>0.53023148148148147</v>
      </c>
      <c r="BA9" t="s">
        <v>372</v>
      </c>
      <c r="BB9" t="s">
        <v>378</v>
      </c>
      <c r="BC9" t="s">
        <v>382</v>
      </c>
      <c r="BD9" s="16">
        <v>45692</v>
      </c>
      <c r="BE9" s="47" t="s">
        <v>252</v>
      </c>
      <c r="BF9"/>
      <c r="BG9"/>
      <c r="BH9"/>
      <c r="BI9"/>
    </row>
    <row r="10" spans="1:61" ht="15.6" x14ac:dyDescent="0.3">
      <c r="A10" s="47" t="s">
        <v>237</v>
      </c>
      <c r="B10" s="48">
        <v>45695</v>
      </c>
      <c r="C10" s="47">
        <v>2025</v>
      </c>
      <c r="D10" s="47" t="s">
        <v>210</v>
      </c>
      <c r="E10" s="49">
        <v>1</v>
      </c>
      <c r="F10" s="49">
        <v>6</v>
      </c>
      <c r="G10" s="49">
        <v>2</v>
      </c>
      <c r="H10" s="47" t="s">
        <v>65</v>
      </c>
      <c r="I10" s="50">
        <v>38</v>
      </c>
      <c r="J10" s="49">
        <v>7</v>
      </c>
      <c r="K10" s="51">
        <v>0.25</v>
      </c>
      <c r="L10" s="35">
        <v>0.27430555555555558</v>
      </c>
      <c r="M10" t="s">
        <v>48</v>
      </c>
      <c r="N10" s="47" t="s">
        <v>48</v>
      </c>
      <c r="O10" s="47" t="s">
        <v>49</v>
      </c>
      <c r="P10" s="47" t="s">
        <v>49</v>
      </c>
      <c r="Q10" s="47" t="s">
        <v>48</v>
      </c>
      <c r="R10" t="s">
        <v>304</v>
      </c>
      <c r="S10" t="s">
        <v>267</v>
      </c>
      <c r="T10" s="47" t="s">
        <v>238</v>
      </c>
      <c r="U10" s="47" t="s">
        <v>239</v>
      </c>
      <c r="V10" s="47">
        <v>5</v>
      </c>
      <c r="W10" s="47" t="s">
        <v>240</v>
      </c>
      <c r="X10" s="47"/>
      <c r="Y10" s="47"/>
      <c r="Z10" t="s">
        <v>328</v>
      </c>
      <c r="AB10" s="47" t="s">
        <v>241</v>
      </c>
      <c r="AC10" s="47" t="s">
        <v>242</v>
      </c>
      <c r="AD10" s="47" t="s">
        <v>243</v>
      </c>
      <c r="AE10" s="47" t="s">
        <v>56</v>
      </c>
      <c r="AF10" s="47"/>
      <c r="AG10" s="47"/>
      <c r="AH10" s="47"/>
      <c r="AI10" s="47"/>
      <c r="AJ10" s="47" t="s">
        <v>114</v>
      </c>
      <c r="AK10" s="47" t="s">
        <v>58</v>
      </c>
      <c r="AL10" s="47" t="s">
        <v>244</v>
      </c>
      <c r="AM10" s="47" t="s">
        <v>245</v>
      </c>
      <c r="AN10" s="47" t="s">
        <v>215</v>
      </c>
      <c r="AO10" s="47" t="s">
        <v>178</v>
      </c>
      <c r="AP10" s="47" t="s">
        <v>63</v>
      </c>
      <c r="AQ10" s="47">
        <v>9</v>
      </c>
      <c r="AR10" s="52">
        <v>45695.274305555555</v>
      </c>
      <c r="AS10" s="47" t="s">
        <v>240</v>
      </c>
      <c r="AT10">
        <v>170</v>
      </c>
      <c r="AU10" s="48">
        <v>45695</v>
      </c>
      <c r="AV10" s="51">
        <v>0.27430555555555558</v>
      </c>
      <c r="AW10" s="53">
        <v>45695</v>
      </c>
      <c r="AX10" s="54">
        <v>0.28472222222222221</v>
      </c>
      <c r="AY10" s="53">
        <v>45695</v>
      </c>
      <c r="AZ10" s="54">
        <v>0.30738425925925927</v>
      </c>
      <c r="BA10" t="s">
        <v>372</v>
      </c>
      <c r="BB10" t="s">
        <v>379</v>
      </c>
      <c r="BC10" t="s">
        <v>383</v>
      </c>
      <c r="BD10" s="16">
        <v>45699</v>
      </c>
      <c r="BE10" s="47" t="s">
        <v>252</v>
      </c>
      <c r="BF10"/>
      <c r="BG10"/>
      <c r="BH10"/>
      <c r="BI10"/>
    </row>
    <row r="11" spans="1:61" ht="15.6" x14ac:dyDescent="0.3">
      <c r="A11" s="47" t="s">
        <v>468</v>
      </c>
      <c r="B11" s="48">
        <v>45705</v>
      </c>
      <c r="C11" s="47">
        <v>2025</v>
      </c>
      <c r="D11" s="47" t="s">
        <v>210</v>
      </c>
      <c r="E11" s="49">
        <v>1</v>
      </c>
      <c r="F11" s="49">
        <v>8</v>
      </c>
      <c r="G11" s="49">
        <v>4</v>
      </c>
      <c r="H11" s="47" t="s">
        <v>91</v>
      </c>
      <c r="I11" s="50">
        <v>48</v>
      </c>
      <c r="J11" s="49">
        <v>17</v>
      </c>
      <c r="K11" s="51">
        <v>0.33333333333333331</v>
      </c>
      <c r="L11" s="35">
        <v>0.34877314814814814</v>
      </c>
      <c r="M11" t="s">
        <v>48</v>
      </c>
      <c r="N11" s="47" t="s">
        <v>48</v>
      </c>
      <c r="O11" s="47" t="s">
        <v>469</v>
      </c>
      <c r="P11" s="47" t="s">
        <v>49</v>
      </c>
      <c r="Q11" s="47" t="s">
        <v>470</v>
      </c>
      <c r="R11" t="s">
        <v>471</v>
      </c>
      <c r="S11" t="s">
        <v>472</v>
      </c>
      <c r="T11" s="47" t="s">
        <v>473</v>
      </c>
      <c r="U11" s="47" t="s">
        <v>71</v>
      </c>
      <c r="V11" s="47">
        <v>7</v>
      </c>
      <c r="W11" s="47" t="s">
        <v>474</v>
      </c>
      <c r="X11" s="47"/>
      <c r="Y11" s="47"/>
      <c r="Z11" t="s">
        <v>475</v>
      </c>
      <c r="AB11" s="47" t="s">
        <v>476</v>
      </c>
      <c r="AC11" s="47" t="s">
        <v>54</v>
      </c>
      <c r="AD11" s="47" t="s">
        <v>55</v>
      </c>
      <c r="AE11" s="47" t="s">
        <v>56</v>
      </c>
      <c r="AF11" s="47"/>
      <c r="AG11" s="47"/>
      <c r="AH11" s="47"/>
      <c r="AI11" s="47"/>
      <c r="AJ11" s="47" t="s">
        <v>86</v>
      </c>
      <c r="AK11" s="47" t="s">
        <v>58</v>
      </c>
      <c r="AL11" s="47" t="s">
        <v>87</v>
      </c>
      <c r="AM11" s="47" t="s">
        <v>88</v>
      </c>
      <c r="AN11" s="47" t="s">
        <v>155</v>
      </c>
      <c r="AO11" s="47" t="s">
        <v>62</v>
      </c>
      <c r="AP11" s="47"/>
      <c r="AQ11" s="47">
        <v>9</v>
      </c>
      <c r="AR11" s="52">
        <v>45705.348611111112</v>
      </c>
      <c r="AS11" s="47" t="s">
        <v>474</v>
      </c>
      <c r="AT11">
        <v>100</v>
      </c>
      <c r="AU11" s="48">
        <v>45705</v>
      </c>
      <c r="AV11" s="51">
        <v>0.34877314814814814</v>
      </c>
      <c r="AW11" s="53"/>
      <c r="AX11" s="54"/>
      <c r="AY11" s="53">
        <v>45705</v>
      </c>
      <c r="AZ11" s="54">
        <v>0.34877314814814814</v>
      </c>
      <c r="BA11" t="s">
        <v>372</v>
      </c>
      <c r="BB11" t="s">
        <v>374</v>
      </c>
      <c r="BC11" t="s">
        <v>385</v>
      </c>
      <c r="BD11" s="16">
        <v>45706</v>
      </c>
      <c r="BE11" s="47" t="s">
        <v>252</v>
      </c>
    </row>
    <row r="12" spans="1:61" ht="15.6" x14ac:dyDescent="0.3">
      <c r="A12" s="47" t="s">
        <v>460</v>
      </c>
      <c r="B12" s="48">
        <v>45705</v>
      </c>
      <c r="C12" s="47">
        <v>2025</v>
      </c>
      <c r="D12" s="47" t="s">
        <v>210</v>
      </c>
      <c r="E12" s="49">
        <v>1</v>
      </c>
      <c r="F12" s="49">
        <v>8</v>
      </c>
      <c r="G12" s="49">
        <v>4</v>
      </c>
      <c r="H12" s="47" t="s">
        <v>91</v>
      </c>
      <c r="I12" s="50">
        <v>48</v>
      </c>
      <c r="J12" s="49">
        <v>17</v>
      </c>
      <c r="K12" s="51">
        <v>0.375</v>
      </c>
      <c r="L12" s="35">
        <v>0.39716435185185184</v>
      </c>
      <c r="M12" t="s">
        <v>48</v>
      </c>
      <c r="N12" s="47" t="s">
        <v>48</v>
      </c>
      <c r="O12" s="47" t="s">
        <v>49</v>
      </c>
      <c r="P12" s="47" t="s">
        <v>49</v>
      </c>
      <c r="Q12" s="47" t="s">
        <v>48</v>
      </c>
      <c r="R12" t="s">
        <v>291</v>
      </c>
      <c r="S12" t="s">
        <v>461</v>
      </c>
      <c r="T12" s="47" t="s">
        <v>462</v>
      </c>
      <c r="U12" s="47" t="s">
        <v>463</v>
      </c>
      <c r="V12" s="47">
        <v>7</v>
      </c>
      <c r="W12" s="47" t="s">
        <v>464</v>
      </c>
      <c r="X12" s="47"/>
      <c r="Y12" s="47"/>
      <c r="Z12" t="s">
        <v>465</v>
      </c>
      <c r="AB12" s="47" t="s">
        <v>466</v>
      </c>
      <c r="AC12" s="47" t="s">
        <v>54</v>
      </c>
      <c r="AD12" s="47" t="s">
        <v>55</v>
      </c>
      <c r="AE12" s="47" t="s">
        <v>56</v>
      </c>
      <c r="AF12" s="47"/>
      <c r="AG12" s="47"/>
      <c r="AH12" s="47"/>
      <c r="AI12" s="47"/>
      <c r="AJ12" s="47" t="s">
        <v>86</v>
      </c>
      <c r="AK12" s="47" t="s">
        <v>58</v>
      </c>
      <c r="AL12" s="47" t="s">
        <v>467</v>
      </c>
      <c r="AM12" s="47" t="s">
        <v>88</v>
      </c>
      <c r="AN12" s="47" t="s">
        <v>155</v>
      </c>
      <c r="AO12" s="47" t="s">
        <v>102</v>
      </c>
      <c r="AP12" s="47"/>
      <c r="AQ12" s="47">
        <v>9</v>
      </c>
      <c r="AR12" s="52">
        <v>45705.396527777775</v>
      </c>
      <c r="AS12" s="47" t="s">
        <v>464</v>
      </c>
      <c r="AT12">
        <v>30</v>
      </c>
      <c r="AU12" s="48">
        <v>45705</v>
      </c>
      <c r="AV12" s="51">
        <v>0.39716435185185184</v>
      </c>
      <c r="AW12" s="53"/>
      <c r="AX12" s="54"/>
      <c r="AY12" s="53">
        <v>45705</v>
      </c>
      <c r="AZ12" s="54">
        <v>0.39716435185185184</v>
      </c>
      <c r="BA12" t="s">
        <v>372</v>
      </c>
      <c r="BB12" t="s">
        <v>374</v>
      </c>
      <c r="BC12" t="s">
        <v>385</v>
      </c>
      <c r="BD12" s="16">
        <v>45706</v>
      </c>
      <c r="BE12" s="47" t="s">
        <v>252</v>
      </c>
    </row>
    <row r="23" spans="16:16" x14ac:dyDescent="0.3">
      <c r="P23" t="s">
        <v>482</v>
      </c>
    </row>
    <row r="24" spans="16:16" x14ac:dyDescent="0.3">
      <c r="P24" t="s">
        <v>483</v>
      </c>
    </row>
  </sheetData>
  <phoneticPr fontId="7"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C2CFA-9DB0-4F30-AACC-9CEB5A7EF954}">
  <sheetPr>
    <tabColor theme="3" tint="-0.249977111117893"/>
  </sheetPr>
  <dimension ref="A2:H21"/>
  <sheetViews>
    <sheetView topLeftCell="A33" workbookViewId="0">
      <selection activeCell="V47" sqref="V47"/>
    </sheetView>
  </sheetViews>
  <sheetFormatPr defaultColWidth="9.109375" defaultRowHeight="15.6" x14ac:dyDescent="0.3"/>
  <cols>
    <col min="1" max="1" width="13.5546875" style="70" bestFit="1" customWidth="1"/>
    <col min="2" max="2" width="22.33203125" style="70" bestFit="1" customWidth="1"/>
    <col min="3" max="3" width="9.109375" style="70"/>
    <col min="4" max="4" width="13.6640625" style="70" bestFit="1" customWidth="1"/>
    <col min="5" max="5" width="22.33203125" style="70" bestFit="1" customWidth="1"/>
    <col min="6" max="6" width="9.109375" style="70"/>
    <col min="7" max="7" width="13.6640625" style="70" bestFit="1" customWidth="1"/>
    <col min="8" max="8" width="22.33203125" style="70" bestFit="1" customWidth="1"/>
    <col min="9" max="16384" width="9.109375" style="70"/>
  </cols>
  <sheetData>
    <row r="2" spans="1:8" x14ac:dyDescent="0.3">
      <c r="A2" s="69" t="s">
        <v>33</v>
      </c>
      <c r="B2" s="70" t="s">
        <v>254</v>
      </c>
      <c r="D2" s="69" t="s">
        <v>33</v>
      </c>
      <c r="E2" s="70" t="s">
        <v>260</v>
      </c>
      <c r="G2" s="69" t="s">
        <v>33</v>
      </c>
      <c r="H2" s="73">
        <v>45705</v>
      </c>
    </row>
    <row r="4" spans="1:8" x14ac:dyDescent="0.3">
      <c r="A4" s="69" t="s">
        <v>255</v>
      </c>
      <c r="B4" s="70" t="s">
        <v>253</v>
      </c>
      <c r="D4" s="69" t="s">
        <v>255</v>
      </c>
      <c r="E4" s="70" t="s">
        <v>253</v>
      </c>
      <c r="G4" s="69" t="s">
        <v>255</v>
      </c>
      <c r="H4" s="70" t="s">
        <v>253</v>
      </c>
    </row>
    <row r="5" spans="1:8" x14ac:dyDescent="0.3">
      <c r="A5" s="71" t="s">
        <v>91</v>
      </c>
      <c r="D5" s="71" t="s">
        <v>91</v>
      </c>
      <c r="G5" s="71" t="s">
        <v>91</v>
      </c>
    </row>
    <row r="6" spans="1:8" x14ac:dyDescent="0.3">
      <c r="A6" s="72">
        <v>0.33333333333333331</v>
      </c>
      <c r="B6" s="70">
        <v>1</v>
      </c>
      <c r="D6" s="72">
        <v>0.33333333333333331</v>
      </c>
      <c r="E6" s="70">
        <v>1</v>
      </c>
      <c r="G6" s="72">
        <v>0.33333333333333331</v>
      </c>
      <c r="H6" s="70">
        <v>1</v>
      </c>
    </row>
    <row r="7" spans="1:8" x14ac:dyDescent="0.3">
      <c r="A7" s="72">
        <v>0.375</v>
      </c>
      <c r="B7" s="70">
        <v>1</v>
      </c>
      <c r="D7" s="72">
        <v>0.375</v>
      </c>
      <c r="E7" s="70">
        <v>1</v>
      </c>
      <c r="G7" s="72">
        <v>0.375</v>
      </c>
      <c r="H7" s="70">
        <v>1</v>
      </c>
    </row>
    <row r="8" spans="1:8" x14ac:dyDescent="0.3">
      <c r="A8" s="72">
        <v>0.75</v>
      </c>
      <c r="B8" s="70">
        <v>1</v>
      </c>
      <c r="D8" s="72">
        <v>0.75</v>
      </c>
      <c r="E8" s="70">
        <v>1</v>
      </c>
      <c r="G8" s="71" t="s">
        <v>256</v>
      </c>
      <c r="H8" s="70">
        <v>2</v>
      </c>
    </row>
    <row r="9" spans="1:8" x14ac:dyDescent="0.3">
      <c r="A9" s="71" t="s">
        <v>79</v>
      </c>
      <c r="D9" s="71" t="s">
        <v>79</v>
      </c>
      <c r="G9"/>
      <c r="H9"/>
    </row>
    <row r="10" spans="1:8" x14ac:dyDescent="0.3">
      <c r="A10" s="72">
        <v>0.625</v>
      </c>
      <c r="B10" s="70">
        <v>1</v>
      </c>
      <c r="D10" s="72">
        <v>0.625</v>
      </c>
      <c r="E10" s="70">
        <v>1</v>
      </c>
      <c r="G10"/>
      <c r="H10"/>
    </row>
    <row r="11" spans="1:8" x14ac:dyDescent="0.3">
      <c r="A11" s="72">
        <v>0.79166666666666663</v>
      </c>
      <c r="B11" s="70">
        <v>1</v>
      </c>
      <c r="D11" s="71" t="s">
        <v>65</v>
      </c>
      <c r="G11"/>
      <c r="H11"/>
    </row>
    <row r="12" spans="1:8" x14ac:dyDescent="0.3">
      <c r="A12" s="71" t="s">
        <v>124</v>
      </c>
      <c r="D12" s="72">
        <v>0.25</v>
      </c>
      <c r="E12" s="70">
        <v>1</v>
      </c>
      <c r="G12"/>
      <c r="H12"/>
    </row>
    <row r="13" spans="1:8" x14ac:dyDescent="0.3">
      <c r="A13" s="72">
        <v>0.33333333333333331</v>
      </c>
      <c r="B13" s="70">
        <v>1</v>
      </c>
      <c r="D13" s="72">
        <v>0.5</v>
      </c>
      <c r="E13" s="70">
        <v>1</v>
      </c>
      <c r="G13"/>
      <c r="H13"/>
    </row>
    <row r="14" spans="1:8" x14ac:dyDescent="0.3">
      <c r="A14" s="72">
        <v>0.5</v>
      </c>
      <c r="B14" s="70">
        <v>1</v>
      </c>
      <c r="D14" s="71" t="s">
        <v>170</v>
      </c>
      <c r="G14"/>
      <c r="H14"/>
    </row>
    <row r="15" spans="1:8" x14ac:dyDescent="0.3">
      <c r="A15" s="71" t="s">
        <v>65</v>
      </c>
      <c r="D15" s="72">
        <v>4.1666666666666664E-2</v>
      </c>
      <c r="E15" s="70">
        <v>1</v>
      </c>
      <c r="G15"/>
      <c r="H15"/>
    </row>
    <row r="16" spans="1:8" x14ac:dyDescent="0.3">
      <c r="A16" s="72">
        <v>0.25</v>
      </c>
      <c r="B16" s="70">
        <v>1</v>
      </c>
      <c r="D16" s="71" t="s">
        <v>256</v>
      </c>
      <c r="E16" s="70">
        <v>7</v>
      </c>
      <c r="G16"/>
      <c r="H16"/>
    </row>
    <row r="17" spans="1:8" x14ac:dyDescent="0.3">
      <c r="A17" s="72">
        <v>0.5</v>
      </c>
      <c r="B17" s="70">
        <v>1</v>
      </c>
      <c r="D17"/>
      <c r="E17"/>
      <c r="G17"/>
      <c r="H17"/>
    </row>
    <row r="18" spans="1:8" x14ac:dyDescent="0.3">
      <c r="A18" s="72">
        <v>0.875</v>
      </c>
      <c r="B18" s="70">
        <v>1</v>
      </c>
      <c r="D18"/>
      <c r="E18"/>
      <c r="G18"/>
      <c r="H18"/>
    </row>
    <row r="19" spans="1:8" x14ac:dyDescent="0.3">
      <c r="A19" s="71" t="s">
        <v>170</v>
      </c>
      <c r="D19"/>
      <c r="E19"/>
      <c r="G19"/>
      <c r="H19"/>
    </row>
    <row r="20" spans="1:8" x14ac:dyDescent="0.3">
      <c r="A20" s="72">
        <v>4.1666666666666664E-2</v>
      </c>
      <c r="B20" s="70">
        <v>1</v>
      </c>
      <c r="D20"/>
      <c r="E20"/>
      <c r="G20"/>
      <c r="H20"/>
    </row>
    <row r="21" spans="1:8" x14ac:dyDescent="0.3">
      <c r="A21" s="71" t="s">
        <v>256</v>
      </c>
      <c r="B21" s="70">
        <v>11</v>
      </c>
      <c r="D21"/>
      <c r="E21"/>
      <c r="G21"/>
      <c r="H21"/>
    </row>
  </sheetData>
  <pageMargins left="0.7" right="0.7" top="0.75" bottom="0.75" header="0.3" footer="0.3"/>
  <pageSetup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755C3-093D-45F1-B47E-096201B49E8E}">
  <sheetPr codeName="Sheet4">
    <tabColor theme="4"/>
  </sheetPr>
  <dimension ref="A1:BE6"/>
  <sheetViews>
    <sheetView workbookViewId="0">
      <selection activeCell="D5" sqref="D5"/>
    </sheetView>
  </sheetViews>
  <sheetFormatPr defaultRowHeight="14.4" x14ac:dyDescent="0.3"/>
  <cols>
    <col min="1" max="1" width="20.88671875" bestFit="1" customWidth="1"/>
    <col min="2" max="2" width="15.44140625" bestFit="1" customWidth="1"/>
    <col min="3" max="3" width="9.109375" bestFit="1" customWidth="1"/>
    <col min="4" max="4" width="19.88671875" bestFit="1" customWidth="1"/>
    <col min="5" max="5" width="13.109375" bestFit="1" customWidth="1"/>
    <col min="6" max="6" width="20.109375" bestFit="1" customWidth="1"/>
    <col min="7" max="7" width="22.5546875" bestFit="1" customWidth="1"/>
    <col min="8" max="8" width="16.33203125" bestFit="1" customWidth="1"/>
    <col min="9" max="9" width="17.44140625" bestFit="1" customWidth="1"/>
    <col min="10" max="10" width="8.109375" bestFit="1" customWidth="1"/>
    <col min="11" max="11" width="19.44140625" bestFit="1" customWidth="1"/>
    <col min="12" max="12" width="15.88671875" bestFit="1" customWidth="1"/>
    <col min="13" max="13" width="18.109375" bestFit="1" customWidth="1"/>
    <col min="14" max="14" width="23.33203125" bestFit="1" customWidth="1"/>
    <col min="15" max="15" width="25.109375" bestFit="1" customWidth="1"/>
    <col min="16" max="16" width="23.33203125" bestFit="1" customWidth="1"/>
    <col min="17" max="17" width="55" bestFit="1" customWidth="1"/>
    <col min="18" max="18" width="24.5546875" bestFit="1" customWidth="1"/>
    <col min="19" max="19" width="22.33203125" bestFit="1" customWidth="1"/>
    <col min="20" max="20" width="51.33203125" bestFit="1" customWidth="1"/>
    <col min="21" max="21" width="8.88671875" bestFit="1" customWidth="1"/>
    <col min="22" max="22" width="9.6640625" bestFit="1" customWidth="1"/>
    <col min="23" max="23" width="81.109375" bestFit="1" customWidth="1"/>
    <col min="24" max="24" width="26.6640625" bestFit="1" customWidth="1"/>
    <col min="25" max="25" width="28.88671875" bestFit="1" customWidth="1"/>
    <col min="26" max="26" width="21" bestFit="1" customWidth="1"/>
    <col min="27" max="27" width="11.44140625" bestFit="1" customWidth="1"/>
    <col min="28" max="28" width="21" bestFit="1" customWidth="1"/>
    <col min="29" max="29" width="11.6640625" bestFit="1" customWidth="1"/>
    <col min="30" max="30" width="12.88671875" bestFit="1" customWidth="1"/>
    <col min="31" max="31" width="17.5546875" bestFit="1" customWidth="1"/>
    <col min="32" max="32" width="21" bestFit="1" customWidth="1"/>
    <col min="33" max="33" width="17.5546875" bestFit="1" customWidth="1"/>
    <col min="34" max="34" width="11.6640625" bestFit="1" customWidth="1"/>
    <col min="35" max="35" width="12.88671875" bestFit="1" customWidth="1"/>
    <col min="36" max="36" width="19.33203125" bestFit="1" customWidth="1"/>
    <col min="37" max="37" width="21.88671875" bestFit="1" customWidth="1"/>
    <col min="38" max="38" width="32.44140625" bestFit="1" customWidth="1"/>
    <col min="39" max="39" width="11.33203125" bestFit="1" customWidth="1"/>
    <col min="40" max="40" width="28" bestFit="1" customWidth="1"/>
    <col min="41" max="41" width="31.88671875" bestFit="1" customWidth="1"/>
    <col min="42" max="42" width="29.5546875" bestFit="1" customWidth="1"/>
    <col min="43" max="43" width="19.109375" bestFit="1" customWidth="1"/>
    <col min="44" max="44" width="29.33203125" bestFit="1" customWidth="1"/>
    <col min="45" max="45" width="81.109375" bestFit="1" customWidth="1"/>
    <col min="46" max="46" width="22.6640625" bestFit="1" customWidth="1"/>
    <col min="47" max="47" width="20.5546875" bestFit="1" customWidth="1"/>
    <col min="48" max="48" width="20.88671875" bestFit="1" customWidth="1"/>
    <col min="49" max="49" width="33.33203125" bestFit="1" customWidth="1"/>
    <col min="50" max="50" width="33.5546875" bestFit="1" customWidth="1"/>
    <col min="51" max="51" width="18.5546875" bestFit="1" customWidth="1"/>
    <col min="52" max="52" width="18.88671875" bestFit="1" customWidth="1"/>
    <col min="53" max="53" width="10.44140625" bestFit="1" customWidth="1"/>
    <col min="54" max="54" width="27.5546875" bestFit="1" customWidth="1"/>
    <col min="55" max="55" width="8.5546875" bestFit="1" customWidth="1"/>
    <col min="56" max="56" width="12.5546875" style="16" bestFit="1" customWidth="1"/>
    <col min="57" max="57" width="10.109375" bestFit="1" customWidth="1"/>
    <col min="58" max="58" width="11.6640625" bestFit="1" customWidth="1"/>
    <col min="59" max="59" width="25.6640625" bestFit="1" customWidth="1"/>
    <col min="60" max="60" width="9.88671875" customWidth="1"/>
    <col min="61" max="61" width="13.6640625" bestFit="1" customWidth="1"/>
    <col min="62" max="62" width="7.6640625" bestFit="1" customWidth="1"/>
  </cols>
  <sheetData>
    <row r="1" spans="1:57" ht="18" x14ac:dyDescent="0.35">
      <c r="A1" s="10" t="s">
        <v>0</v>
      </c>
      <c r="B1" s="11" t="s">
        <v>33</v>
      </c>
      <c r="C1" s="10" t="s">
        <v>34</v>
      </c>
      <c r="D1" s="10" t="s">
        <v>35</v>
      </c>
      <c r="E1" s="12" t="s">
        <v>36</v>
      </c>
      <c r="F1" s="12" t="s">
        <v>37</v>
      </c>
      <c r="G1" s="12" t="s">
        <v>38</v>
      </c>
      <c r="H1" s="10" t="s">
        <v>39</v>
      </c>
      <c r="I1" s="13" t="s">
        <v>40</v>
      </c>
      <c r="J1" s="12" t="s">
        <v>41</v>
      </c>
      <c r="K1" s="14" t="s">
        <v>43</v>
      </c>
      <c r="L1" s="14" t="s">
        <v>42</v>
      </c>
      <c r="M1" t="s">
        <v>308</v>
      </c>
      <c r="N1" s="10" t="s">
        <v>7</v>
      </c>
      <c r="O1" s="10" t="s">
        <v>8</v>
      </c>
      <c r="P1" s="10" t="s">
        <v>9</v>
      </c>
      <c r="Q1" s="10" t="s">
        <v>32</v>
      </c>
      <c r="R1" t="s">
        <v>286</v>
      </c>
      <c r="S1" t="s">
        <v>261</v>
      </c>
      <c r="T1" s="10" t="s">
        <v>10</v>
      </c>
      <c r="U1" s="10" t="s">
        <v>11</v>
      </c>
      <c r="V1" s="10" t="s">
        <v>12</v>
      </c>
      <c r="W1" s="10" t="s">
        <v>13</v>
      </c>
      <c r="X1" s="10" t="s">
        <v>14</v>
      </c>
      <c r="Y1" s="10" t="s">
        <v>15</v>
      </c>
      <c r="Z1" t="s">
        <v>314</v>
      </c>
      <c r="AA1" t="s">
        <v>315</v>
      </c>
      <c r="AB1" s="10" t="s">
        <v>16</v>
      </c>
      <c r="AC1" s="10" t="s">
        <v>17</v>
      </c>
      <c r="AD1" s="10" t="s">
        <v>18</v>
      </c>
      <c r="AE1" s="10" t="s">
        <v>19</v>
      </c>
      <c r="AF1" s="10" t="s">
        <v>20</v>
      </c>
      <c r="AG1" s="10" t="s">
        <v>21</v>
      </c>
      <c r="AH1" s="10" t="s">
        <v>22</v>
      </c>
      <c r="AI1" s="10" t="s">
        <v>23</v>
      </c>
      <c r="AJ1" s="10" t="s">
        <v>24</v>
      </c>
      <c r="AK1" s="10" t="s">
        <v>25</v>
      </c>
      <c r="AL1" s="10" t="s">
        <v>26</v>
      </c>
      <c r="AM1" s="10" t="s">
        <v>27</v>
      </c>
      <c r="AN1" s="10" t="s">
        <v>28</v>
      </c>
      <c r="AO1" s="10" t="s">
        <v>29</v>
      </c>
      <c r="AP1" s="10" t="s">
        <v>30</v>
      </c>
      <c r="AQ1" s="10" t="s">
        <v>31</v>
      </c>
      <c r="AR1" s="15" t="s">
        <v>44</v>
      </c>
      <c r="AS1" s="10" t="s">
        <v>45</v>
      </c>
      <c r="AT1" t="s">
        <v>285</v>
      </c>
      <c r="AU1" s="11" t="s">
        <v>1</v>
      </c>
      <c r="AV1" s="14" t="s">
        <v>2</v>
      </c>
      <c r="AW1" s="10" t="s">
        <v>3</v>
      </c>
      <c r="AX1" s="10" t="s">
        <v>4</v>
      </c>
      <c r="AY1" s="10" t="s">
        <v>5</v>
      </c>
      <c r="AZ1" s="10" t="s">
        <v>6</v>
      </c>
      <c r="BA1" t="s">
        <v>371</v>
      </c>
      <c r="BB1" t="s">
        <v>373</v>
      </c>
      <c r="BC1" t="s">
        <v>309</v>
      </c>
      <c r="BD1" s="16" t="s">
        <v>459</v>
      </c>
      <c r="BE1" s="10" t="s">
        <v>251</v>
      </c>
    </row>
    <row r="2" spans="1:57" ht="15.6" x14ac:dyDescent="0.3">
      <c r="A2" s="28" t="s">
        <v>92</v>
      </c>
      <c r="B2" s="29">
        <v>45670</v>
      </c>
      <c r="C2" s="28">
        <v>2025</v>
      </c>
      <c r="D2" s="28" t="s">
        <v>64</v>
      </c>
      <c r="E2" s="30">
        <v>1</v>
      </c>
      <c r="F2" s="30">
        <v>3</v>
      </c>
      <c r="G2" s="30">
        <v>3</v>
      </c>
      <c r="H2" s="28" t="s">
        <v>91</v>
      </c>
      <c r="I2" s="31">
        <v>13</v>
      </c>
      <c r="J2" s="30">
        <v>13</v>
      </c>
      <c r="K2" s="32">
        <v>0.5</v>
      </c>
      <c r="L2" s="35">
        <v>0.50347222222222221</v>
      </c>
      <c r="M2" t="s">
        <v>95</v>
      </c>
      <c r="N2" s="28" t="s">
        <v>93</v>
      </c>
      <c r="O2" s="28" t="s">
        <v>94</v>
      </c>
      <c r="P2" s="28" t="s">
        <v>95</v>
      </c>
      <c r="Q2" s="28" t="s">
        <v>104</v>
      </c>
      <c r="R2" t="s">
        <v>296</v>
      </c>
      <c r="S2" t="s">
        <v>272</v>
      </c>
      <c r="T2" s="28" t="s">
        <v>96</v>
      </c>
      <c r="U2" s="28" t="s">
        <v>97</v>
      </c>
      <c r="V2" s="28">
        <v>8</v>
      </c>
      <c r="W2" s="28" t="s">
        <v>98</v>
      </c>
      <c r="X2" s="28"/>
      <c r="Y2" s="28"/>
      <c r="AB2" s="28"/>
      <c r="AC2" s="28"/>
      <c r="AD2" s="28"/>
      <c r="AE2" s="28"/>
      <c r="AF2" s="28"/>
      <c r="AG2" s="28"/>
      <c r="AH2" s="28"/>
      <c r="AI2" s="28"/>
      <c r="AJ2" s="28" t="s">
        <v>57</v>
      </c>
      <c r="AK2" s="28" t="s">
        <v>58</v>
      </c>
      <c r="AL2" s="28" t="s">
        <v>99</v>
      </c>
      <c r="AM2" s="28" t="s">
        <v>100</v>
      </c>
      <c r="AN2" s="28" t="s">
        <v>101</v>
      </c>
      <c r="AO2" s="28" t="s">
        <v>102</v>
      </c>
      <c r="AP2" s="28" t="s">
        <v>103</v>
      </c>
      <c r="AQ2" s="28">
        <v>9</v>
      </c>
      <c r="AR2" s="33">
        <v>45670.503472222219</v>
      </c>
      <c r="AS2" s="28" t="s">
        <v>98</v>
      </c>
      <c r="AT2">
        <v>204</v>
      </c>
      <c r="AU2" s="29">
        <v>45670</v>
      </c>
      <c r="AV2" s="32">
        <v>0.50347222222222221</v>
      </c>
      <c r="AW2" s="34"/>
      <c r="AX2" s="35"/>
      <c r="AY2" s="34">
        <v>45670</v>
      </c>
      <c r="AZ2" s="35">
        <v>0.50537037037037036</v>
      </c>
      <c r="BA2" t="s">
        <v>372</v>
      </c>
      <c r="BB2" t="s">
        <v>375</v>
      </c>
      <c r="BC2" t="s">
        <v>386</v>
      </c>
      <c r="BD2" s="16">
        <v>45671</v>
      </c>
      <c r="BE2" s="28" t="s">
        <v>252</v>
      </c>
    </row>
    <row r="3" spans="1:57" ht="15.6" x14ac:dyDescent="0.3">
      <c r="A3" s="28" t="s">
        <v>105</v>
      </c>
      <c r="B3" s="29">
        <v>45671</v>
      </c>
      <c r="C3" s="28">
        <v>2025</v>
      </c>
      <c r="D3" s="28" t="s">
        <v>64</v>
      </c>
      <c r="E3" s="30">
        <v>1</v>
      </c>
      <c r="F3" s="30">
        <v>3</v>
      </c>
      <c r="G3" s="30">
        <v>3</v>
      </c>
      <c r="H3" s="28" t="s">
        <v>79</v>
      </c>
      <c r="I3" s="31">
        <v>14</v>
      </c>
      <c r="J3" s="30">
        <v>14</v>
      </c>
      <c r="K3" s="32">
        <v>0.625</v>
      </c>
      <c r="L3" s="35">
        <v>0.64067129629629627</v>
      </c>
      <c r="M3" t="s">
        <v>95</v>
      </c>
      <c r="N3" s="28" t="s">
        <v>95</v>
      </c>
      <c r="O3" s="28" t="s">
        <v>106</v>
      </c>
      <c r="P3" s="28" t="s">
        <v>107</v>
      </c>
      <c r="Q3" s="28" t="s">
        <v>117</v>
      </c>
      <c r="R3" t="s">
        <v>297</v>
      </c>
      <c r="S3" t="s">
        <v>280</v>
      </c>
      <c r="T3" s="28" t="s">
        <v>108</v>
      </c>
      <c r="U3" s="28" t="s">
        <v>109</v>
      </c>
      <c r="V3" s="28">
        <v>9</v>
      </c>
      <c r="W3" s="28" t="s">
        <v>110</v>
      </c>
      <c r="X3" s="28"/>
      <c r="Y3" s="28"/>
      <c r="Z3" t="s">
        <v>330</v>
      </c>
      <c r="AB3" s="28" t="s">
        <v>111</v>
      </c>
      <c r="AC3" s="28" t="s">
        <v>112</v>
      </c>
      <c r="AD3" s="28" t="s">
        <v>113</v>
      </c>
      <c r="AE3" s="28" t="s">
        <v>56</v>
      </c>
      <c r="AF3" s="28"/>
      <c r="AG3" s="28"/>
      <c r="AH3" s="28"/>
      <c r="AI3" s="28"/>
      <c r="AJ3" s="28" t="s">
        <v>114</v>
      </c>
      <c r="AK3" s="28" t="s">
        <v>58</v>
      </c>
      <c r="AL3" s="28" t="s">
        <v>59</v>
      </c>
      <c r="AM3" s="28" t="s">
        <v>115</v>
      </c>
      <c r="AN3" s="28" t="s">
        <v>116</v>
      </c>
      <c r="AO3" s="28" t="s">
        <v>102</v>
      </c>
      <c r="AP3" s="28" t="s">
        <v>103</v>
      </c>
      <c r="AQ3" s="28">
        <v>9</v>
      </c>
      <c r="AR3" s="33">
        <v>45671.640277777777</v>
      </c>
      <c r="AS3" s="28" t="s">
        <v>110</v>
      </c>
      <c r="AT3">
        <v>450</v>
      </c>
      <c r="AU3" s="29">
        <v>45671</v>
      </c>
      <c r="AV3" s="32">
        <v>0.64067129629629627</v>
      </c>
      <c r="AW3" s="34"/>
      <c r="AX3" s="35"/>
      <c r="AY3" s="34">
        <v>45671</v>
      </c>
      <c r="AZ3" s="35">
        <v>0.64067129629629627</v>
      </c>
      <c r="BA3" t="s">
        <v>372</v>
      </c>
      <c r="BB3" t="s">
        <v>375</v>
      </c>
      <c r="BC3" t="s">
        <v>380</v>
      </c>
      <c r="BD3" s="16">
        <v>45671</v>
      </c>
      <c r="BE3" s="28" t="s">
        <v>252</v>
      </c>
    </row>
    <row r="4" spans="1:57" ht="15.6" x14ac:dyDescent="0.3">
      <c r="A4" s="28" t="s">
        <v>132</v>
      </c>
      <c r="B4" s="29">
        <v>45673</v>
      </c>
      <c r="C4" s="28">
        <v>2025</v>
      </c>
      <c r="D4" s="28" t="s">
        <v>64</v>
      </c>
      <c r="E4" s="30">
        <v>1</v>
      </c>
      <c r="F4" s="30">
        <v>3</v>
      </c>
      <c r="G4" s="30">
        <v>3</v>
      </c>
      <c r="H4" s="28" t="s">
        <v>131</v>
      </c>
      <c r="I4" s="31">
        <v>16</v>
      </c>
      <c r="J4" s="30">
        <v>16</v>
      </c>
      <c r="K4" s="32">
        <v>0.875</v>
      </c>
      <c r="L4" s="35">
        <v>0.87708333333333333</v>
      </c>
      <c r="M4" t="s">
        <v>95</v>
      </c>
      <c r="N4" s="28" t="s">
        <v>95</v>
      </c>
      <c r="O4" s="28" t="s">
        <v>49</v>
      </c>
      <c r="P4" s="28" t="s">
        <v>49</v>
      </c>
      <c r="Q4" s="28" t="s">
        <v>95</v>
      </c>
      <c r="R4" t="s">
        <v>299</v>
      </c>
      <c r="S4" t="s">
        <v>281</v>
      </c>
      <c r="T4" s="28" t="s">
        <v>133</v>
      </c>
      <c r="U4" s="28" t="s">
        <v>134</v>
      </c>
      <c r="V4" s="28">
        <v>9</v>
      </c>
      <c r="W4" s="28" t="s">
        <v>135</v>
      </c>
      <c r="X4" s="28"/>
      <c r="Y4" s="28"/>
      <c r="Z4" t="s">
        <v>331</v>
      </c>
      <c r="AB4" s="28"/>
      <c r="AC4" s="28" t="s">
        <v>136</v>
      </c>
      <c r="AD4" s="28" t="s">
        <v>137</v>
      </c>
      <c r="AE4" s="28"/>
      <c r="AF4" s="28"/>
      <c r="AG4" s="28"/>
      <c r="AH4" s="28"/>
      <c r="AI4" s="28"/>
      <c r="AJ4" s="28" t="s">
        <v>86</v>
      </c>
      <c r="AK4" s="28" t="s">
        <v>58</v>
      </c>
      <c r="AL4" s="28" t="s">
        <v>138</v>
      </c>
      <c r="AM4" s="28" t="s">
        <v>139</v>
      </c>
      <c r="AN4" s="28" t="s">
        <v>140</v>
      </c>
      <c r="AO4" s="28" t="s">
        <v>102</v>
      </c>
      <c r="AP4" s="28" t="s">
        <v>103</v>
      </c>
      <c r="AQ4" s="28">
        <v>9</v>
      </c>
      <c r="AR4" s="33">
        <v>45673.877083333333</v>
      </c>
      <c r="AS4" s="28" t="s">
        <v>135</v>
      </c>
      <c r="AT4">
        <v>630</v>
      </c>
      <c r="AU4" s="29">
        <v>45673</v>
      </c>
      <c r="AV4" s="32">
        <v>0.87708333333333333</v>
      </c>
      <c r="AW4" s="34">
        <v>45673</v>
      </c>
      <c r="AX4" s="35">
        <v>0.88611111111111107</v>
      </c>
      <c r="AY4" s="34">
        <v>45674</v>
      </c>
      <c r="AZ4" s="35">
        <v>0.51179398148148147</v>
      </c>
      <c r="BA4" t="s">
        <v>372</v>
      </c>
      <c r="BB4" t="s">
        <v>376</v>
      </c>
      <c r="BC4" t="s">
        <v>380</v>
      </c>
      <c r="BD4" s="16">
        <v>45678</v>
      </c>
      <c r="BE4" s="28" t="s">
        <v>252</v>
      </c>
    </row>
    <row r="5" spans="1:57" ht="15.6" x14ac:dyDescent="0.3">
      <c r="A5" s="28" t="s">
        <v>211</v>
      </c>
      <c r="B5" s="29">
        <v>45690</v>
      </c>
      <c r="C5" s="28">
        <v>2025</v>
      </c>
      <c r="D5" s="28" t="s">
        <v>210</v>
      </c>
      <c r="E5" s="30">
        <v>1</v>
      </c>
      <c r="F5" s="30">
        <v>6</v>
      </c>
      <c r="G5" s="30">
        <v>2</v>
      </c>
      <c r="H5" s="28" t="s">
        <v>188</v>
      </c>
      <c r="I5" s="31">
        <v>33</v>
      </c>
      <c r="J5" s="30">
        <v>2</v>
      </c>
      <c r="K5" s="32">
        <v>0.70833333333333337</v>
      </c>
      <c r="L5" s="35">
        <v>0.72569444444444442</v>
      </c>
      <c r="M5" t="s">
        <v>95</v>
      </c>
      <c r="N5" s="28" t="s">
        <v>212</v>
      </c>
      <c r="O5" s="28" t="s">
        <v>95</v>
      </c>
      <c r="P5" s="28" t="s">
        <v>49</v>
      </c>
      <c r="Q5" s="28" t="s">
        <v>216</v>
      </c>
      <c r="R5" t="s">
        <v>304</v>
      </c>
      <c r="S5" t="s">
        <v>266</v>
      </c>
      <c r="T5" s="28" t="s">
        <v>213</v>
      </c>
      <c r="U5" s="28" t="s">
        <v>166</v>
      </c>
      <c r="V5" s="28">
        <v>5</v>
      </c>
      <c r="W5" s="28" t="s">
        <v>214</v>
      </c>
      <c r="X5" s="28"/>
      <c r="Y5" s="28"/>
      <c r="AB5" s="28"/>
      <c r="AC5" s="28"/>
      <c r="AD5" s="28"/>
      <c r="AE5" s="28"/>
      <c r="AF5" s="28"/>
      <c r="AG5" s="28"/>
      <c r="AH5" s="28"/>
      <c r="AI5" s="28"/>
      <c r="AJ5" s="28" t="s">
        <v>86</v>
      </c>
      <c r="AK5" s="28" t="s">
        <v>58</v>
      </c>
      <c r="AL5" s="28" t="s">
        <v>186</v>
      </c>
      <c r="AM5" s="28" t="s">
        <v>88</v>
      </c>
      <c r="AN5" s="28" t="s">
        <v>215</v>
      </c>
      <c r="AO5" s="28" t="s">
        <v>178</v>
      </c>
      <c r="AP5" s="28"/>
      <c r="AQ5" s="28">
        <v>9</v>
      </c>
      <c r="AR5" s="33">
        <v>45690.725694444445</v>
      </c>
      <c r="AS5" s="28" t="s">
        <v>214</v>
      </c>
      <c r="AT5">
        <v>144</v>
      </c>
      <c r="AU5" s="29">
        <v>45690</v>
      </c>
      <c r="AV5" s="32">
        <v>0.72569444444444442</v>
      </c>
      <c r="AW5" s="34">
        <v>45690</v>
      </c>
      <c r="AX5" s="35">
        <v>0.75</v>
      </c>
      <c r="AY5" s="34">
        <v>45691</v>
      </c>
      <c r="AZ5" s="35">
        <v>0.50143518518518515</v>
      </c>
      <c r="BA5" t="s">
        <v>372</v>
      </c>
      <c r="BB5" t="s">
        <v>378</v>
      </c>
      <c r="BC5" t="s">
        <v>382</v>
      </c>
      <c r="BD5" s="16">
        <v>45692</v>
      </c>
      <c r="BE5" s="28" t="s">
        <v>252</v>
      </c>
    </row>
    <row r="6" spans="1:57" ht="15.6" x14ac:dyDescent="0.3">
      <c r="A6" s="28" t="s">
        <v>217</v>
      </c>
      <c r="B6" s="29">
        <v>45691</v>
      </c>
      <c r="C6" s="28">
        <v>2025</v>
      </c>
      <c r="D6" s="28" t="s">
        <v>210</v>
      </c>
      <c r="E6" s="30">
        <v>1</v>
      </c>
      <c r="F6" s="30">
        <v>6</v>
      </c>
      <c r="G6" s="30">
        <v>2</v>
      </c>
      <c r="H6" s="28" t="s">
        <v>91</v>
      </c>
      <c r="I6" s="31">
        <v>34</v>
      </c>
      <c r="J6" s="30">
        <v>3</v>
      </c>
      <c r="K6" s="32">
        <v>0.66666666666666663</v>
      </c>
      <c r="L6" s="35">
        <v>0.694849537037037</v>
      </c>
      <c r="M6" t="s">
        <v>95</v>
      </c>
      <c r="N6" s="28" t="s">
        <v>95</v>
      </c>
      <c r="O6" s="28" t="s">
        <v>49</v>
      </c>
      <c r="P6" s="28" t="s">
        <v>49</v>
      </c>
      <c r="Q6" s="28" t="s">
        <v>95</v>
      </c>
      <c r="R6" t="s">
        <v>297</v>
      </c>
      <c r="S6" t="s">
        <v>284</v>
      </c>
      <c r="T6" s="28" t="s">
        <v>218</v>
      </c>
      <c r="U6" s="28" t="s">
        <v>109</v>
      </c>
      <c r="V6" s="28">
        <v>9</v>
      </c>
      <c r="W6" s="28" t="s">
        <v>219</v>
      </c>
      <c r="X6" s="28"/>
      <c r="Y6" s="28"/>
      <c r="AB6" s="28"/>
      <c r="AC6" s="28"/>
      <c r="AD6" s="28"/>
      <c r="AE6" s="28"/>
      <c r="AF6" s="28"/>
      <c r="AG6" s="28"/>
      <c r="AH6" s="28"/>
      <c r="AI6" s="28"/>
      <c r="AJ6" s="28" t="s">
        <v>168</v>
      </c>
      <c r="AK6" s="28" t="s">
        <v>58</v>
      </c>
      <c r="AL6" s="28" t="s">
        <v>129</v>
      </c>
      <c r="AM6" s="28" t="s">
        <v>88</v>
      </c>
      <c r="AN6" s="28" t="s">
        <v>187</v>
      </c>
      <c r="AO6" s="28" t="s">
        <v>62</v>
      </c>
      <c r="AP6" s="28" t="s">
        <v>103</v>
      </c>
      <c r="AQ6" s="28">
        <v>9</v>
      </c>
      <c r="AR6" s="33">
        <v>45691.694444444445</v>
      </c>
      <c r="AS6" s="28" t="s">
        <v>219</v>
      </c>
      <c r="AT6">
        <v>400</v>
      </c>
      <c r="AU6" s="29"/>
      <c r="AV6" s="32"/>
      <c r="AW6" s="34"/>
      <c r="AX6" s="35"/>
      <c r="AY6" s="34">
        <v>45691</v>
      </c>
      <c r="AZ6" s="35">
        <v>0.694849537037037</v>
      </c>
      <c r="BA6" t="s">
        <v>372</v>
      </c>
      <c r="BB6" t="s">
        <v>378</v>
      </c>
      <c r="BC6" t="s">
        <v>382</v>
      </c>
      <c r="BD6" s="16">
        <v>45692</v>
      </c>
      <c r="BE6" s="28" t="s">
        <v>252</v>
      </c>
    </row>
  </sheetData>
  <phoneticPr fontId="7" type="noConversion"/>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D8A07-17A2-4466-B15C-C3985B79602A}">
  <sheetPr>
    <tabColor theme="4"/>
  </sheetPr>
  <dimension ref="A2:H21"/>
  <sheetViews>
    <sheetView topLeftCell="A29" workbookViewId="0">
      <selection activeCell="K19" sqref="H19:K35"/>
    </sheetView>
  </sheetViews>
  <sheetFormatPr defaultColWidth="9.109375" defaultRowHeight="15.6" x14ac:dyDescent="0.3"/>
  <cols>
    <col min="1" max="1" width="11.5546875" style="70" bestFit="1" customWidth="1"/>
    <col min="2" max="2" width="22.33203125" style="70" bestFit="1" customWidth="1"/>
    <col min="3" max="3" width="9.109375" style="70"/>
    <col min="4" max="4" width="13.6640625" style="70" bestFit="1" customWidth="1"/>
    <col min="5" max="5" width="22.33203125" style="70" bestFit="1" customWidth="1"/>
    <col min="6" max="6" width="9.109375" style="70"/>
    <col min="7" max="7" width="13.6640625" style="70" bestFit="1" customWidth="1"/>
    <col min="8" max="8" width="22.33203125" style="70" bestFit="1" customWidth="1"/>
    <col min="9" max="16384" width="9.109375" style="70"/>
  </cols>
  <sheetData>
    <row r="2" spans="1:8" x14ac:dyDescent="0.3">
      <c r="A2" s="69" t="s">
        <v>33</v>
      </c>
      <c r="B2" s="70" t="s">
        <v>254</v>
      </c>
      <c r="D2" s="69" t="s">
        <v>33</v>
      </c>
      <c r="E2" s="70" t="s">
        <v>260</v>
      </c>
      <c r="G2" s="69" t="s">
        <v>33</v>
      </c>
      <c r="H2" s="70" t="s">
        <v>254</v>
      </c>
    </row>
    <row r="4" spans="1:8" x14ac:dyDescent="0.3">
      <c r="A4" s="69" t="s">
        <v>255</v>
      </c>
      <c r="B4" s="70" t="s">
        <v>253</v>
      </c>
      <c r="C4"/>
      <c r="D4" s="69" t="s">
        <v>255</v>
      </c>
      <c r="E4" s="70" t="s">
        <v>253</v>
      </c>
      <c r="G4" s="69" t="s">
        <v>255</v>
      </c>
      <c r="H4" s="70" t="s">
        <v>253</v>
      </c>
    </row>
    <row r="5" spans="1:8" x14ac:dyDescent="0.3">
      <c r="A5" s="71" t="s">
        <v>188</v>
      </c>
      <c r="C5"/>
      <c r="D5" s="71" t="s">
        <v>188</v>
      </c>
      <c r="G5" s="71" t="s">
        <v>188</v>
      </c>
    </row>
    <row r="6" spans="1:8" x14ac:dyDescent="0.3">
      <c r="A6" s="72">
        <v>0.70833333333333337</v>
      </c>
      <c r="B6" s="70">
        <v>1</v>
      </c>
      <c r="C6"/>
      <c r="D6" s="72">
        <v>0.70833333333333337</v>
      </c>
      <c r="E6" s="70">
        <v>1</v>
      </c>
      <c r="G6" s="72">
        <v>0.70833333333333337</v>
      </c>
      <c r="H6" s="70">
        <v>1</v>
      </c>
    </row>
    <row r="7" spans="1:8" x14ac:dyDescent="0.3">
      <c r="A7" s="71" t="s">
        <v>91</v>
      </c>
      <c r="C7"/>
      <c r="D7" s="71" t="s">
        <v>91</v>
      </c>
      <c r="G7" s="71" t="s">
        <v>91</v>
      </c>
    </row>
    <row r="8" spans="1:8" x14ac:dyDescent="0.3">
      <c r="A8" s="72">
        <v>0.5</v>
      </c>
      <c r="B8" s="70">
        <v>1</v>
      </c>
      <c r="C8"/>
      <c r="D8" s="72">
        <v>0.66666666666666663</v>
      </c>
      <c r="E8" s="70">
        <v>1</v>
      </c>
      <c r="G8" s="72">
        <v>0.5</v>
      </c>
      <c r="H8" s="70">
        <v>1</v>
      </c>
    </row>
    <row r="9" spans="1:8" x14ac:dyDescent="0.3">
      <c r="A9" s="72">
        <v>0.66666666666666663</v>
      </c>
      <c r="B9" s="70">
        <v>1</v>
      </c>
      <c r="C9"/>
      <c r="D9" s="71" t="s">
        <v>256</v>
      </c>
      <c r="E9" s="70">
        <v>2</v>
      </c>
      <c r="G9" s="72">
        <v>0.66666666666666663</v>
      </c>
      <c r="H9" s="70">
        <v>1</v>
      </c>
    </row>
    <row r="10" spans="1:8" x14ac:dyDescent="0.3">
      <c r="A10" s="71" t="s">
        <v>79</v>
      </c>
      <c r="C10"/>
      <c r="D10"/>
      <c r="E10"/>
      <c r="G10" s="71" t="s">
        <v>79</v>
      </c>
    </row>
    <row r="11" spans="1:8" x14ac:dyDescent="0.3">
      <c r="A11" s="72">
        <v>0.625</v>
      </c>
      <c r="B11" s="70">
        <v>1</v>
      </c>
      <c r="C11"/>
      <c r="D11"/>
      <c r="E11"/>
      <c r="G11" s="72">
        <v>0.625</v>
      </c>
      <c r="H11" s="70">
        <v>1</v>
      </c>
    </row>
    <row r="12" spans="1:8" x14ac:dyDescent="0.3">
      <c r="A12" s="71" t="s">
        <v>131</v>
      </c>
      <c r="C12"/>
      <c r="D12"/>
      <c r="E12"/>
      <c r="G12" s="71" t="s">
        <v>131</v>
      </c>
    </row>
    <row r="13" spans="1:8" x14ac:dyDescent="0.3">
      <c r="A13" s="72">
        <v>0.875</v>
      </c>
      <c r="B13" s="70">
        <v>1</v>
      </c>
      <c r="C13"/>
      <c r="D13"/>
      <c r="E13"/>
      <c r="G13" s="72">
        <v>0.875</v>
      </c>
      <c r="H13" s="70">
        <v>1</v>
      </c>
    </row>
    <row r="14" spans="1:8" x14ac:dyDescent="0.3">
      <c r="A14" s="71" t="s">
        <v>256</v>
      </c>
      <c r="B14" s="70">
        <v>5</v>
      </c>
      <c r="C14"/>
      <c r="D14"/>
      <c r="E14"/>
      <c r="G14" s="71" t="s">
        <v>256</v>
      </c>
      <c r="H14" s="70">
        <v>5</v>
      </c>
    </row>
    <row r="15" spans="1:8" x14ac:dyDescent="0.3">
      <c r="A15"/>
      <c r="B15"/>
      <c r="C15"/>
    </row>
    <row r="16" spans="1:8" x14ac:dyDescent="0.3">
      <c r="A16"/>
      <c r="B16"/>
      <c r="C16"/>
    </row>
    <row r="17" spans="1:3" x14ac:dyDescent="0.3">
      <c r="A17"/>
      <c r="B17"/>
      <c r="C17"/>
    </row>
    <row r="18" spans="1:3" x14ac:dyDescent="0.3">
      <c r="A18"/>
      <c r="B18"/>
      <c r="C18"/>
    </row>
    <row r="19" spans="1:3" x14ac:dyDescent="0.3">
      <c r="A19"/>
      <c r="B19"/>
      <c r="C19"/>
    </row>
    <row r="20" spans="1:3" x14ac:dyDescent="0.3">
      <c r="A20"/>
      <c r="B20"/>
      <c r="C20"/>
    </row>
    <row r="21" spans="1:3" x14ac:dyDescent="0.3">
      <c r="A21"/>
      <c r="B21"/>
      <c r="C21"/>
    </row>
  </sheetData>
  <pageMargins left="0.7" right="0.7" top="0.75" bottom="0.75" header="0.3" footer="0.3"/>
  <pageSetup orientation="portrait" r:id="rId4"/>
  <drawing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22608-E3FC-4230-9962-F1E507A69EE6}">
  <sheetPr>
    <tabColor rgb="FFCE58C6"/>
  </sheetPr>
  <dimension ref="A2:C21"/>
  <sheetViews>
    <sheetView workbookViewId="0">
      <selection activeCell="S27" sqref="S27"/>
    </sheetView>
  </sheetViews>
  <sheetFormatPr defaultColWidth="9.109375" defaultRowHeight="15.6" x14ac:dyDescent="0.3"/>
  <cols>
    <col min="1" max="1" width="13.6640625" style="70" bestFit="1" customWidth="1"/>
    <col min="2" max="2" width="22.33203125" style="70" bestFit="1" customWidth="1"/>
    <col min="3" max="16384" width="9.109375" style="70"/>
  </cols>
  <sheetData>
    <row r="2" spans="1:3" x14ac:dyDescent="0.3">
      <c r="A2" s="69" t="s">
        <v>33</v>
      </c>
      <c r="B2" s="70" t="s">
        <v>254</v>
      </c>
    </row>
    <row r="4" spans="1:3" x14ac:dyDescent="0.3">
      <c r="A4" s="69" t="s">
        <v>255</v>
      </c>
      <c r="B4" s="70" t="s">
        <v>253</v>
      </c>
      <c r="C4"/>
    </row>
    <row r="5" spans="1:3" x14ac:dyDescent="0.3">
      <c r="A5" s="71" t="s">
        <v>79</v>
      </c>
      <c r="B5" s="70">
        <v>1</v>
      </c>
      <c r="C5"/>
    </row>
    <row r="6" spans="1:3" x14ac:dyDescent="0.3">
      <c r="A6" s="72">
        <v>0.58333333333333337</v>
      </c>
      <c r="B6" s="70">
        <v>1</v>
      </c>
      <c r="C6"/>
    </row>
    <row r="7" spans="1:3" x14ac:dyDescent="0.3">
      <c r="A7" s="71" t="s">
        <v>131</v>
      </c>
      <c r="B7" s="70">
        <v>1</v>
      </c>
      <c r="C7"/>
    </row>
    <row r="8" spans="1:3" x14ac:dyDescent="0.3">
      <c r="A8" s="72">
        <v>0.625</v>
      </c>
      <c r="B8" s="70">
        <v>1</v>
      </c>
      <c r="C8"/>
    </row>
    <row r="9" spans="1:3" x14ac:dyDescent="0.3">
      <c r="A9" s="71" t="s">
        <v>256</v>
      </c>
      <c r="B9" s="70">
        <v>2</v>
      </c>
      <c r="C9"/>
    </row>
    <row r="10" spans="1:3" x14ac:dyDescent="0.3">
      <c r="A10"/>
      <c r="B10"/>
      <c r="C10"/>
    </row>
    <row r="11" spans="1:3" x14ac:dyDescent="0.3">
      <c r="A11"/>
      <c r="B11"/>
      <c r="C11"/>
    </row>
    <row r="12" spans="1:3" x14ac:dyDescent="0.3">
      <c r="A12"/>
      <c r="B12"/>
      <c r="C12"/>
    </row>
    <row r="13" spans="1:3" x14ac:dyDescent="0.3">
      <c r="A13"/>
      <c r="B13"/>
      <c r="C13"/>
    </row>
    <row r="14" spans="1:3" x14ac:dyDescent="0.3">
      <c r="A14"/>
      <c r="B14"/>
      <c r="C14"/>
    </row>
    <row r="15" spans="1:3" x14ac:dyDescent="0.3">
      <c r="A15"/>
      <c r="B15"/>
      <c r="C15"/>
    </row>
    <row r="16" spans="1:3" x14ac:dyDescent="0.3">
      <c r="A16"/>
      <c r="B16"/>
      <c r="C16"/>
    </row>
    <row r="17" spans="1:3" x14ac:dyDescent="0.3">
      <c r="A17"/>
      <c r="B17"/>
      <c r="C17"/>
    </row>
    <row r="18" spans="1:3" x14ac:dyDescent="0.3">
      <c r="A18"/>
      <c r="B18"/>
      <c r="C18"/>
    </row>
    <row r="19" spans="1:3" x14ac:dyDescent="0.3">
      <c r="A19"/>
      <c r="B19"/>
      <c r="C19"/>
    </row>
    <row r="20" spans="1:3" x14ac:dyDescent="0.3">
      <c r="A20"/>
      <c r="B20"/>
      <c r="C20"/>
    </row>
    <row r="21" spans="1:3" x14ac:dyDescent="0.3">
      <c r="A21"/>
      <c r="B21"/>
      <c r="C21"/>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68A03-FB53-4F28-98E3-BB94CAD2DB2C}">
  <sheetPr>
    <tabColor rgb="FFCE58C6"/>
  </sheetPr>
  <dimension ref="A1:AU111"/>
  <sheetViews>
    <sheetView tabSelected="1" workbookViewId="0"/>
  </sheetViews>
  <sheetFormatPr defaultRowHeight="14.4" x14ac:dyDescent="0.3"/>
  <cols>
    <col min="1" max="1" width="35.44140625" bestFit="1" customWidth="1"/>
    <col min="2" max="2" width="14.44140625" bestFit="1" customWidth="1"/>
    <col min="3" max="3" width="11.6640625" bestFit="1" customWidth="1"/>
    <col min="4" max="4" width="12" bestFit="1" customWidth="1"/>
    <col min="5" max="5" width="6.88671875" bestFit="1" customWidth="1"/>
    <col min="6" max="6" width="14.44140625" bestFit="1" customWidth="1"/>
    <col min="7" max="7" width="11.88671875" bestFit="1" customWidth="1"/>
    <col min="8" max="8" width="14" bestFit="1" customWidth="1"/>
    <col min="9" max="9" width="49.5546875" bestFit="1" customWidth="1"/>
    <col min="10" max="10" width="25" bestFit="1" customWidth="1"/>
    <col min="11" max="11" width="21.88671875" bestFit="1" customWidth="1"/>
    <col min="12" max="12" width="16.77734375" bestFit="1" customWidth="1"/>
    <col min="13" max="13" width="33.6640625" bestFit="1" customWidth="1"/>
    <col min="14" max="14" width="65.44140625" bestFit="1" customWidth="1"/>
    <col min="15" max="15" width="6.6640625" bestFit="1" customWidth="1"/>
    <col min="16" max="16" width="7.44140625" bestFit="1" customWidth="1"/>
    <col min="17" max="17" width="80.88671875" bestFit="1" customWidth="1"/>
    <col min="18" max="18" width="18.5546875" bestFit="1" customWidth="1"/>
    <col min="19" max="19" width="20.109375" bestFit="1" customWidth="1"/>
    <col min="20" max="20" width="14.6640625" bestFit="1" customWidth="1"/>
    <col min="21" max="21" width="9" bestFit="1" customWidth="1"/>
    <col min="22" max="22" width="9.6640625" bestFit="1" customWidth="1"/>
    <col min="23" max="23" width="12.5546875" bestFit="1" customWidth="1"/>
    <col min="24" max="24" width="14.6640625" bestFit="1" customWidth="1"/>
    <col min="25" max="25" width="12.5546875" bestFit="1" customWidth="1"/>
    <col min="26" max="26" width="9" bestFit="1" customWidth="1"/>
    <col min="27" max="27" width="9.6640625" bestFit="1" customWidth="1"/>
    <col min="28" max="28" width="13.88671875" bestFit="1" customWidth="1"/>
    <col min="29" max="29" width="14.77734375" bestFit="1" customWidth="1"/>
    <col min="30" max="30" width="26" bestFit="1" customWidth="1"/>
    <col min="31" max="31" width="8.5546875" bestFit="1" customWidth="1"/>
    <col min="32" max="32" width="23.21875" bestFit="1" customWidth="1"/>
    <col min="33" max="33" width="26.109375" bestFit="1" customWidth="1"/>
    <col min="34" max="34" width="29.77734375" bestFit="1" customWidth="1"/>
    <col min="35" max="35" width="14" bestFit="1" customWidth="1"/>
    <col min="36" max="36" width="14.44140625" bestFit="1" customWidth="1"/>
    <col min="37" max="37" width="14.6640625" bestFit="1" customWidth="1"/>
    <col min="38" max="38" width="23" bestFit="1" customWidth="1"/>
    <col min="39" max="39" width="23.21875" bestFit="1" customWidth="1"/>
    <col min="40" max="40" width="13.21875" bestFit="1" customWidth="1"/>
    <col min="41" max="41" width="13.6640625" bestFit="1" customWidth="1"/>
    <col min="42" max="42" width="9.6640625" bestFit="1" customWidth="1"/>
    <col min="43" max="43" width="14.33203125" bestFit="1" customWidth="1"/>
    <col min="44" max="44" width="16.5546875" bestFit="1" customWidth="1"/>
    <col min="45" max="45" width="6.44140625" bestFit="1" customWidth="1"/>
    <col min="46" max="46" width="12.77734375" bestFit="1" customWidth="1"/>
    <col min="47" max="47" width="22" bestFit="1" customWidth="1"/>
  </cols>
  <sheetData>
    <row r="1" spans="1:47" x14ac:dyDescent="0.3">
      <c r="A1" t="s">
        <v>484</v>
      </c>
      <c r="B1" t="s">
        <v>0</v>
      </c>
      <c r="C1" t="s">
        <v>485</v>
      </c>
      <c r="D1" t="s">
        <v>486</v>
      </c>
      <c r="E1" t="s">
        <v>34</v>
      </c>
      <c r="F1" t="s">
        <v>35</v>
      </c>
      <c r="G1" t="s">
        <v>39</v>
      </c>
      <c r="H1" t="s">
        <v>43</v>
      </c>
      <c r="I1" t="s">
        <v>487</v>
      </c>
      <c r="J1" t="s">
        <v>7</v>
      </c>
      <c r="K1" t="s">
        <v>8</v>
      </c>
      <c r="L1" t="s">
        <v>9</v>
      </c>
      <c r="M1" t="s">
        <v>285</v>
      </c>
      <c r="N1" t="s">
        <v>10</v>
      </c>
      <c r="O1" t="s">
        <v>11</v>
      </c>
      <c r="P1"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488</v>
      </c>
      <c r="AJ1" t="s">
        <v>1</v>
      </c>
      <c r="AK1" t="s">
        <v>2</v>
      </c>
      <c r="AL1" t="s">
        <v>3</v>
      </c>
      <c r="AM1" t="s">
        <v>4</v>
      </c>
      <c r="AN1" t="s">
        <v>5</v>
      </c>
      <c r="AO1" t="s">
        <v>6</v>
      </c>
      <c r="AP1" t="s">
        <v>36</v>
      </c>
      <c r="AQ1" t="s">
        <v>37</v>
      </c>
      <c r="AR1" t="s">
        <v>38</v>
      </c>
      <c r="AS1" t="s">
        <v>41</v>
      </c>
      <c r="AT1" t="s">
        <v>40</v>
      </c>
      <c r="AU1" t="s">
        <v>489</v>
      </c>
    </row>
    <row r="2" spans="1:47" x14ac:dyDescent="0.3">
      <c r="A2" s="77" t="s">
        <v>490</v>
      </c>
      <c r="B2" s="77" t="s">
        <v>237</v>
      </c>
      <c r="C2">
        <v>45695</v>
      </c>
      <c r="D2">
        <v>0.27430555555555558</v>
      </c>
      <c r="E2">
        <v>2025</v>
      </c>
      <c r="F2" t="s">
        <v>210</v>
      </c>
      <c r="G2" t="s">
        <v>65</v>
      </c>
      <c r="H2">
        <v>0.25</v>
      </c>
      <c r="I2" t="s">
        <v>48</v>
      </c>
      <c r="J2" s="77" t="s">
        <v>48</v>
      </c>
      <c r="K2" s="77" t="s">
        <v>49</v>
      </c>
      <c r="L2" s="77" t="s">
        <v>49</v>
      </c>
      <c r="M2" t="s">
        <v>267</v>
      </c>
      <c r="N2" s="77" t="s">
        <v>238</v>
      </c>
      <c r="O2" s="77" t="s">
        <v>239</v>
      </c>
      <c r="P2">
        <v>5</v>
      </c>
      <c r="Q2" s="77" t="s">
        <v>491</v>
      </c>
      <c r="T2" s="77" t="s">
        <v>492</v>
      </c>
      <c r="U2" s="77" t="s">
        <v>493</v>
      </c>
      <c r="V2" s="77" t="s">
        <v>243</v>
      </c>
      <c r="W2" s="77" t="s">
        <v>56</v>
      </c>
      <c r="AB2" s="77" t="s">
        <v>494</v>
      </c>
      <c r="AC2" s="77" t="s">
        <v>58</v>
      </c>
      <c r="AD2" s="77" t="s">
        <v>244</v>
      </c>
      <c r="AE2" s="77" t="s">
        <v>245</v>
      </c>
      <c r="AF2" s="77" t="s">
        <v>215</v>
      </c>
      <c r="AG2" s="77" t="s">
        <v>178</v>
      </c>
      <c r="AH2" s="77" t="s">
        <v>63</v>
      </c>
      <c r="AI2">
        <v>9</v>
      </c>
      <c r="AJ2" s="1">
        <v>45695</v>
      </c>
      <c r="AK2" s="2">
        <v>0.27430555555555558</v>
      </c>
      <c r="AL2" s="1">
        <v>45695</v>
      </c>
      <c r="AM2" s="2">
        <v>0.28472222222222221</v>
      </c>
      <c r="AN2" s="1">
        <v>45695</v>
      </c>
      <c r="AO2" s="2">
        <v>0.30738425925925927</v>
      </c>
      <c r="AP2">
        <v>1</v>
      </c>
      <c r="AQ2">
        <v>6</v>
      </c>
      <c r="AR2">
        <v>2</v>
      </c>
      <c r="AS2">
        <v>7</v>
      </c>
      <c r="AT2">
        <v>38</v>
      </c>
      <c r="AU2">
        <v>45695.274305555555</v>
      </c>
    </row>
    <row r="3" spans="1:47" x14ac:dyDescent="0.3">
      <c r="A3" s="77" t="s">
        <v>490</v>
      </c>
      <c r="B3" s="77" t="s">
        <v>229</v>
      </c>
      <c r="C3">
        <v>45693</v>
      </c>
      <c r="D3">
        <v>0.12291666666666666</v>
      </c>
      <c r="E3">
        <v>2025</v>
      </c>
      <c r="F3" t="s">
        <v>210</v>
      </c>
      <c r="G3" t="s">
        <v>124</v>
      </c>
      <c r="H3">
        <v>8.3333333333333329E-2</v>
      </c>
      <c r="I3" t="s">
        <v>236</v>
      </c>
      <c r="J3" s="77" t="s">
        <v>230</v>
      </c>
      <c r="K3" s="77" t="s">
        <v>231</v>
      </c>
      <c r="L3" s="77" t="s">
        <v>49</v>
      </c>
      <c r="M3" t="s">
        <v>278</v>
      </c>
      <c r="N3" s="77" t="s">
        <v>232</v>
      </c>
      <c r="O3" s="77" t="s">
        <v>200</v>
      </c>
      <c r="P3">
        <v>8</v>
      </c>
      <c r="Q3" s="77" t="s">
        <v>495</v>
      </c>
      <c r="T3" s="77"/>
      <c r="U3" s="77"/>
      <c r="V3" s="77"/>
      <c r="W3" s="77"/>
      <c r="AB3" s="77" t="s">
        <v>494</v>
      </c>
      <c r="AC3" s="77" t="s">
        <v>58</v>
      </c>
      <c r="AD3" s="77" t="s">
        <v>234</v>
      </c>
      <c r="AE3" s="77" t="s">
        <v>139</v>
      </c>
      <c r="AF3" s="77" t="s">
        <v>235</v>
      </c>
      <c r="AG3" s="77" t="s">
        <v>102</v>
      </c>
      <c r="AH3" s="77" t="s">
        <v>130</v>
      </c>
      <c r="AI3">
        <v>9</v>
      </c>
      <c r="AJ3" s="1">
        <v>45693</v>
      </c>
      <c r="AK3" s="2">
        <v>0.12291666666666666</v>
      </c>
      <c r="AL3" s="1"/>
      <c r="AM3" s="2"/>
      <c r="AN3" s="1">
        <v>45693</v>
      </c>
      <c r="AO3" s="2">
        <v>0.1233912037037037</v>
      </c>
      <c r="AP3">
        <v>1</v>
      </c>
      <c r="AQ3">
        <v>6</v>
      </c>
      <c r="AR3">
        <v>2</v>
      </c>
      <c r="AS3">
        <v>5</v>
      </c>
      <c r="AT3">
        <v>36</v>
      </c>
      <c r="AU3">
        <v>45693.122916666667</v>
      </c>
    </row>
    <row r="4" spans="1:47" x14ac:dyDescent="0.3">
      <c r="A4" s="77" t="s">
        <v>490</v>
      </c>
      <c r="B4" s="77" t="s">
        <v>220</v>
      </c>
      <c r="C4">
        <v>45691</v>
      </c>
      <c r="D4">
        <v>0.77083333333333337</v>
      </c>
      <c r="E4">
        <v>2025</v>
      </c>
      <c r="F4" t="s">
        <v>210</v>
      </c>
      <c r="G4" t="s">
        <v>91</v>
      </c>
      <c r="H4">
        <v>0.75</v>
      </c>
      <c r="I4" t="s">
        <v>48</v>
      </c>
      <c r="J4" s="77" t="s">
        <v>48</v>
      </c>
      <c r="K4" s="77" t="s">
        <v>49</v>
      </c>
      <c r="L4" s="77" t="s">
        <v>49</v>
      </c>
      <c r="M4" t="s">
        <v>277</v>
      </c>
      <c r="N4" s="77" t="s">
        <v>221</v>
      </c>
      <c r="O4" s="77" t="s">
        <v>222</v>
      </c>
      <c r="P4">
        <v>8</v>
      </c>
      <c r="Q4" s="77" t="s">
        <v>496</v>
      </c>
      <c r="T4" s="77" t="s">
        <v>497</v>
      </c>
      <c r="U4" s="77" t="s">
        <v>225</v>
      </c>
      <c r="V4" s="77" t="s">
        <v>498</v>
      </c>
      <c r="W4" s="77" t="s">
        <v>227</v>
      </c>
      <c r="AB4" s="77" t="s">
        <v>499</v>
      </c>
      <c r="AC4" s="77" t="s">
        <v>58</v>
      </c>
      <c r="AD4" s="77" t="s">
        <v>186</v>
      </c>
      <c r="AE4" s="77" t="s">
        <v>88</v>
      </c>
      <c r="AF4" s="77" t="s">
        <v>89</v>
      </c>
      <c r="AG4" s="77" t="s">
        <v>228</v>
      </c>
      <c r="AH4" s="77" t="s">
        <v>63</v>
      </c>
      <c r="AI4">
        <v>9</v>
      </c>
      <c r="AJ4" s="1">
        <v>45691</v>
      </c>
      <c r="AK4" s="2">
        <v>0.77083333333333337</v>
      </c>
      <c r="AL4" s="1">
        <v>45692</v>
      </c>
      <c r="AM4" s="2">
        <v>0.79166666666666663</v>
      </c>
      <c r="AN4" s="1">
        <v>45692</v>
      </c>
      <c r="AO4" s="2">
        <v>0.53023148148148147</v>
      </c>
      <c r="AP4">
        <v>1</v>
      </c>
      <c r="AQ4">
        <v>6</v>
      </c>
      <c r="AR4">
        <v>2</v>
      </c>
      <c r="AS4">
        <v>3</v>
      </c>
      <c r="AT4">
        <v>34</v>
      </c>
      <c r="AU4">
        <v>45691.770833333336</v>
      </c>
    </row>
    <row r="5" spans="1:47" x14ac:dyDescent="0.3">
      <c r="A5" s="77" t="s">
        <v>490</v>
      </c>
      <c r="B5" s="77" t="s">
        <v>217</v>
      </c>
      <c r="C5">
        <v>45691</v>
      </c>
      <c r="D5">
        <v>0.694849537037037</v>
      </c>
      <c r="E5">
        <v>2025</v>
      </c>
      <c r="F5" t="s">
        <v>210</v>
      </c>
      <c r="G5" t="s">
        <v>91</v>
      </c>
      <c r="H5">
        <v>0.66666666666666663</v>
      </c>
      <c r="I5" t="s">
        <v>95</v>
      </c>
      <c r="J5" s="77" t="s">
        <v>95</v>
      </c>
      <c r="K5" s="77" t="s">
        <v>49</v>
      </c>
      <c r="L5" s="77" t="s">
        <v>49</v>
      </c>
      <c r="M5" t="s">
        <v>284</v>
      </c>
      <c r="N5" s="77" t="s">
        <v>218</v>
      </c>
      <c r="O5" s="77" t="s">
        <v>109</v>
      </c>
      <c r="P5">
        <v>9</v>
      </c>
      <c r="Q5" s="77" t="s">
        <v>500</v>
      </c>
      <c r="T5" s="77"/>
      <c r="U5" s="77"/>
      <c r="V5" s="77"/>
      <c r="W5" s="77"/>
      <c r="AB5" s="77" t="s">
        <v>501</v>
      </c>
      <c r="AC5" s="77" t="s">
        <v>58</v>
      </c>
      <c r="AD5" s="77" t="s">
        <v>129</v>
      </c>
      <c r="AE5" s="77" t="s">
        <v>88</v>
      </c>
      <c r="AF5" s="77" t="s">
        <v>187</v>
      </c>
      <c r="AG5" s="77" t="s">
        <v>62</v>
      </c>
      <c r="AH5" s="77" t="s">
        <v>103</v>
      </c>
      <c r="AI5">
        <v>9</v>
      </c>
      <c r="AJ5" s="1"/>
      <c r="AK5" s="2"/>
      <c r="AL5" s="1"/>
      <c r="AM5" s="2"/>
      <c r="AN5" s="1">
        <v>45691</v>
      </c>
      <c r="AO5" s="2">
        <v>0.694849537037037</v>
      </c>
      <c r="AP5">
        <v>1</v>
      </c>
      <c r="AQ5">
        <v>6</v>
      </c>
      <c r="AR5">
        <v>2</v>
      </c>
      <c r="AS5">
        <v>3</v>
      </c>
      <c r="AT5">
        <v>34</v>
      </c>
      <c r="AU5">
        <v>45691.694444444445</v>
      </c>
    </row>
    <row r="6" spans="1:47" x14ac:dyDescent="0.3">
      <c r="A6" s="77" t="s">
        <v>490</v>
      </c>
      <c r="B6" s="77" t="s">
        <v>211</v>
      </c>
      <c r="C6">
        <v>45690</v>
      </c>
      <c r="D6">
        <v>0.72569444444444442</v>
      </c>
      <c r="E6">
        <v>2025</v>
      </c>
      <c r="F6" t="s">
        <v>210</v>
      </c>
      <c r="G6" t="s">
        <v>188</v>
      </c>
      <c r="H6">
        <v>0.70833333333333337</v>
      </c>
      <c r="I6" t="s">
        <v>216</v>
      </c>
      <c r="J6" s="77" t="s">
        <v>212</v>
      </c>
      <c r="K6" s="77" t="s">
        <v>95</v>
      </c>
      <c r="L6" s="77" t="s">
        <v>49</v>
      </c>
      <c r="M6" t="s">
        <v>266</v>
      </c>
      <c r="N6" s="77" t="s">
        <v>213</v>
      </c>
      <c r="O6" s="77" t="s">
        <v>166</v>
      </c>
      <c r="P6">
        <v>5</v>
      </c>
      <c r="Q6" s="77" t="s">
        <v>502</v>
      </c>
      <c r="T6" s="77"/>
      <c r="U6" s="77"/>
      <c r="V6" s="77"/>
      <c r="W6" s="77"/>
      <c r="AB6" s="77" t="s">
        <v>499</v>
      </c>
      <c r="AC6" s="77" t="s">
        <v>58</v>
      </c>
      <c r="AD6" s="77" t="s">
        <v>186</v>
      </c>
      <c r="AE6" s="77" t="s">
        <v>88</v>
      </c>
      <c r="AF6" s="77" t="s">
        <v>215</v>
      </c>
      <c r="AG6" s="77" t="s">
        <v>178</v>
      </c>
      <c r="AH6" s="77"/>
      <c r="AI6">
        <v>9</v>
      </c>
      <c r="AJ6" s="1">
        <v>45690</v>
      </c>
      <c r="AK6" s="2">
        <v>0.72569444444444442</v>
      </c>
      <c r="AL6" s="1">
        <v>45690</v>
      </c>
      <c r="AM6" s="2">
        <v>0.75</v>
      </c>
      <c r="AN6" s="1">
        <v>45691</v>
      </c>
      <c r="AO6" s="2">
        <v>0.50143518518518515</v>
      </c>
      <c r="AP6">
        <v>1</v>
      </c>
      <c r="AQ6">
        <v>6</v>
      </c>
      <c r="AR6">
        <v>2</v>
      </c>
      <c r="AS6">
        <v>2</v>
      </c>
      <c r="AT6">
        <v>33</v>
      </c>
      <c r="AU6">
        <v>45690.725694444445</v>
      </c>
    </row>
    <row r="7" spans="1:47" x14ac:dyDescent="0.3">
      <c r="A7" s="77" t="s">
        <v>490</v>
      </c>
      <c r="B7" s="77" t="s">
        <v>203</v>
      </c>
      <c r="C7">
        <v>45689</v>
      </c>
      <c r="D7">
        <v>4.1666666666666664E-2</v>
      </c>
      <c r="E7">
        <v>2025</v>
      </c>
      <c r="F7" t="s">
        <v>210</v>
      </c>
      <c r="G7" t="s">
        <v>170</v>
      </c>
      <c r="H7">
        <v>4.1666666666666664E-2</v>
      </c>
      <c r="I7" t="s">
        <v>48</v>
      </c>
      <c r="J7" s="77" t="s">
        <v>48</v>
      </c>
      <c r="K7" s="77" t="s">
        <v>49</v>
      </c>
      <c r="L7" s="77" t="s">
        <v>49</v>
      </c>
      <c r="M7" t="s">
        <v>265</v>
      </c>
      <c r="N7" s="77" t="s">
        <v>204</v>
      </c>
      <c r="O7" s="77" t="s">
        <v>205</v>
      </c>
      <c r="P7">
        <v>6</v>
      </c>
      <c r="Q7" s="77" t="s">
        <v>503</v>
      </c>
      <c r="T7" s="77" t="s">
        <v>504</v>
      </c>
      <c r="U7" s="77" t="s">
        <v>505</v>
      </c>
      <c r="V7" s="77" t="s">
        <v>209</v>
      </c>
      <c r="W7" s="77" t="s">
        <v>56</v>
      </c>
      <c r="AB7" s="77" t="s">
        <v>494</v>
      </c>
      <c r="AC7" s="77" t="s">
        <v>58</v>
      </c>
      <c r="AD7" s="77" t="s">
        <v>147</v>
      </c>
      <c r="AE7" s="77" t="s">
        <v>60</v>
      </c>
      <c r="AF7" s="77" t="s">
        <v>155</v>
      </c>
      <c r="AG7" s="77" t="s">
        <v>62</v>
      </c>
      <c r="AH7" s="77" t="s">
        <v>63</v>
      </c>
      <c r="AI7">
        <v>9</v>
      </c>
      <c r="AJ7" s="1">
        <v>45689</v>
      </c>
      <c r="AK7" s="2">
        <v>4.1666666666666664E-2</v>
      </c>
      <c r="AL7" s="1"/>
      <c r="AM7" s="2">
        <v>0.10416666666666667</v>
      </c>
      <c r="AN7" s="1">
        <v>45689</v>
      </c>
      <c r="AO7" s="2">
        <v>0.11982638888888889</v>
      </c>
      <c r="AP7">
        <v>1</v>
      </c>
      <c r="AQ7">
        <v>5</v>
      </c>
      <c r="AR7">
        <v>1</v>
      </c>
      <c r="AS7">
        <v>1</v>
      </c>
      <c r="AT7">
        <v>32</v>
      </c>
      <c r="AU7">
        <v>45689.041666666664</v>
      </c>
    </row>
    <row r="8" spans="1:47" x14ac:dyDescent="0.3">
      <c r="A8" s="77" t="s">
        <v>490</v>
      </c>
      <c r="B8" s="77" t="s">
        <v>246</v>
      </c>
      <c r="C8">
        <v>45688</v>
      </c>
      <c r="D8">
        <v>0.5</v>
      </c>
      <c r="E8">
        <v>2025</v>
      </c>
      <c r="F8" t="s">
        <v>64</v>
      </c>
      <c r="G8" t="s">
        <v>65</v>
      </c>
      <c r="H8">
        <v>0.5</v>
      </c>
      <c r="I8" t="s">
        <v>48</v>
      </c>
      <c r="J8" s="77" t="s">
        <v>48</v>
      </c>
      <c r="K8" s="77" t="s">
        <v>49</v>
      </c>
      <c r="L8" s="77" t="s">
        <v>49</v>
      </c>
      <c r="M8" t="s">
        <v>268</v>
      </c>
      <c r="N8" s="77" t="s">
        <v>247</v>
      </c>
      <c r="O8" s="77" t="s">
        <v>150</v>
      </c>
      <c r="P8">
        <v>5</v>
      </c>
      <c r="Q8" s="77" t="s">
        <v>506</v>
      </c>
      <c r="T8" s="77" t="s">
        <v>507</v>
      </c>
      <c r="U8" s="77"/>
      <c r="V8" s="77" t="s">
        <v>122</v>
      </c>
      <c r="W8" s="77" t="s">
        <v>508</v>
      </c>
      <c r="AB8" s="77" t="s">
        <v>494</v>
      </c>
      <c r="AC8" s="77" t="s">
        <v>58</v>
      </c>
      <c r="AD8" s="77" t="s">
        <v>250</v>
      </c>
      <c r="AE8" s="77" t="s">
        <v>60</v>
      </c>
      <c r="AF8" s="77" t="s">
        <v>187</v>
      </c>
      <c r="AG8" s="77" t="s">
        <v>102</v>
      </c>
      <c r="AH8" s="77" t="s">
        <v>63</v>
      </c>
      <c r="AI8">
        <v>9</v>
      </c>
      <c r="AJ8" s="1">
        <v>45688</v>
      </c>
      <c r="AK8" s="2">
        <v>0.5</v>
      </c>
      <c r="AL8" s="1">
        <v>45695</v>
      </c>
      <c r="AM8" s="2">
        <v>0.54166666666666663</v>
      </c>
      <c r="AN8" s="1">
        <v>45696</v>
      </c>
      <c r="AO8" s="2">
        <v>0.3903240740740741</v>
      </c>
      <c r="AP8">
        <v>1</v>
      </c>
      <c r="AQ8">
        <v>5</v>
      </c>
      <c r="AR8">
        <v>5</v>
      </c>
      <c r="AS8">
        <v>31</v>
      </c>
      <c r="AT8">
        <v>31</v>
      </c>
      <c r="AU8">
        <v>45688.5</v>
      </c>
    </row>
    <row r="9" spans="1:47" x14ac:dyDescent="0.3">
      <c r="A9" s="77" t="s">
        <v>490</v>
      </c>
      <c r="B9" s="77" t="s">
        <v>198</v>
      </c>
      <c r="C9">
        <v>45688</v>
      </c>
      <c r="D9">
        <v>0.49988425925925928</v>
      </c>
      <c r="E9">
        <v>2025</v>
      </c>
      <c r="F9" t="s">
        <v>64</v>
      </c>
      <c r="G9" t="s">
        <v>65</v>
      </c>
      <c r="H9">
        <v>0.45833333333333331</v>
      </c>
      <c r="I9" t="s">
        <v>126</v>
      </c>
      <c r="J9" s="77" t="s">
        <v>126</v>
      </c>
      <c r="K9" s="77" t="s">
        <v>49</v>
      </c>
      <c r="L9" s="77" t="s">
        <v>49</v>
      </c>
      <c r="M9" t="s">
        <v>276</v>
      </c>
      <c r="N9" s="77" t="s">
        <v>199</v>
      </c>
      <c r="O9" s="77" t="s">
        <v>200</v>
      </c>
      <c r="P9">
        <v>8</v>
      </c>
      <c r="Q9" s="77" t="s">
        <v>509</v>
      </c>
      <c r="T9" s="77"/>
      <c r="U9" s="77"/>
      <c r="V9" s="77"/>
      <c r="W9" s="77"/>
      <c r="AB9" s="77" t="s">
        <v>510</v>
      </c>
      <c r="AC9" s="77" t="s">
        <v>58</v>
      </c>
      <c r="AD9" s="77" t="s">
        <v>202</v>
      </c>
      <c r="AE9" s="77" t="s">
        <v>115</v>
      </c>
      <c r="AF9" s="77" t="s">
        <v>116</v>
      </c>
      <c r="AG9" s="77" t="s">
        <v>62</v>
      </c>
      <c r="AH9" s="77" t="s">
        <v>130</v>
      </c>
      <c r="AI9">
        <v>9</v>
      </c>
      <c r="AJ9" s="1">
        <v>45688</v>
      </c>
      <c r="AK9" s="2">
        <v>0.49988425925925928</v>
      </c>
      <c r="AL9" s="1"/>
      <c r="AM9" s="2"/>
      <c r="AN9" s="1">
        <v>45688</v>
      </c>
      <c r="AO9" s="2">
        <v>0.49988425925925928</v>
      </c>
      <c r="AP9">
        <v>1</v>
      </c>
      <c r="AQ9">
        <v>5</v>
      </c>
      <c r="AR9">
        <v>5</v>
      </c>
      <c r="AS9">
        <v>31</v>
      </c>
      <c r="AT9">
        <v>31</v>
      </c>
      <c r="AU9">
        <v>45688.499305555553</v>
      </c>
    </row>
    <row r="10" spans="1:47" x14ac:dyDescent="0.3">
      <c r="A10" s="77" t="s">
        <v>490</v>
      </c>
      <c r="B10" s="77" t="s">
        <v>189</v>
      </c>
      <c r="C10">
        <v>45685</v>
      </c>
      <c r="D10">
        <v>0.625</v>
      </c>
      <c r="E10">
        <v>2025</v>
      </c>
      <c r="F10" t="s">
        <v>64</v>
      </c>
      <c r="G10" t="s">
        <v>79</v>
      </c>
      <c r="H10">
        <v>0.625</v>
      </c>
      <c r="I10" t="s">
        <v>197</v>
      </c>
      <c r="J10" s="77" t="s">
        <v>48</v>
      </c>
      <c r="K10" s="77" t="s">
        <v>172</v>
      </c>
      <c r="L10" s="77" t="s">
        <v>49</v>
      </c>
      <c r="M10" t="s">
        <v>264</v>
      </c>
      <c r="N10" s="77" t="s">
        <v>190</v>
      </c>
      <c r="O10" s="77" t="s">
        <v>191</v>
      </c>
      <c r="P10">
        <v>6</v>
      </c>
      <c r="Q10" s="77" t="s">
        <v>511</v>
      </c>
      <c r="T10" s="77" t="s">
        <v>512</v>
      </c>
      <c r="U10" s="77" t="s">
        <v>513</v>
      </c>
      <c r="V10" s="77" t="s">
        <v>195</v>
      </c>
      <c r="W10" s="77" t="s">
        <v>56</v>
      </c>
      <c r="AB10" s="77" t="s">
        <v>514</v>
      </c>
      <c r="AC10" s="77" t="s">
        <v>58</v>
      </c>
      <c r="AD10" s="77" t="s">
        <v>147</v>
      </c>
      <c r="AE10" s="77" t="s">
        <v>60</v>
      </c>
      <c r="AF10" s="77" t="s">
        <v>89</v>
      </c>
      <c r="AG10" s="77" t="s">
        <v>196</v>
      </c>
      <c r="AH10" s="77" t="s">
        <v>63</v>
      </c>
      <c r="AI10">
        <v>9</v>
      </c>
      <c r="AJ10" s="1">
        <v>45685</v>
      </c>
      <c r="AK10" s="2">
        <v>0.625</v>
      </c>
      <c r="AL10" s="1">
        <v>45686</v>
      </c>
      <c r="AM10" s="2">
        <v>0.91736111111111107</v>
      </c>
      <c r="AN10" s="1">
        <v>45686</v>
      </c>
      <c r="AO10" s="2">
        <v>0.91833333333333333</v>
      </c>
      <c r="AP10">
        <v>1</v>
      </c>
      <c r="AQ10">
        <v>5</v>
      </c>
      <c r="AR10">
        <v>5</v>
      </c>
      <c r="AS10">
        <v>28</v>
      </c>
      <c r="AT10">
        <v>28</v>
      </c>
      <c r="AU10">
        <v>45685.625</v>
      </c>
    </row>
    <row r="11" spans="1:47" x14ac:dyDescent="0.3">
      <c r="A11" s="77" t="s">
        <v>490</v>
      </c>
      <c r="B11" s="77" t="s">
        <v>180</v>
      </c>
      <c r="C11">
        <v>45683</v>
      </c>
      <c r="D11">
        <v>0.84027777777777779</v>
      </c>
      <c r="E11">
        <v>2025</v>
      </c>
      <c r="F11" t="s">
        <v>64</v>
      </c>
      <c r="G11" t="s">
        <v>188</v>
      </c>
      <c r="H11">
        <v>0.83333333333333337</v>
      </c>
      <c r="I11" t="s">
        <v>179</v>
      </c>
      <c r="J11" s="77" t="s">
        <v>81</v>
      </c>
      <c r="K11" s="77" t="s">
        <v>172</v>
      </c>
      <c r="L11" s="77" t="s">
        <v>49</v>
      </c>
      <c r="M11" t="s">
        <v>283</v>
      </c>
      <c r="N11" s="77" t="s">
        <v>181</v>
      </c>
      <c r="O11" s="77" t="s">
        <v>182</v>
      </c>
      <c r="P11">
        <v>9</v>
      </c>
      <c r="Q11" s="77" t="s">
        <v>515</v>
      </c>
      <c r="T11" s="77" t="s">
        <v>516</v>
      </c>
      <c r="U11" s="77" t="s">
        <v>517</v>
      </c>
      <c r="V11" s="77" t="s">
        <v>185</v>
      </c>
      <c r="W11" s="77" t="s">
        <v>508</v>
      </c>
      <c r="AB11" s="77" t="s">
        <v>499</v>
      </c>
      <c r="AC11" s="77" t="s">
        <v>58</v>
      </c>
      <c r="AD11" s="77" t="s">
        <v>186</v>
      </c>
      <c r="AE11" s="77" t="s">
        <v>88</v>
      </c>
      <c r="AF11" s="77" t="s">
        <v>187</v>
      </c>
      <c r="AG11" s="77" t="s">
        <v>102</v>
      </c>
      <c r="AH11" s="77" t="s">
        <v>90</v>
      </c>
      <c r="AI11">
        <v>9</v>
      </c>
      <c r="AJ11" s="1">
        <v>45683</v>
      </c>
      <c r="AK11" s="2">
        <v>0.84027777777777779</v>
      </c>
      <c r="AL11" s="1">
        <v>45683</v>
      </c>
      <c r="AM11" s="2">
        <v>0.84652777777777777</v>
      </c>
      <c r="AN11" s="1">
        <v>45683</v>
      </c>
      <c r="AO11" s="2">
        <v>0.85009259259259262</v>
      </c>
      <c r="AP11">
        <v>1</v>
      </c>
      <c r="AQ11">
        <v>5</v>
      </c>
      <c r="AR11">
        <v>5</v>
      </c>
      <c r="AS11">
        <v>26</v>
      </c>
      <c r="AT11">
        <v>26</v>
      </c>
      <c r="AU11">
        <v>45683.840277777781</v>
      </c>
    </row>
    <row r="12" spans="1:47" x14ac:dyDescent="0.3">
      <c r="A12" s="77" t="s">
        <v>490</v>
      </c>
      <c r="B12" s="77" t="s">
        <v>171</v>
      </c>
      <c r="C12">
        <v>45682</v>
      </c>
      <c r="D12">
        <v>0.76875000000000004</v>
      </c>
      <c r="E12">
        <v>2025</v>
      </c>
      <c r="F12" t="s">
        <v>64</v>
      </c>
      <c r="G12" t="s">
        <v>170</v>
      </c>
      <c r="H12">
        <v>0.75</v>
      </c>
      <c r="I12" t="s">
        <v>179</v>
      </c>
      <c r="J12" s="77" t="s">
        <v>81</v>
      </c>
      <c r="K12" s="77" t="s">
        <v>172</v>
      </c>
      <c r="L12" s="77" t="s">
        <v>49</v>
      </c>
      <c r="M12" t="s">
        <v>275</v>
      </c>
      <c r="N12" s="77" t="s">
        <v>173</v>
      </c>
      <c r="O12" s="77" t="s">
        <v>97</v>
      </c>
      <c r="P12">
        <v>8</v>
      </c>
      <c r="Q12" s="77" t="s">
        <v>518</v>
      </c>
      <c r="T12" s="77" t="s">
        <v>519</v>
      </c>
      <c r="U12" s="77" t="s">
        <v>517</v>
      </c>
      <c r="V12" s="77" t="s">
        <v>176</v>
      </c>
      <c r="W12" s="77" t="s">
        <v>56</v>
      </c>
      <c r="AB12" s="77" t="s">
        <v>501</v>
      </c>
      <c r="AC12" s="77" t="s">
        <v>58</v>
      </c>
      <c r="AD12" s="77" t="s">
        <v>138</v>
      </c>
      <c r="AE12" s="77" t="s">
        <v>139</v>
      </c>
      <c r="AF12" s="77" t="s">
        <v>177</v>
      </c>
      <c r="AG12" s="77" t="s">
        <v>178</v>
      </c>
      <c r="AH12" s="77" t="s">
        <v>90</v>
      </c>
      <c r="AI12">
        <v>9</v>
      </c>
      <c r="AJ12" s="1">
        <v>45682</v>
      </c>
      <c r="AK12" s="2">
        <v>0.76875000000000004</v>
      </c>
      <c r="AL12" s="1"/>
      <c r="AM12" s="2"/>
      <c r="AN12" s="1">
        <v>45683</v>
      </c>
      <c r="AO12" s="2">
        <v>0.44056712962962963</v>
      </c>
      <c r="AP12">
        <v>1</v>
      </c>
      <c r="AQ12">
        <v>4</v>
      </c>
      <c r="AR12">
        <v>4</v>
      </c>
      <c r="AS12">
        <v>25</v>
      </c>
      <c r="AT12">
        <v>25</v>
      </c>
      <c r="AU12">
        <v>45682.768750000003</v>
      </c>
    </row>
    <row r="13" spans="1:47" x14ac:dyDescent="0.3">
      <c r="A13" s="77" t="s">
        <v>490</v>
      </c>
      <c r="B13" s="77" t="s">
        <v>164</v>
      </c>
      <c r="C13">
        <v>45682</v>
      </c>
      <c r="D13">
        <v>0.45833333333333331</v>
      </c>
      <c r="E13">
        <v>2025</v>
      </c>
      <c r="F13" t="s">
        <v>64</v>
      </c>
      <c r="G13" t="s">
        <v>170</v>
      </c>
      <c r="H13">
        <v>0.45833333333333331</v>
      </c>
      <c r="I13" t="s">
        <v>126</v>
      </c>
      <c r="J13" s="77" t="s">
        <v>126</v>
      </c>
      <c r="K13" s="77" t="s">
        <v>49</v>
      </c>
      <c r="L13" s="77" t="s">
        <v>49</v>
      </c>
      <c r="M13" t="s">
        <v>263</v>
      </c>
      <c r="N13" s="77" t="s">
        <v>165</v>
      </c>
      <c r="O13" s="77" t="s">
        <v>166</v>
      </c>
      <c r="P13">
        <v>5</v>
      </c>
      <c r="Q13" s="77" t="s">
        <v>520</v>
      </c>
      <c r="T13" s="77"/>
      <c r="U13" s="77"/>
      <c r="V13" s="77"/>
      <c r="W13" s="77"/>
      <c r="AB13" s="77" t="s">
        <v>501</v>
      </c>
      <c r="AC13" s="77" t="s">
        <v>58</v>
      </c>
      <c r="AD13" s="77" t="s">
        <v>169</v>
      </c>
      <c r="AE13" s="77" t="s">
        <v>139</v>
      </c>
      <c r="AF13" s="77" t="s">
        <v>89</v>
      </c>
      <c r="AG13" s="77" t="s">
        <v>102</v>
      </c>
      <c r="AH13" s="77" t="s">
        <v>130</v>
      </c>
      <c r="AI13">
        <v>9</v>
      </c>
      <c r="AJ13" s="1">
        <v>45682</v>
      </c>
      <c r="AK13" s="2">
        <v>0.45833333333333331</v>
      </c>
      <c r="AL13" s="1">
        <v>45682</v>
      </c>
      <c r="AM13" s="2">
        <v>0.58333333333333337</v>
      </c>
      <c r="AN13" s="1">
        <v>45682</v>
      </c>
      <c r="AO13" s="2">
        <v>0.58054398148148145</v>
      </c>
      <c r="AP13">
        <v>1</v>
      </c>
      <c r="AQ13">
        <v>4</v>
      </c>
      <c r="AR13">
        <v>4</v>
      </c>
      <c r="AS13">
        <v>25</v>
      </c>
      <c r="AT13">
        <v>25</v>
      </c>
      <c r="AU13">
        <v>45682.458333333336</v>
      </c>
    </row>
    <row r="14" spans="1:47" x14ac:dyDescent="0.3">
      <c r="A14" s="77" t="s">
        <v>490</v>
      </c>
      <c r="B14" s="77" t="s">
        <v>156</v>
      </c>
      <c r="C14">
        <v>45680</v>
      </c>
      <c r="D14">
        <v>0.625</v>
      </c>
      <c r="E14">
        <v>2025</v>
      </c>
      <c r="F14" t="s">
        <v>64</v>
      </c>
      <c r="G14" t="s">
        <v>131</v>
      </c>
      <c r="H14">
        <v>0.625</v>
      </c>
      <c r="I14" t="s">
        <v>163</v>
      </c>
      <c r="J14" s="77" t="s">
        <v>157</v>
      </c>
      <c r="K14" s="77" t="s">
        <v>69</v>
      </c>
      <c r="L14" s="77" t="s">
        <v>49</v>
      </c>
      <c r="M14" t="s">
        <v>274</v>
      </c>
      <c r="N14" s="77" t="s">
        <v>158</v>
      </c>
      <c r="O14" s="77" t="s">
        <v>97</v>
      </c>
      <c r="P14">
        <v>8</v>
      </c>
      <c r="Q14" s="77" t="s">
        <v>521</v>
      </c>
      <c r="T14" s="77"/>
      <c r="U14" s="77"/>
      <c r="V14" s="77"/>
      <c r="W14" s="77"/>
      <c r="AB14" s="77" t="s">
        <v>522</v>
      </c>
      <c r="AC14" s="77" t="s">
        <v>58</v>
      </c>
      <c r="AD14" s="77" t="s">
        <v>101</v>
      </c>
      <c r="AE14" s="77" t="s">
        <v>161</v>
      </c>
      <c r="AF14" s="77" t="s">
        <v>76</v>
      </c>
      <c r="AG14" s="77" t="s">
        <v>162</v>
      </c>
      <c r="AH14" s="77"/>
      <c r="AI14">
        <v>9</v>
      </c>
      <c r="AJ14" s="1">
        <v>45680</v>
      </c>
      <c r="AK14" s="2">
        <v>0.625</v>
      </c>
      <c r="AL14" s="1"/>
      <c r="AM14" s="2"/>
      <c r="AN14" s="1">
        <v>45680</v>
      </c>
      <c r="AO14" s="2">
        <v>0.66545138888888888</v>
      </c>
      <c r="AP14">
        <v>1</v>
      </c>
      <c r="AQ14">
        <v>4</v>
      </c>
      <c r="AR14">
        <v>4</v>
      </c>
      <c r="AS14">
        <v>23</v>
      </c>
      <c r="AT14">
        <v>23</v>
      </c>
      <c r="AU14">
        <v>45680.625</v>
      </c>
    </row>
    <row r="15" spans="1:47" x14ac:dyDescent="0.3">
      <c r="A15" s="77" t="s">
        <v>490</v>
      </c>
      <c r="B15" s="77" t="s">
        <v>148</v>
      </c>
      <c r="C15">
        <v>45679</v>
      </c>
      <c r="D15">
        <v>0.33333333333333331</v>
      </c>
      <c r="E15">
        <v>2025</v>
      </c>
      <c r="F15" t="s">
        <v>64</v>
      </c>
      <c r="G15" t="s">
        <v>124</v>
      </c>
      <c r="H15">
        <v>0.33333333333333331</v>
      </c>
      <c r="I15" t="s">
        <v>48</v>
      </c>
      <c r="J15" s="77" t="s">
        <v>48</v>
      </c>
      <c r="K15" s="77" t="s">
        <v>49</v>
      </c>
      <c r="L15" s="77" t="s">
        <v>49</v>
      </c>
      <c r="M15" t="s">
        <v>262</v>
      </c>
      <c r="N15" s="77" t="s">
        <v>149</v>
      </c>
      <c r="O15" s="77" t="s">
        <v>150</v>
      </c>
      <c r="P15">
        <v>5</v>
      </c>
      <c r="Q15" s="77" t="s">
        <v>523</v>
      </c>
      <c r="T15" s="77" t="s">
        <v>152</v>
      </c>
      <c r="U15" s="77" t="s">
        <v>524</v>
      </c>
      <c r="V15" s="77" t="s">
        <v>154</v>
      </c>
      <c r="W15" s="77" t="s">
        <v>56</v>
      </c>
      <c r="AB15" s="77" t="s">
        <v>494</v>
      </c>
      <c r="AC15" s="77" t="s">
        <v>58</v>
      </c>
      <c r="AD15" s="77" t="s">
        <v>147</v>
      </c>
      <c r="AE15" s="77" t="s">
        <v>60</v>
      </c>
      <c r="AF15" s="77" t="s">
        <v>155</v>
      </c>
      <c r="AG15" s="77" t="s">
        <v>62</v>
      </c>
      <c r="AH15" s="77" t="s">
        <v>63</v>
      </c>
      <c r="AI15">
        <v>9</v>
      </c>
      <c r="AJ15" s="1">
        <v>45679</v>
      </c>
      <c r="AK15" s="2">
        <v>0.33333333333333331</v>
      </c>
      <c r="AL15" s="1">
        <v>45679</v>
      </c>
      <c r="AM15" s="2">
        <v>0.80069444444444449</v>
      </c>
      <c r="AN15" s="1">
        <v>45679</v>
      </c>
      <c r="AO15" s="2">
        <v>0.80203703703703699</v>
      </c>
      <c r="AP15">
        <v>1</v>
      </c>
      <c r="AQ15">
        <v>4</v>
      </c>
      <c r="AR15">
        <v>4</v>
      </c>
      <c r="AS15">
        <v>22</v>
      </c>
      <c r="AT15">
        <v>22</v>
      </c>
      <c r="AU15">
        <v>45679.333333333336</v>
      </c>
    </row>
    <row r="16" spans="1:47" x14ac:dyDescent="0.3">
      <c r="A16" s="77" t="s">
        <v>490</v>
      </c>
      <c r="B16" s="77" t="s">
        <v>141</v>
      </c>
      <c r="C16">
        <v>45678</v>
      </c>
      <c r="D16">
        <v>0.79166666666666663</v>
      </c>
      <c r="E16">
        <v>2025</v>
      </c>
      <c r="F16" t="s">
        <v>64</v>
      </c>
      <c r="G16" t="s">
        <v>79</v>
      </c>
      <c r="H16">
        <v>0.79166666666666663</v>
      </c>
      <c r="I16" t="s">
        <v>48</v>
      </c>
      <c r="J16" s="77" t="s">
        <v>48</v>
      </c>
      <c r="K16" s="77" t="s">
        <v>49</v>
      </c>
      <c r="L16" s="77" t="s">
        <v>49</v>
      </c>
      <c r="M16" t="s">
        <v>282</v>
      </c>
      <c r="N16" s="77" t="s">
        <v>142</v>
      </c>
      <c r="O16" s="77" t="s">
        <v>134</v>
      </c>
      <c r="P16">
        <v>9</v>
      </c>
      <c r="Q16" s="77" t="s">
        <v>525</v>
      </c>
      <c r="T16" s="77" t="s">
        <v>144</v>
      </c>
      <c r="U16" s="77" t="s">
        <v>54</v>
      </c>
      <c r="V16" s="77" t="s">
        <v>145</v>
      </c>
      <c r="W16" s="77" t="s">
        <v>56</v>
      </c>
      <c r="AB16" s="77" t="s">
        <v>526</v>
      </c>
      <c r="AC16" s="77" t="s">
        <v>58</v>
      </c>
      <c r="AD16" s="77" t="s">
        <v>147</v>
      </c>
      <c r="AE16" s="77" t="s">
        <v>60</v>
      </c>
      <c r="AF16" s="77" t="s">
        <v>116</v>
      </c>
      <c r="AG16" s="77" t="s">
        <v>62</v>
      </c>
      <c r="AH16" s="77" t="s">
        <v>63</v>
      </c>
      <c r="AI16">
        <v>9</v>
      </c>
      <c r="AJ16" s="1">
        <v>45678</v>
      </c>
      <c r="AK16" s="2">
        <v>0.79166666666666663</v>
      </c>
      <c r="AL16" s="1">
        <v>45679</v>
      </c>
      <c r="AM16" s="2">
        <v>0.13125000000000001</v>
      </c>
      <c r="AN16" s="1">
        <v>45679</v>
      </c>
      <c r="AO16" s="2">
        <v>0.13255787037037037</v>
      </c>
      <c r="AP16">
        <v>1</v>
      </c>
      <c r="AQ16">
        <v>4</v>
      </c>
      <c r="AR16">
        <v>4</v>
      </c>
      <c r="AS16">
        <v>21</v>
      </c>
      <c r="AT16">
        <v>21</v>
      </c>
      <c r="AU16">
        <v>45678.791666666664</v>
      </c>
    </row>
    <row r="17" spans="1:47" x14ac:dyDescent="0.3">
      <c r="A17" s="77" t="s">
        <v>490</v>
      </c>
      <c r="B17" s="77" t="s">
        <v>132</v>
      </c>
      <c r="C17">
        <v>45673</v>
      </c>
      <c r="D17">
        <v>0.87708333333333333</v>
      </c>
      <c r="E17">
        <v>2025</v>
      </c>
      <c r="F17" t="s">
        <v>64</v>
      </c>
      <c r="G17" t="s">
        <v>131</v>
      </c>
      <c r="H17">
        <v>0.875</v>
      </c>
      <c r="I17" t="s">
        <v>95</v>
      </c>
      <c r="J17" s="77" t="s">
        <v>95</v>
      </c>
      <c r="K17" s="77" t="s">
        <v>49</v>
      </c>
      <c r="L17" s="77" t="s">
        <v>49</v>
      </c>
      <c r="M17" t="s">
        <v>281</v>
      </c>
      <c r="N17" s="77" t="s">
        <v>133</v>
      </c>
      <c r="O17" s="77" t="s">
        <v>134</v>
      </c>
      <c r="P17">
        <v>9</v>
      </c>
      <c r="Q17" s="77" t="s">
        <v>527</v>
      </c>
      <c r="T17" s="77"/>
      <c r="U17" s="77" t="s">
        <v>528</v>
      </c>
      <c r="V17" s="77" t="s">
        <v>529</v>
      </c>
      <c r="W17" s="77"/>
      <c r="AB17" s="77" t="s">
        <v>499</v>
      </c>
      <c r="AC17" s="77" t="s">
        <v>58</v>
      </c>
      <c r="AD17" s="77" t="s">
        <v>138</v>
      </c>
      <c r="AE17" s="77" t="s">
        <v>139</v>
      </c>
      <c r="AF17" s="77" t="s">
        <v>140</v>
      </c>
      <c r="AG17" s="77" t="s">
        <v>102</v>
      </c>
      <c r="AH17" s="77" t="s">
        <v>103</v>
      </c>
      <c r="AI17">
        <v>9</v>
      </c>
      <c r="AJ17" s="1">
        <v>45673</v>
      </c>
      <c r="AK17" s="2">
        <v>0.87708333333333333</v>
      </c>
      <c r="AL17" s="1">
        <v>45673</v>
      </c>
      <c r="AM17" s="2">
        <v>0.88611111111111107</v>
      </c>
      <c r="AN17" s="1">
        <v>45674</v>
      </c>
      <c r="AO17" s="2">
        <v>0.51179398148148147</v>
      </c>
      <c r="AP17">
        <v>1</v>
      </c>
      <c r="AQ17">
        <v>3</v>
      </c>
      <c r="AR17">
        <v>3</v>
      </c>
      <c r="AS17">
        <v>16</v>
      </c>
      <c r="AT17">
        <v>16</v>
      </c>
      <c r="AU17">
        <v>45673.877083333333</v>
      </c>
    </row>
    <row r="18" spans="1:47" x14ac:dyDescent="0.3">
      <c r="A18" s="77" t="s">
        <v>490</v>
      </c>
      <c r="B18" s="77" t="s">
        <v>125</v>
      </c>
      <c r="C18">
        <v>45673</v>
      </c>
      <c r="D18">
        <v>0.5</v>
      </c>
      <c r="E18">
        <v>2025</v>
      </c>
      <c r="F18" t="s">
        <v>64</v>
      </c>
      <c r="G18" t="s">
        <v>131</v>
      </c>
      <c r="H18">
        <v>0.5</v>
      </c>
      <c r="I18" t="s">
        <v>126</v>
      </c>
      <c r="J18" s="77" t="s">
        <v>126</v>
      </c>
      <c r="K18" s="77" t="s">
        <v>49</v>
      </c>
      <c r="L18" s="77" t="s">
        <v>49</v>
      </c>
      <c r="M18" t="s">
        <v>271</v>
      </c>
      <c r="N18" s="77" t="s">
        <v>127</v>
      </c>
      <c r="O18" s="77" t="s">
        <v>71</v>
      </c>
      <c r="P18">
        <v>7</v>
      </c>
      <c r="Q18" s="77" t="s">
        <v>530</v>
      </c>
      <c r="T18" s="77"/>
      <c r="U18" s="77"/>
      <c r="V18" s="77"/>
      <c r="W18" s="77"/>
      <c r="AB18" s="77" t="s">
        <v>499</v>
      </c>
      <c r="AC18" s="77" t="s">
        <v>58</v>
      </c>
      <c r="AD18" s="77" t="s">
        <v>129</v>
      </c>
      <c r="AE18" s="77" t="s">
        <v>88</v>
      </c>
      <c r="AF18" s="77" t="s">
        <v>89</v>
      </c>
      <c r="AG18" s="77" t="s">
        <v>62</v>
      </c>
      <c r="AH18" s="77" t="s">
        <v>130</v>
      </c>
      <c r="AI18">
        <v>9</v>
      </c>
      <c r="AJ18" s="1">
        <v>45673</v>
      </c>
      <c r="AK18" s="2">
        <v>0.5</v>
      </c>
      <c r="AL18" s="1">
        <v>45673</v>
      </c>
      <c r="AM18" s="2">
        <v>0.75</v>
      </c>
      <c r="AN18" s="1">
        <v>45673</v>
      </c>
      <c r="AO18" s="2">
        <v>0.81587962962962968</v>
      </c>
      <c r="AP18">
        <v>1</v>
      </c>
      <c r="AQ18">
        <v>3</v>
      </c>
      <c r="AR18">
        <v>3</v>
      </c>
      <c r="AS18">
        <v>16</v>
      </c>
      <c r="AT18">
        <v>16</v>
      </c>
      <c r="AU18">
        <v>45673.5</v>
      </c>
    </row>
    <row r="19" spans="1:47" x14ac:dyDescent="0.3">
      <c r="A19" s="77" t="s">
        <v>490</v>
      </c>
      <c r="B19" s="77" t="s">
        <v>118</v>
      </c>
      <c r="C19">
        <v>45672</v>
      </c>
      <c r="D19">
        <v>0.53988425925925931</v>
      </c>
      <c r="E19">
        <v>2025</v>
      </c>
      <c r="F19" t="s">
        <v>64</v>
      </c>
      <c r="G19" t="s">
        <v>124</v>
      </c>
      <c r="H19">
        <v>0.5</v>
      </c>
      <c r="I19" t="s">
        <v>48</v>
      </c>
      <c r="J19" s="77" t="s">
        <v>48</v>
      </c>
      <c r="K19" s="77" t="s">
        <v>49</v>
      </c>
      <c r="L19" s="77" t="s">
        <v>49</v>
      </c>
      <c r="M19" t="s">
        <v>273</v>
      </c>
      <c r="N19" s="77" t="s">
        <v>119</v>
      </c>
      <c r="O19" s="77" t="s">
        <v>97</v>
      </c>
      <c r="P19">
        <v>8</v>
      </c>
      <c r="Q19" s="77" t="s">
        <v>531</v>
      </c>
      <c r="T19" s="77" t="s">
        <v>121</v>
      </c>
      <c r="U19" s="77" t="s">
        <v>517</v>
      </c>
      <c r="V19" s="77" t="s">
        <v>122</v>
      </c>
      <c r="W19" s="77" t="s">
        <v>56</v>
      </c>
      <c r="AB19" s="77" t="s">
        <v>494</v>
      </c>
      <c r="AC19" s="77" t="s">
        <v>58</v>
      </c>
      <c r="AD19" s="77" t="s">
        <v>123</v>
      </c>
      <c r="AE19" s="77" t="s">
        <v>532</v>
      </c>
      <c r="AF19" s="77" t="s">
        <v>89</v>
      </c>
      <c r="AG19" s="77" t="s">
        <v>62</v>
      </c>
      <c r="AH19" s="77" t="s">
        <v>63</v>
      </c>
      <c r="AI19">
        <v>9</v>
      </c>
      <c r="AJ19" s="1">
        <v>45672</v>
      </c>
      <c r="AK19" s="2">
        <v>0.53988425925925931</v>
      </c>
      <c r="AL19" s="1"/>
      <c r="AM19" s="2"/>
      <c r="AN19" s="1">
        <v>45672</v>
      </c>
      <c r="AO19" s="2">
        <v>0.53988425925925931</v>
      </c>
      <c r="AP19">
        <v>1</v>
      </c>
      <c r="AQ19">
        <v>3</v>
      </c>
      <c r="AR19">
        <v>3</v>
      </c>
      <c r="AS19">
        <v>15</v>
      </c>
      <c r="AT19">
        <v>15</v>
      </c>
      <c r="AU19">
        <v>45672.539583333331</v>
      </c>
    </row>
    <row r="20" spans="1:47" x14ac:dyDescent="0.3">
      <c r="A20" s="77" t="s">
        <v>490</v>
      </c>
      <c r="B20" s="77" t="s">
        <v>105</v>
      </c>
      <c r="C20">
        <v>45671</v>
      </c>
      <c r="D20">
        <v>0.64067129629629627</v>
      </c>
      <c r="E20">
        <v>2025</v>
      </c>
      <c r="F20" t="s">
        <v>64</v>
      </c>
      <c r="G20" t="s">
        <v>79</v>
      </c>
      <c r="H20">
        <v>0.625</v>
      </c>
      <c r="I20" t="s">
        <v>117</v>
      </c>
      <c r="J20" s="77" t="s">
        <v>95</v>
      </c>
      <c r="K20" s="77" t="s">
        <v>106</v>
      </c>
      <c r="L20" s="77" t="s">
        <v>107</v>
      </c>
      <c r="M20" t="s">
        <v>280</v>
      </c>
      <c r="N20" s="77" t="s">
        <v>108</v>
      </c>
      <c r="O20" s="77" t="s">
        <v>109</v>
      </c>
      <c r="P20">
        <v>9</v>
      </c>
      <c r="Q20" s="77" t="s">
        <v>533</v>
      </c>
      <c r="T20" s="77" t="s">
        <v>534</v>
      </c>
      <c r="U20" s="77" t="s">
        <v>535</v>
      </c>
      <c r="V20" s="77" t="s">
        <v>113</v>
      </c>
      <c r="W20" s="77" t="s">
        <v>56</v>
      </c>
      <c r="AB20" s="77" t="s">
        <v>494</v>
      </c>
      <c r="AC20" s="77" t="s">
        <v>58</v>
      </c>
      <c r="AD20" s="77" t="s">
        <v>59</v>
      </c>
      <c r="AE20" s="77" t="s">
        <v>536</v>
      </c>
      <c r="AF20" s="77" t="s">
        <v>116</v>
      </c>
      <c r="AG20" s="77" t="s">
        <v>102</v>
      </c>
      <c r="AH20" s="77" t="s">
        <v>103</v>
      </c>
      <c r="AI20">
        <v>9</v>
      </c>
      <c r="AJ20" s="1">
        <v>45671</v>
      </c>
      <c r="AK20" s="2">
        <v>0.64067129629629627</v>
      </c>
      <c r="AL20" s="1"/>
      <c r="AM20" s="2"/>
      <c r="AN20" s="1">
        <v>45671</v>
      </c>
      <c r="AO20" s="2">
        <v>0.64067129629629627</v>
      </c>
      <c r="AP20">
        <v>1</v>
      </c>
      <c r="AQ20">
        <v>3</v>
      </c>
      <c r="AR20">
        <v>3</v>
      </c>
      <c r="AS20">
        <v>14</v>
      </c>
      <c r="AT20">
        <v>14</v>
      </c>
      <c r="AU20">
        <v>45671.640277777777</v>
      </c>
    </row>
    <row r="21" spans="1:47" x14ac:dyDescent="0.3">
      <c r="A21" s="77" t="s">
        <v>490</v>
      </c>
      <c r="B21" s="77" t="s">
        <v>92</v>
      </c>
      <c r="C21">
        <v>45670</v>
      </c>
      <c r="D21">
        <v>0.50347222222222221</v>
      </c>
      <c r="E21">
        <v>2025</v>
      </c>
      <c r="F21" t="s">
        <v>64</v>
      </c>
      <c r="G21" t="s">
        <v>91</v>
      </c>
      <c r="H21">
        <v>0.5</v>
      </c>
      <c r="I21" t="s">
        <v>104</v>
      </c>
      <c r="J21" s="77" t="s">
        <v>93</v>
      </c>
      <c r="K21" s="77" t="s">
        <v>94</v>
      </c>
      <c r="L21" s="77" t="s">
        <v>95</v>
      </c>
      <c r="M21" t="s">
        <v>272</v>
      </c>
      <c r="N21" s="77" t="s">
        <v>96</v>
      </c>
      <c r="O21" s="77" t="s">
        <v>97</v>
      </c>
      <c r="P21">
        <v>8</v>
      </c>
      <c r="Q21" s="77" t="s">
        <v>537</v>
      </c>
      <c r="T21" s="77"/>
      <c r="U21" s="77"/>
      <c r="V21" s="77"/>
      <c r="W21" s="77"/>
      <c r="AB21" s="77" t="s">
        <v>510</v>
      </c>
      <c r="AC21" s="77" t="s">
        <v>58</v>
      </c>
      <c r="AD21" s="77" t="s">
        <v>99</v>
      </c>
      <c r="AE21" s="77" t="s">
        <v>100</v>
      </c>
      <c r="AF21" s="77" t="s">
        <v>101</v>
      </c>
      <c r="AG21" s="77" t="s">
        <v>102</v>
      </c>
      <c r="AH21" s="77" t="s">
        <v>103</v>
      </c>
      <c r="AI21">
        <v>9</v>
      </c>
      <c r="AJ21" s="1">
        <v>45670</v>
      </c>
      <c r="AK21" s="2">
        <v>0.50347222222222221</v>
      </c>
      <c r="AL21" s="1"/>
      <c r="AM21" s="2"/>
      <c r="AN21" s="1">
        <v>45670</v>
      </c>
      <c r="AO21" s="2">
        <v>0.50537037037037036</v>
      </c>
      <c r="AP21">
        <v>1</v>
      </c>
      <c r="AQ21">
        <v>3</v>
      </c>
      <c r="AR21">
        <v>3</v>
      </c>
      <c r="AS21">
        <v>13</v>
      </c>
      <c r="AT21">
        <v>13</v>
      </c>
      <c r="AU21">
        <v>45670.503472222219</v>
      </c>
    </row>
    <row r="22" spans="1:47" x14ac:dyDescent="0.3">
      <c r="A22" s="77" t="s">
        <v>490</v>
      </c>
      <c r="B22" s="77" t="s">
        <v>67</v>
      </c>
      <c r="C22">
        <v>45664</v>
      </c>
      <c r="D22">
        <v>0.58333333333333337</v>
      </c>
      <c r="E22">
        <v>2025</v>
      </c>
      <c r="F22" t="s">
        <v>64</v>
      </c>
      <c r="G22" t="s">
        <v>79</v>
      </c>
      <c r="H22">
        <v>0.58333333333333337</v>
      </c>
      <c r="I22" t="s">
        <v>78</v>
      </c>
      <c r="J22" s="77" t="s">
        <v>68</v>
      </c>
      <c r="K22" s="77" t="s">
        <v>69</v>
      </c>
      <c r="L22" s="77" t="s">
        <v>49</v>
      </c>
      <c r="M22" t="s">
        <v>269</v>
      </c>
      <c r="N22" s="77" t="s">
        <v>70</v>
      </c>
      <c r="O22" s="77" t="s">
        <v>71</v>
      </c>
      <c r="P22">
        <v>7</v>
      </c>
      <c r="Q22" s="77" t="s">
        <v>538</v>
      </c>
      <c r="T22" s="77"/>
      <c r="U22" s="77"/>
      <c r="V22" s="77"/>
      <c r="W22" s="77"/>
      <c r="AB22" s="77" t="s">
        <v>539</v>
      </c>
      <c r="AC22" s="77" t="s">
        <v>58</v>
      </c>
      <c r="AD22" s="77" t="s">
        <v>74</v>
      </c>
      <c r="AE22" s="77" t="s">
        <v>75</v>
      </c>
      <c r="AF22" s="77" t="s">
        <v>76</v>
      </c>
      <c r="AG22" s="77" t="s">
        <v>62</v>
      </c>
      <c r="AH22" s="77" t="s">
        <v>77</v>
      </c>
      <c r="AI22">
        <v>9</v>
      </c>
      <c r="AJ22" s="1">
        <v>45664</v>
      </c>
      <c r="AK22" s="2">
        <v>0.58333333333333337</v>
      </c>
      <c r="AL22" s="1"/>
      <c r="AM22" s="2"/>
      <c r="AN22" s="1">
        <v>45667</v>
      </c>
      <c r="AO22" s="2">
        <v>0.59781249999999997</v>
      </c>
      <c r="AP22">
        <v>1</v>
      </c>
      <c r="AQ22">
        <v>2</v>
      </c>
      <c r="AR22">
        <v>2</v>
      </c>
      <c r="AS22">
        <v>7</v>
      </c>
      <c r="AT22">
        <v>7</v>
      </c>
      <c r="AU22">
        <v>45664.583333333336</v>
      </c>
    </row>
    <row r="23" spans="1:47" x14ac:dyDescent="0.3">
      <c r="A23" s="77" t="s">
        <v>490</v>
      </c>
      <c r="B23" s="77" t="s">
        <v>80</v>
      </c>
      <c r="C23">
        <v>45663</v>
      </c>
      <c r="D23">
        <v>0.64583333333333337</v>
      </c>
      <c r="E23">
        <v>2025</v>
      </c>
      <c r="F23" t="s">
        <v>64</v>
      </c>
      <c r="G23" t="s">
        <v>91</v>
      </c>
      <c r="H23">
        <v>0.625</v>
      </c>
      <c r="I23" t="s">
        <v>81</v>
      </c>
      <c r="J23" s="77" t="s">
        <v>81</v>
      </c>
      <c r="K23" s="77" t="s">
        <v>49</v>
      </c>
      <c r="L23" s="77" t="s">
        <v>49</v>
      </c>
      <c r="M23" t="s">
        <v>270</v>
      </c>
      <c r="N23" s="77" t="s">
        <v>82</v>
      </c>
      <c r="O23" s="77"/>
      <c r="P23">
        <v>7</v>
      </c>
      <c r="Q23" s="77" t="s">
        <v>540</v>
      </c>
      <c r="T23" s="77" t="s">
        <v>84</v>
      </c>
      <c r="U23" s="77" t="s">
        <v>517</v>
      </c>
      <c r="V23" s="77" t="s">
        <v>85</v>
      </c>
      <c r="W23" s="77" t="s">
        <v>56</v>
      </c>
      <c r="AB23" s="77" t="s">
        <v>499</v>
      </c>
      <c r="AC23" s="77" t="s">
        <v>58</v>
      </c>
      <c r="AD23" s="77" t="s">
        <v>87</v>
      </c>
      <c r="AE23" s="77" t="s">
        <v>88</v>
      </c>
      <c r="AF23" s="77" t="s">
        <v>89</v>
      </c>
      <c r="AG23" s="77" t="s">
        <v>62</v>
      </c>
      <c r="AH23" s="77" t="s">
        <v>90</v>
      </c>
      <c r="AI23">
        <v>9</v>
      </c>
      <c r="AJ23" s="1">
        <v>45663</v>
      </c>
      <c r="AK23" s="2">
        <v>0.64583333333333337</v>
      </c>
      <c r="AL23" s="1">
        <v>45667</v>
      </c>
      <c r="AM23" s="2"/>
      <c r="AN23" s="1">
        <v>45667</v>
      </c>
      <c r="AO23" s="2">
        <v>0.82629629629629631</v>
      </c>
      <c r="AP23">
        <v>1</v>
      </c>
      <c r="AQ23">
        <v>2</v>
      </c>
      <c r="AR23">
        <v>2</v>
      </c>
      <c r="AS23">
        <v>6</v>
      </c>
      <c r="AT23">
        <v>6</v>
      </c>
      <c r="AU23">
        <v>45663.645833333336</v>
      </c>
    </row>
    <row r="24" spans="1:47" x14ac:dyDescent="0.3">
      <c r="A24" s="77" t="s">
        <v>490</v>
      </c>
      <c r="B24" s="77" t="s">
        <v>47</v>
      </c>
      <c r="C24">
        <v>45660</v>
      </c>
      <c r="D24">
        <v>0.89583333333333337</v>
      </c>
      <c r="E24">
        <v>2025</v>
      </c>
      <c r="F24" t="s">
        <v>64</v>
      </c>
      <c r="G24" t="s">
        <v>65</v>
      </c>
      <c r="H24">
        <v>0.875</v>
      </c>
      <c r="I24" t="s">
        <v>48</v>
      </c>
      <c r="J24" s="77" t="s">
        <v>48</v>
      </c>
      <c r="K24" s="77" t="s">
        <v>49</v>
      </c>
      <c r="L24" s="77" t="s">
        <v>49</v>
      </c>
      <c r="M24" t="s">
        <v>279</v>
      </c>
      <c r="N24" s="77" t="s">
        <v>50</v>
      </c>
      <c r="O24" s="77" t="s">
        <v>51</v>
      </c>
      <c r="P24">
        <v>9</v>
      </c>
      <c r="Q24" s="77" t="s">
        <v>541</v>
      </c>
      <c r="T24" s="77" t="s">
        <v>542</v>
      </c>
      <c r="U24" s="77" t="s">
        <v>517</v>
      </c>
      <c r="V24" s="77" t="s">
        <v>55</v>
      </c>
      <c r="W24" s="77" t="s">
        <v>56</v>
      </c>
      <c r="AB24" s="77" t="s">
        <v>510</v>
      </c>
      <c r="AC24" s="77" t="s">
        <v>58</v>
      </c>
      <c r="AD24" s="77" t="s">
        <v>59</v>
      </c>
      <c r="AE24" s="77" t="s">
        <v>60</v>
      </c>
      <c r="AF24" s="77" t="s">
        <v>61</v>
      </c>
      <c r="AG24" s="77" t="s">
        <v>62</v>
      </c>
      <c r="AH24" s="77" t="s">
        <v>63</v>
      </c>
      <c r="AI24">
        <v>9</v>
      </c>
      <c r="AJ24" s="1">
        <v>45660</v>
      </c>
      <c r="AK24" s="2">
        <v>0.89583333333333337</v>
      </c>
      <c r="AL24" s="1">
        <v>45661</v>
      </c>
      <c r="AM24" s="2">
        <v>0.2673611111111111</v>
      </c>
      <c r="AN24" s="1">
        <v>45661</v>
      </c>
      <c r="AO24" s="2">
        <v>0.45774305555555556</v>
      </c>
      <c r="AP24">
        <v>1</v>
      </c>
      <c r="AQ24">
        <v>1</v>
      </c>
      <c r="AR24">
        <v>1</v>
      </c>
      <c r="AS24">
        <v>3</v>
      </c>
      <c r="AT24">
        <v>3</v>
      </c>
      <c r="AU24">
        <v>45660.895833333336</v>
      </c>
    </row>
    <row r="25" spans="1:47" x14ac:dyDescent="0.3">
      <c r="A25" s="77" t="s">
        <v>543</v>
      </c>
      <c r="B25" s="77" t="s">
        <v>350</v>
      </c>
      <c r="C25">
        <v>45701</v>
      </c>
      <c r="D25">
        <v>0.66666666666666663</v>
      </c>
      <c r="E25">
        <v>2025</v>
      </c>
      <c r="F25" t="s">
        <v>210</v>
      </c>
      <c r="G25" t="s">
        <v>131</v>
      </c>
      <c r="H25">
        <v>0.66666666666666663</v>
      </c>
      <c r="I25" t="s">
        <v>81</v>
      </c>
      <c r="J25" s="77" t="s">
        <v>81</v>
      </c>
      <c r="K25" s="77" t="s">
        <v>49</v>
      </c>
      <c r="L25" s="77" t="s">
        <v>49</v>
      </c>
      <c r="M25" t="s">
        <v>351</v>
      </c>
      <c r="N25" s="77" t="s">
        <v>352</v>
      </c>
      <c r="O25" s="77" t="s">
        <v>353</v>
      </c>
      <c r="P25">
        <v>6</v>
      </c>
      <c r="Q25" s="77" t="s">
        <v>544</v>
      </c>
      <c r="T25" s="77" t="s">
        <v>356</v>
      </c>
      <c r="U25" s="77" t="s">
        <v>505</v>
      </c>
      <c r="V25" s="77" t="s">
        <v>357</v>
      </c>
      <c r="W25" s="77" t="s">
        <v>56</v>
      </c>
      <c r="AB25" s="77" t="s">
        <v>494</v>
      </c>
      <c r="AC25" s="77" t="s">
        <v>58</v>
      </c>
      <c r="AD25" s="77" t="s">
        <v>358</v>
      </c>
      <c r="AE25" s="77" t="s">
        <v>245</v>
      </c>
      <c r="AF25" s="77" t="s">
        <v>177</v>
      </c>
      <c r="AG25" s="77" t="s">
        <v>359</v>
      </c>
      <c r="AH25" s="77" t="s">
        <v>90</v>
      </c>
      <c r="AI25">
        <v>9</v>
      </c>
      <c r="AJ25" s="1">
        <v>45701</v>
      </c>
      <c r="AK25" s="2">
        <v>0.66666666666666663</v>
      </c>
      <c r="AL25" s="1"/>
      <c r="AM25" s="2"/>
      <c r="AN25" s="1">
        <v>45702</v>
      </c>
      <c r="AO25" s="2">
        <v>0.29906250000000001</v>
      </c>
      <c r="AP25">
        <v>1</v>
      </c>
      <c r="AQ25">
        <v>7</v>
      </c>
      <c r="AR25">
        <v>3</v>
      </c>
      <c r="AS25">
        <v>13</v>
      </c>
      <c r="AT25">
        <v>44</v>
      </c>
      <c r="AU25">
        <v>45701.666666666664</v>
      </c>
    </row>
    <row r="26" spans="1:47" x14ac:dyDescent="0.3">
      <c r="A26" s="77" t="s">
        <v>543</v>
      </c>
      <c r="B26" s="77" t="s">
        <v>360</v>
      </c>
      <c r="C26">
        <v>45701</v>
      </c>
      <c r="D26">
        <v>8.3333333333333329E-2</v>
      </c>
      <c r="E26">
        <v>2025</v>
      </c>
      <c r="F26" t="s">
        <v>210</v>
      </c>
      <c r="G26" t="s">
        <v>131</v>
      </c>
      <c r="H26">
        <v>8.3333333333333329E-2</v>
      </c>
      <c r="I26" t="s">
        <v>363</v>
      </c>
      <c r="J26" s="77" t="s">
        <v>361</v>
      </c>
      <c r="K26" s="77" t="s">
        <v>362</v>
      </c>
      <c r="L26" s="77" t="s">
        <v>95</v>
      </c>
      <c r="M26" t="s">
        <v>545</v>
      </c>
      <c r="N26" s="77" t="s">
        <v>366</v>
      </c>
      <c r="O26" s="77" t="s">
        <v>339</v>
      </c>
      <c r="P26">
        <v>9</v>
      </c>
      <c r="Q26" s="77" t="s">
        <v>546</v>
      </c>
      <c r="T26" s="77"/>
      <c r="U26" s="77"/>
      <c r="V26" s="77"/>
      <c r="W26" s="77"/>
      <c r="AB26" s="77" t="s">
        <v>547</v>
      </c>
      <c r="AC26" s="77" t="s">
        <v>58</v>
      </c>
      <c r="AD26" s="77" t="s">
        <v>358</v>
      </c>
      <c r="AE26" s="77" t="s">
        <v>245</v>
      </c>
      <c r="AF26" s="77" t="s">
        <v>140</v>
      </c>
      <c r="AG26" s="77" t="s">
        <v>369</v>
      </c>
      <c r="AH26" s="77"/>
      <c r="AI26">
        <v>9</v>
      </c>
      <c r="AJ26" s="1">
        <v>45701</v>
      </c>
      <c r="AK26" s="2">
        <v>8.3333333333333329E-2</v>
      </c>
      <c r="AL26" s="1"/>
      <c r="AM26" s="2"/>
      <c r="AN26" s="1">
        <v>45701</v>
      </c>
      <c r="AO26" s="2">
        <v>0.51225694444444447</v>
      </c>
      <c r="AP26">
        <v>1</v>
      </c>
      <c r="AQ26">
        <v>7</v>
      </c>
      <c r="AR26">
        <v>3</v>
      </c>
      <c r="AS26">
        <v>13</v>
      </c>
      <c r="AT26">
        <v>44</v>
      </c>
      <c r="AU26">
        <v>45701.083333333336</v>
      </c>
    </row>
    <row r="27" spans="1:47" x14ac:dyDescent="0.3">
      <c r="A27" s="77" t="s">
        <v>543</v>
      </c>
      <c r="B27" s="77" t="s">
        <v>237</v>
      </c>
      <c r="C27">
        <v>45695</v>
      </c>
      <c r="D27">
        <v>0.27430555555555558</v>
      </c>
      <c r="E27">
        <v>2025</v>
      </c>
      <c r="F27" t="s">
        <v>210</v>
      </c>
      <c r="G27" t="s">
        <v>65</v>
      </c>
      <c r="H27">
        <v>0.25</v>
      </c>
      <c r="I27" t="s">
        <v>48</v>
      </c>
      <c r="J27" s="77" t="s">
        <v>48</v>
      </c>
      <c r="K27" s="77" t="s">
        <v>49</v>
      </c>
      <c r="L27" s="77" t="s">
        <v>49</v>
      </c>
      <c r="M27" t="s">
        <v>267</v>
      </c>
      <c r="N27" s="77" t="s">
        <v>238</v>
      </c>
      <c r="O27" s="77" t="s">
        <v>239</v>
      </c>
      <c r="P27">
        <v>5</v>
      </c>
      <c r="Q27" s="77" t="s">
        <v>491</v>
      </c>
      <c r="T27" s="77" t="s">
        <v>492</v>
      </c>
      <c r="U27" s="77" t="s">
        <v>493</v>
      </c>
      <c r="V27" s="77" t="s">
        <v>243</v>
      </c>
      <c r="W27" s="77" t="s">
        <v>56</v>
      </c>
      <c r="AB27" s="77" t="s">
        <v>494</v>
      </c>
      <c r="AC27" s="77" t="s">
        <v>58</v>
      </c>
      <c r="AD27" s="77" t="s">
        <v>244</v>
      </c>
      <c r="AE27" s="77" t="s">
        <v>245</v>
      </c>
      <c r="AF27" s="77" t="s">
        <v>215</v>
      </c>
      <c r="AG27" s="77" t="s">
        <v>178</v>
      </c>
      <c r="AH27" s="77" t="s">
        <v>63</v>
      </c>
      <c r="AI27">
        <v>9</v>
      </c>
      <c r="AJ27" s="1">
        <v>45695</v>
      </c>
      <c r="AK27" s="2">
        <v>0.27430555555555558</v>
      </c>
      <c r="AL27" s="1">
        <v>45695</v>
      </c>
      <c r="AM27" s="2">
        <v>0.28472222222222221</v>
      </c>
      <c r="AN27" s="1">
        <v>45695</v>
      </c>
      <c r="AO27" s="2">
        <v>0.30738425925925927</v>
      </c>
      <c r="AP27">
        <v>1</v>
      </c>
      <c r="AQ27">
        <v>6</v>
      </c>
      <c r="AR27">
        <v>2</v>
      </c>
      <c r="AS27">
        <v>7</v>
      </c>
      <c r="AT27">
        <v>38</v>
      </c>
      <c r="AU27">
        <v>45695.274305555555</v>
      </c>
    </row>
    <row r="28" spans="1:47" x14ac:dyDescent="0.3">
      <c r="A28" s="77" t="s">
        <v>543</v>
      </c>
      <c r="B28" s="77" t="s">
        <v>229</v>
      </c>
      <c r="C28">
        <v>45693</v>
      </c>
      <c r="D28">
        <v>0.12291666666666666</v>
      </c>
      <c r="E28">
        <v>2025</v>
      </c>
      <c r="F28" t="s">
        <v>210</v>
      </c>
      <c r="G28" t="s">
        <v>124</v>
      </c>
      <c r="H28">
        <v>8.3333333333333329E-2</v>
      </c>
      <c r="I28" t="s">
        <v>236</v>
      </c>
      <c r="J28" s="77" t="s">
        <v>230</v>
      </c>
      <c r="K28" s="77" t="s">
        <v>231</v>
      </c>
      <c r="L28" s="77" t="s">
        <v>49</v>
      </c>
      <c r="M28" t="s">
        <v>278</v>
      </c>
      <c r="N28" s="77" t="s">
        <v>232</v>
      </c>
      <c r="O28" s="77" t="s">
        <v>200</v>
      </c>
      <c r="P28">
        <v>8</v>
      </c>
      <c r="Q28" s="77" t="s">
        <v>495</v>
      </c>
      <c r="T28" s="77"/>
      <c r="U28" s="77"/>
      <c r="V28" s="77"/>
      <c r="W28" s="77"/>
      <c r="AB28" s="77" t="s">
        <v>494</v>
      </c>
      <c r="AC28" s="77" t="s">
        <v>58</v>
      </c>
      <c r="AD28" s="77" t="s">
        <v>234</v>
      </c>
      <c r="AE28" s="77" t="s">
        <v>139</v>
      </c>
      <c r="AF28" s="77" t="s">
        <v>235</v>
      </c>
      <c r="AG28" s="77" t="s">
        <v>102</v>
      </c>
      <c r="AH28" s="77" t="s">
        <v>130</v>
      </c>
      <c r="AI28">
        <v>9</v>
      </c>
      <c r="AJ28" s="1">
        <v>45693</v>
      </c>
      <c r="AK28" s="2">
        <v>0.12291666666666666</v>
      </c>
      <c r="AL28" s="1"/>
      <c r="AM28" s="2"/>
      <c r="AN28" s="1">
        <v>45693</v>
      </c>
      <c r="AO28" s="2">
        <v>0.1233912037037037</v>
      </c>
      <c r="AP28">
        <v>1</v>
      </c>
      <c r="AQ28">
        <v>6</v>
      </c>
      <c r="AR28">
        <v>2</v>
      </c>
      <c r="AS28">
        <v>5</v>
      </c>
      <c r="AT28">
        <v>36</v>
      </c>
      <c r="AU28">
        <v>45693.122916666667</v>
      </c>
    </row>
    <row r="29" spans="1:47" x14ac:dyDescent="0.3">
      <c r="A29" s="77" t="s">
        <v>543</v>
      </c>
      <c r="B29" s="77" t="s">
        <v>220</v>
      </c>
      <c r="C29">
        <v>45691</v>
      </c>
      <c r="D29">
        <v>0.77083333333333337</v>
      </c>
      <c r="E29">
        <v>2025</v>
      </c>
      <c r="F29" t="s">
        <v>210</v>
      </c>
      <c r="G29" t="s">
        <v>91</v>
      </c>
      <c r="H29">
        <v>0.75</v>
      </c>
      <c r="I29" t="s">
        <v>48</v>
      </c>
      <c r="J29" s="77" t="s">
        <v>48</v>
      </c>
      <c r="K29" s="77" t="s">
        <v>49</v>
      </c>
      <c r="L29" s="77" t="s">
        <v>49</v>
      </c>
      <c r="M29" t="s">
        <v>277</v>
      </c>
      <c r="N29" s="77" t="s">
        <v>221</v>
      </c>
      <c r="O29" s="77" t="s">
        <v>222</v>
      </c>
      <c r="P29">
        <v>8</v>
      </c>
      <c r="Q29" s="77" t="s">
        <v>496</v>
      </c>
      <c r="T29" s="77" t="s">
        <v>497</v>
      </c>
      <c r="U29" s="77" t="s">
        <v>225</v>
      </c>
      <c r="V29" s="77" t="s">
        <v>498</v>
      </c>
      <c r="W29" s="77" t="s">
        <v>227</v>
      </c>
      <c r="AB29" s="77" t="s">
        <v>499</v>
      </c>
      <c r="AC29" s="77" t="s">
        <v>58</v>
      </c>
      <c r="AD29" s="77" t="s">
        <v>186</v>
      </c>
      <c r="AE29" s="77" t="s">
        <v>88</v>
      </c>
      <c r="AF29" s="77" t="s">
        <v>89</v>
      </c>
      <c r="AG29" s="77" t="s">
        <v>228</v>
      </c>
      <c r="AH29" s="77" t="s">
        <v>63</v>
      </c>
      <c r="AI29">
        <v>9</v>
      </c>
      <c r="AJ29" s="1">
        <v>45691</v>
      </c>
      <c r="AK29" s="2">
        <v>0.77083333333333337</v>
      </c>
      <c r="AL29" s="1">
        <v>45692</v>
      </c>
      <c r="AM29" s="2">
        <v>0.79166666666666663</v>
      </c>
      <c r="AN29" s="1">
        <v>45692</v>
      </c>
      <c r="AO29" s="2">
        <v>0.53023148148148147</v>
      </c>
      <c r="AP29">
        <v>1</v>
      </c>
      <c r="AQ29">
        <v>6</v>
      </c>
      <c r="AR29">
        <v>2</v>
      </c>
      <c r="AS29">
        <v>3</v>
      </c>
      <c r="AT29">
        <v>34</v>
      </c>
      <c r="AU29">
        <v>45691.770833333336</v>
      </c>
    </row>
    <row r="30" spans="1:47" x14ac:dyDescent="0.3">
      <c r="A30" s="77" t="s">
        <v>543</v>
      </c>
      <c r="B30" s="77" t="s">
        <v>217</v>
      </c>
      <c r="C30">
        <v>45691</v>
      </c>
      <c r="D30">
        <v>0.694849537037037</v>
      </c>
      <c r="E30">
        <v>2025</v>
      </c>
      <c r="F30" t="s">
        <v>210</v>
      </c>
      <c r="G30" t="s">
        <v>91</v>
      </c>
      <c r="H30">
        <v>0.66666666666666663</v>
      </c>
      <c r="I30" t="s">
        <v>95</v>
      </c>
      <c r="J30" s="77" t="s">
        <v>95</v>
      </c>
      <c r="K30" s="77" t="s">
        <v>49</v>
      </c>
      <c r="L30" s="77" t="s">
        <v>49</v>
      </c>
      <c r="M30" t="s">
        <v>284</v>
      </c>
      <c r="N30" s="77" t="s">
        <v>218</v>
      </c>
      <c r="O30" s="77" t="s">
        <v>109</v>
      </c>
      <c r="P30">
        <v>9</v>
      </c>
      <c r="Q30" s="77" t="s">
        <v>500</v>
      </c>
      <c r="T30" s="77"/>
      <c r="U30" s="77"/>
      <c r="V30" s="77"/>
      <c r="W30" s="77"/>
      <c r="AB30" s="77" t="s">
        <v>501</v>
      </c>
      <c r="AC30" s="77" t="s">
        <v>58</v>
      </c>
      <c r="AD30" s="77" t="s">
        <v>129</v>
      </c>
      <c r="AE30" s="77" t="s">
        <v>88</v>
      </c>
      <c r="AF30" s="77" t="s">
        <v>187</v>
      </c>
      <c r="AG30" s="77" t="s">
        <v>62</v>
      </c>
      <c r="AH30" s="77" t="s">
        <v>103</v>
      </c>
      <c r="AI30">
        <v>9</v>
      </c>
      <c r="AJ30" s="1"/>
      <c r="AK30" s="2"/>
      <c r="AL30" s="1"/>
      <c r="AM30" s="2"/>
      <c r="AN30" s="1">
        <v>45691</v>
      </c>
      <c r="AO30" s="2">
        <v>0.694849537037037</v>
      </c>
      <c r="AP30">
        <v>1</v>
      </c>
      <c r="AQ30">
        <v>6</v>
      </c>
      <c r="AR30">
        <v>2</v>
      </c>
      <c r="AS30">
        <v>3</v>
      </c>
      <c r="AT30">
        <v>34</v>
      </c>
      <c r="AU30">
        <v>45691.694444444445</v>
      </c>
    </row>
    <row r="31" spans="1:47" x14ac:dyDescent="0.3">
      <c r="A31" s="77" t="s">
        <v>543</v>
      </c>
      <c r="B31" s="77" t="s">
        <v>211</v>
      </c>
      <c r="C31">
        <v>45690</v>
      </c>
      <c r="D31">
        <v>0.72569444444444442</v>
      </c>
      <c r="E31">
        <v>2025</v>
      </c>
      <c r="F31" t="s">
        <v>210</v>
      </c>
      <c r="G31" t="s">
        <v>188</v>
      </c>
      <c r="H31">
        <v>0.70833333333333337</v>
      </c>
      <c r="I31" t="s">
        <v>216</v>
      </c>
      <c r="J31" s="77" t="s">
        <v>212</v>
      </c>
      <c r="K31" s="77" t="s">
        <v>95</v>
      </c>
      <c r="L31" s="77" t="s">
        <v>49</v>
      </c>
      <c r="M31" t="s">
        <v>266</v>
      </c>
      <c r="N31" s="77" t="s">
        <v>213</v>
      </c>
      <c r="O31" s="77" t="s">
        <v>166</v>
      </c>
      <c r="P31">
        <v>5</v>
      </c>
      <c r="Q31" s="77" t="s">
        <v>502</v>
      </c>
      <c r="T31" s="77"/>
      <c r="U31" s="77"/>
      <c r="V31" s="77"/>
      <c r="W31" s="77"/>
      <c r="AB31" s="77" t="s">
        <v>499</v>
      </c>
      <c r="AC31" s="77" t="s">
        <v>58</v>
      </c>
      <c r="AD31" s="77" t="s">
        <v>186</v>
      </c>
      <c r="AE31" s="77" t="s">
        <v>88</v>
      </c>
      <c r="AF31" s="77" t="s">
        <v>215</v>
      </c>
      <c r="AG31" s="77" t="s">
        <v>178</v>
      </c>
      <c r="AH31" s="77"/>
      <c r="AI31">
        <v>9</v>
      </c>
      <c r="AJ31" s="1">
        <v>45690</v>
      </c>
      <c r="AK31" s="2">
        <v>0.72569444444444442</v>
      </c>
      <c r="AL31" s="1">
        <v>45690</v>
      </c>
      <c r="AM31" s="2">
        <v>0.75</v>
      </c>
      <c r="AN31" s="1">
        <v>45691</v>
      </c>
      <c r="AO31" s="2">
        <v>0.50143518518518515</v>
      </c>
      <c r="AP31">
        <v>1</v>
      </c>
      <c r="AQ31">
        <v>6</v>
      </c>
      <c r="AR31">
        <v>2</v>
      </c>
      <c r="AS31">
        <v>2</v>
      </c>
      <c r="AT31">
        <v>33</v>
      </c>
      <c r="AU31">
        <v>45690.725694444445</v>
      </c>
    </row>
    <row r="32" spans="1:47" x14ac:dyDescent="0.3">
      <c r="A32" s="77" t="s">
        <v>543</v>
      </c>
      <c r="B32" s="77" t="s">
        <v>203</v>
      </c>
      <c r="C32">
        <v>45689</v>
      </c>
      <c r="D32">
        <v>4.1666666666666664E-2</v>
      </c>
      <c r="E32">
        <v>2025</v>
      </c>
      <c r="F32" t="s">
        <v>210</v>
      </c>
      <c r="G32" t="s">
        <v>170</v>
      </c>
      <c r="H32">
        <v>4.1666666666666664E-2</v>
      </c>
      <c r="I32" t="s">
        <v>48</v>
      </c>
      <c r="J32" s="77" t="s">
        <v>48</v>
      </c>
      <c r="K32" s="77" t="s">
        <v>49</v>
      </c>
      <c r="L32" s="77" t="s">
        <v>49</v>
      </c>
      <c r="M32" t="s">
        <v>265</v>
      </c>
      <c r="N32" s="77" t="s">
        <v>204</v>
      </c>
      <c r="O32" s="77" t="s">
        <v>205</v>
      </c>
      <c r="P32">
        <v>6</v>
      </c>
      <c r="Q32" s="77" t="s">
        <v>503</v>
      </c>
      <c r="T32" s="77" t="s">
        <v>504</v>
      </c>
      <c r="U32" s="77" t="s">
        <v>505</v>
      </c>
      <c r="V32" s="77" t="s">
        <v>209</v>
      </c>
      <c r="W32" s="77" t="s">
        <v>56</v>
      </c>
      <c r="AB32" s="77" t="s">
        <v>494</v>
      </c>
      <c r="AC32" s="77" t="s">
        <v>58</v>
      </c>
      <c r="AD32" s="77" t="s">
        <v>147</v>
      </c>
      <c r="AE32" s="77" t="s">
        <v>60</v>
      </c>
      <c r="AF32" s="77" t="s">
        <v>155</v>
      </c>
      <c r="AG32" s="77" t="s">
        <v>62</v>
      </c>
      <c r="AH32" s="77" t="s">
        <v>63</v>
      </c>
      <c r="AI32">
        <v>9</v>
      </c>
      <c r="AJ32" s="1">
        <v>45689</v>
      </c>
      <c r="AK32" s="2">
        <v>4.1666666666666664E-2</v>
      </c>
      <c r="AL32" s="1"/>
      <c r="AM32" s="2">
        <v>0.10416666666666667</v>
      </c>
      <c r="AN32" s="1">
        <v>45689</v>
      </c>
      <c r="AO32" s="2">
        <v>0.11982638888888889</v>
      </c>
      <c r="AP32">
        <v>1</v>
      </c>
      <c r="AQ32">
        <v>5</v>
      </c>
      <c r="AR32">
        <v>1</v>
      </c>
      <c r="AS32">
        <v>1</v>
      </c>
      <c r="AT32">
        <v>32</v>
      </c>
      <c r="AU32">
        <v>45689.041666666664</v>
      </c>
    </row>
    <row r="33" spans="1:47" x14ac:dyDescent="0.3">
      <c r="A33" s="77" t="s">
        <v>543</v>
      </c>
      <c r="B33" s="77" t="s">
        <v>246</v>
      </c>
      <c r="C33">
        <v>45688</v>
      </c>
      <c r="D33">
        <v>0.5</v>
      </c>
      <c r="E33">
        <v>2025</v>
      </c>
      <c r="F33" t="s">
        <v>64</v>
      </c>
      <c r="G33" t="s">
        <v>65</v>
      </c>
      <c r="H33">
        <v>0.5</v>
      </c>
      <c r="I33" t="s">
        <v>48</v>
      </c>
      <c r="J33" s="77" t="s">
        <v>48</v>
      </c>
      <c r="K33" s="77" t="s">
        <v>49</v>
      </c>
      <c r="L33" s="77" t="s">
        <v>49</v>
      </c>
      <c r="M33" t="s">
        <v>268</v>
      </c>
      <c r="N33" s="77" t="s">
        <v>247</v>
      </c>
      <c r="O33" s="77" t="s">
        <v>150</v>
      </c>
      <c r="P33">
        <v>5</v>
      </c>
      <c r="Q33" s="77" t="s">
        <v>506</v>
      </c>
      <c r="T33" s="77" t="s">
        <v>507</v>
      </c>
      <c r="U33" s="77"/>
      <c r="V33" s="77" t="s">
        <v>122</v>
      </c>
      <c r="W33" s="77" t="s">
        <v>508</v>
      </c>
      <c r="AB33" s="77" t="s">
        <v>494</v>
      </c>
      <c r="AC33" s="77" t="s">
        <v>58</v>
      </c>
      <c r="AD33" s="77" t="s">
        <v>250</v>
      </c>
      <c r="AE33" s="77" t="s">
        <v>60</v>
      </c>
      <c r="AF33" s="77" t="s">
        <v>187</v>
      </c>
      <c r="AG33" s="77" t="s">
        <v>62</v>
      </c>
      <c r="AH33" s="77" t="s">
        <v>63</v>
      </c>
      <c r="AI33">
        <v>9</v>
      </c>
      <c r="AJ33" s="1">
        <v>45688</v>
      </c>
      <c r="AK33" s="2">
        <v>0.5</v>
      </c>
      <c r="AL33" s="1">
        <v>45695</v>
      </c>
      <c r="AM33" s="2">
        <v>0.54166666666666663</v>
      </c>
      <c r="AN33" s="1">
        <v>45696</v>
      </c>
      <c r="AO33" s="2">
        <v>0.3903240740740741</v>
      </c>
      <c r="AP33">
        <v>1</v>
      </c>
      <c r="AQ33">
        <v>5</v>
      </c>
      <c r="AR33">
        <v>5</v>
      </c>
      <c r="AS33">
        <v>31</v>
      </c>
      <c r="AT33">
        <v>31</v>
      </c>
      <c r="AU33">
        <v>45688.5</v>
      </c>
    </row>
    <row r="34" spans="1:47" x14ac:dyDescent="0.3">
      <c r="A34" s="77" t="s">
        <v>543</v>
      </c>
      <c r="B34" s="77" t="s">
        <v>198</v>
      </c>
      <c r="C34">
        <v>45688</v>
      </c>
      <c r="D34">
        <v>0.49988425925925928</v>
      </c>
      <c r="E34">
        <v>2025</v>
      </c>
      <c r="F34" t="s">
        <v>64</v>
      </c>
      <c r="G34" t="s">
        <v>65</v>
      </c>
      <c r="H34">
        <v>0.45833333333333331</v>
      </c>
      <c r="I34" t="s">
        <v>126</v>
      </c>
      <c r="J34" s="77" t="s">
        <v>126</v>
      </c>
      <c r="K34" s="77" t="s">
        <v>49</v>
      </c>
      <c r="L34" s="77" t="s">
        <v>49</v>
      </c>
      <c r="M34" t="s">
        <v>276</v>
      </c>
      <c r="N34" s="77" t="s">
        <v>199</v>
      </c>
      <c r="O34" s="77" t="s">
        <v>200</v>
      </c>
      <c r="P34">
        <v>8</v>
      </c>
      <c r="Q34" s="77" t="s">
        <v>509</v>
      </c>
      <c r="T34" s="77"/>
      <c r="U34" s="77"/>
      <c r="V34" s="77"/>
      <c r="W34" s="77"/>
      <c r="AB34" s="77" t="s">
        <v>510</v>
      </c>
      <c r="AC34" s="77" t="s">
        <v>58</v>
      </c>
      <c r="AD34" s="77" t="s">
        <v>202</v>
      </c>
      <c r="AE34" s="77" t="s">
        <v>115</v>
      </c>
      <c r="AF34" s="77" t="s">
        <v>116</v>
      </c>
      <c r="AG34" s="77" t="s">
        <v>62</v>
      </c>
      <c r="AH34" s="77" t="s">
        <v>130</v>
      </c>
      <c r="AI34">
        <v>9</v>
      </c>
      <c r="AJ34" s="1">
        <v>45688</v>
      </c>
      <c r="AK34" s="2">
        <v>0.49988425925925928</v>
      </c>
      <c r="AL34" s="1"/>
      <c r="AM34" s="2"/>
      <c r="AN34" s="1">
        <v>45688</v>
      </c>
      <c r="AO34" s="2">
        <v>0.49988425925925928</v>
      </c>
      <c r="AP34">
        <v>1</v>
      </c>
      <c r="AQ34">
        <v>5</v>
      </c>
      <c r="AR34">
        <v>5</v>
      </c>
      <c r="AS34">
        <v>31</v>
      </c>
      <c r="AT34">
        <v>31</v>
      </c>
      <c r="AU34">
        <v>45688.499305555553</v>
      </c>
    </row>
    <row r="35" spans="1:47" x14ac:dyDescent="0.3">
      <c r="A35" s="77" t="s">
        <v>543</v>
      </c>
      <c r="B35" s="77" t="s">
        <v>189</v>
      </c>
      <c r="C35">
        <v>45685</v>
      </c>
      <c r="D35">
        <v>0.625</v>
      </c>
      <c r="E35">
        <v>2025</v>
      </c>
      <c r="F35" t="s">
        <v>64</v>
      </c>
      <c r="G35" t="s">
        <v>79</v>
      </c>
      <c r="H35">
        <v>0.625</v>
      </c>
      <c r="I35" t="s">
        <v>197</v>
      </c>
      <c r="J35" s="77" t="s">
        <v>48</v>
      </c>
      <c r="K35" s="77" t="s">
        <v>172</v>
      </c>
      <c r="L35" s="77" t="s">
        <v>49</v>
      </c>
      <c r="M35" t="s">
        <v>264</v>
      </c>
      <c r="N35" s="77" t="s">
        <v>190</v>
      </c>
      <c r="O35" s="77" t="s">
        <v>191</v>
      </c>
      <c r="P35">
        <v>6</v>
      </c>
      <c r="Q35" s="77" t="s">
        <v>511</v>
      </c>
      <c r="T35" s="77" t="s">
        <v>512</v>
      </c>
      <c r="U35" s="77" t="s">
        <v>513</v>
      </c>
      <c r="V35" s="77" t="s">
        <v>195</v>
      </c>
      <c r="W35" s="77" t="s">
        <v>56</v>
      </c>
      <c r="AB35" s="77" t="s">
        <v>514</v>
      </c>
      <c r="AC35" s="77" t="s">
        <v>58</v>
      </c>
      <c r="AD35" s="77" t="s">
        <v>147</v>
      </c>
      <c r="AE35" s="77" t="s">
        <v>60</v>
      </c>
      <c r="AF35" s="77" t="s">
        <v>89</v>
      </c>
      <c r="AG35" s="77" t="s">
        <v>196</v>
      </c>
      <c r="AH35" s="77" t="s">
        <v>63</v>
      </c>
      <c r="AI35">
        <v>9</v>
      </c>
      <c r="AJ35" s="1">
        <v>45685</v>
      </c>
      <c r="AK35" s="2">
        <v>0.625</v>
      </c>
      <c r="AL35" s="1">
        <v>45686</v>
      </c>
      <c r="AM35" s="2">
        <v>0.91736111111111107</v>
      </c>
      <c r="AN35" s="1">
        <v>45686</v>
      </c>
      <c r="AO35" s="2">
        <v>0.91833333333333333</v>
      </c>
      <c r="AP35">
        <v>1</v>
      </c>
      <c r="AQ35">
        <v>5</v>
      </c>
      <c r="AR35">
        <v>5</v>
      </c>
      <c r="AS35">
        <v>28</v>
      </c>
      <c r="AT35">
        <v>28</v>
      </c>
      <c r="AU35">
        <v>45685.625</v>
      </c>
    </row>
    <row r="36" spans="1:47" x14ac:dyDescent="0.3">
      <c r="A36" s="77" t="s">
        <v>543</v>
      </c>
      <c r="B36" s="77" t="s">
        <v>180</v>
      </c>
      <c r="C36">
        <v>45683</v>
      </c>
      <c r="D36">
        <v>0.84027777777777779</v>
      </c>
      <c r="E36">
        <v>2025</v>
      </c>
      <c r="F36" t="s">
        <v>64</v>
      </c>
      <c r="G36" t="s">
        <v>188</v>
      </c>
      <c r="H36">
        <v>0.83333333333333337</v>
      </c>
      <c r="I36" t="s">
        <v>179</v>
      </c>
      <c r="J36" s="77" t="s">
        <v>81</v>
      </c>
      <c r="K36" s="77" t="s">
        <v>172</v>
      </c>
      <c r="L36" s="77" t="s">
        <v>49</v>
      </c>
      <c r="M36" t="s">
        <v>283</v>
      </c>
      <c r="N36" s="77" t="s">
        <v>181</v>
      </c>
      <c r="O36" s="77" t="s">
        <v>182</v>
      </c>
      <c r="P36">
        <v>9</v>
      </c>
      <c r="Q36" s="77" t="s">
        <v>515</v>
      </c>
      <c r="T36" s="77" t="s">
        <v>516</v>
      </c>
      <c r="U36" s="77" t="s">
        <v>517</v>
      </c>
      <c r="V36" s="77" t="s">
        <v>185</v>
      </c>
      <c r="W36" s="77" t="s">
        <v>508</v>
      </c>
      <c r="AB36" s="77" t="s">
        <v>499</v>
      </c>
      <c r="AC36" s="77" t="s">
        <v>58</v>
      </c>
      <c r="AD36" s="77" t="s">
        <v>186</v>
      </c>
      <c r="AE36" s="77" t="s">
        <v>88</v>
      </c>
      <c r="AF36" s="77" t="s">
        <v>187</v>
      </c>
      <c r="AG36" s="77" t="s">
        <v>102</v>
      </c>
      <c r="AH36" s="77" t="s">
        <v>90</v>
      </c>
      <c r="AI36">
        <v>9</v>
      </c>
      <c r="AJ36" s="1">
        <v>45683</v>
      </c>
      <c r="AK36" s="2">
        <v>0.84027777777777779</v>
      </c>
      <c r="AL36" s="1">
        <v>45683</v>
      </c>
      <c r="AM36" s="2">
        <v>0.84652777777777777</v>
      </c>
      <c r="AN36" s="1">
        <v>45683</v>
      </c>
      <c r="AO36" s="2">
        <v>0.85009259259259262</v>
      </c>
      <c r="AP36">
        <v>1</v>
      </c>
      <c r="AQ36">
        <v>5</v>
      </c>
      <c r="AR36">
        <v>5</v>
      </c>
      <c r="AS36">
        <v>26</v>
      </c>
      <c r="AT36">
        <v>26</v>
      </c>
      <c r="AU36">
        <v>45683.840277777781</v>
      </c>
    </row>
    <row r="37" spans="1:47" x14ac:dyDescent="0.3">
      <c r="A37" s="77" t="s">
        <v>543</v>
      </c>
      <c r="B37" s="77" t="s">
        <v>171</v>
      </c>
      <c r="C37">
        <v>45682</v>
      </c>
      <c r="D37">
        <v>0.76875000000000004</v>
      </c>
      <c r="E37">
        <v>2025</v>
      </c>
      <c r="F37" t="s">
        <v>64</v>
      </c>
      <c r="G37" t="s">
        <v>170</v>
      </c>
      <c r="H37">
        <v>0.75</v>
      </c>
      <c r="I37" t="s">
        <v>179</v>
      </c>
      <c r="J37" s="77" t="s">
        <v>81</v>
      </c>
      <c r="K37" s="77" t="s">
        <v>172</v>
      </c>
      <c r="L37" s="77" t="s">
        <v>49</v>
      </c>
      <c r="M37" t="s">
        <v>275</v>
      </c>
      <c r="N37" s="77" t="s">
        <v>173</v>
      </c>
      <c r="O37" s="77" t="s">
        <v>97</v>
      </c>
      <c r="P37">
        <v>8</v>
      </c>
      <c r="Q37" s="77" t="s">
        <v>518</v>
      </c>
      <c r="T37" s="77" t="s">
        <v>519</v>
      </c>
      <c r="U37" s="77" t="s">
        <v>517</v>
      </c>
      <c r="V37" s="77" t="s">
        <v>176</v>
      </c>
      <c r="W37" s="77" t="s">
        <v>56</v>
      </c>
      <c r="AB37" s="77" t="s">
        <v>501</v>
      </c>
      <c r="AC37" s="77" t="s">
        <v>58</v>
      </c>
      <c r="AD37" s="77" t="s">
        <v>138</v>
      </c>
      <c r="AE37" s="77" t="s">
        <v>139</v>
      </c>
      <c r="AF37" s="77" t="s">
        <v>177</v>
      </c>
      <c r="AG37" s="77" t="s">
        <v>178</v>
      </c>
      <c r="AH37" s="77" t="s">
        <v>90</v>
      </c>
      <c r="AI37">
        <v>9</v>
      </c>
      <c r="AJ37" s="1">
        <v>45682</v>
      </c>
      <c r="AK37" s="2">
        <v>0.76875000000000004</v>
      </c>
      <c r="AL37" s="1"/>
      <c r="AM37" s="2"/>
      <c r="AN37" s="1">
        <v>45683</v>
      </c>
      <c r="AO37" s="2">
        <v>0.44056712962962963</v>
      </c>
      <c r="AP37">
        <v>1</v>
      </c>
      <c r="AQ37">
        <v>4</v>
      </c>
      <c r="AR37">
        <v>4</v>
      </c>
      <c r="AS37">
        <v>25</v>
      </c>
      <c r="AT37">
        <v>25</v>
      </c>
      <c r="AU37">
        <v>45682.768750000003</v>
      </c>
    </row>
    <row r="38" spans="1:47" x14ac:dyDescent="0.3">
      <c r="A38" s="77" t="s">
        <v>543</v>
      </c>
      <c r="B38" s="77" t="s">
        <v>164</v>
      </c>
      <c r="C38">
        <v>45682</v>
      </c>
      <c r="D38">
        <v>0.45833333333333331</v>
      </c>
      <c r="E38">
        <v>2025</v>
      </c>
      <c r="F38" t="s">
        <v>64</v>
      </c>
      <c r="G38" t="s">
        <v>170</v>
      </c>
      <c r="H38">
        <v>0.45833333333333331</v>
      </c>
      <c r="I38" t="s">
        <v>126</v>
      </c>
      <c r="J38" s="77" t="s">
        <v>126</v>
      </c>
      <c r="K38" s="77" t="s">
        <v>49</v>
      </c>
      <c r="L38" s="77" t="s">
        <v>49</v>
      </c>
      <c r="M38" t="s">
        <v>263</v>
      </c>
      <c r="N38" s="77" t="s">
        <v>165</v>
      </c>
      <c r="O38" s="77" t="s">
        <v>166</v>
      </c>
      <c r="P38">
        <v>5</v>
      </c>
      <c r="Q38" s="77" t="s">
        <v>520</v>
      </c>
      <c r="T38" s="77"/>
      <c r="U38" s="77"/>
      <c r="V38" s="77"/>
      <c r="W38" s="77"/>
      <c r="AB38" s="77" t="s">
        <v>501</v>
      </c>
      <c r="AC38" s="77" t="s">
        <v>58</v>
      </c>
      <c r="AD38" s="77" t="s">
        <v>169</v>
      </c>
      <c r="AE38" s="77" t="s">
        <v>139</v>
      </c>
      <c r="AF38" s="77" t="s">
        <v>89</v>
      </c>
      <c r="AG38" s="77" t="s">
        <v>102</v>
      </c>
      <c r="AH38" s="77" t="s">
        <v>130</v>
      </c>
      <c r="AI38">
        <v>9</v>
      </c>
      <c r="AJ38" s="1">
        <v>45682</v>
      </c>
      <c r="AK38" s="2">
        <v>0.45833333333333331</v>
      </c>
      <c r="AL38" s="1">
        <v>45682</v>
      </c>
      <c r="AM38" s="2">
        <v>0.58333333333333337</v>
      </c>
      <c r="AN38" s="1">
        <v>45682</v>
      </c>
      <c r="AO38" s="2">
        <v>0.58054398148148145</v>
      </c>
      <c r="AP38">
        <v>1</v>
      </c>
      <c r="AQ38">
        <v>4</v>
      </c>
      <c r="AR38">
        <v>4</v>
      </c>
      <c r="AS38">
        <v>25</v>
      </c>
      <c r="AT38">
        <v>25</v>
      </c>
      <c r="AU38">
        <v>45682.458333333336</v>
      </c>
    </row>
    <row r="39" spans="1:47" x14ac:dyDescent="0.3">
      <c r="A39" s="77" t="s">
        <v>543</v>
      </c>
      <c r="B39" s="77" t="s">
        <v>156</v>
      </c>
      <c r="C39">
        <v>45680</v>
      </c>
      <c r="D39">
        <v>0.625</v>
      </c>
      <c r="E39">
        <v>2025</v>
      </c>
      <c r="F39" t="s">
        <v>64</v>
      </c>
      <c r="G39" t="s">
        <v>131</v>
      </c>
      <c r="H39">
        <v>0.625</v>
      </c>
      <c r="I39" t="s">
        <v>163</v>
      </c>
      <c r="J39" s="77" t="s">
        <v>157</v>
      </c>
      <c r="K39" s="77" t="s">
        <v>69</v>
      </c>
      <c r="L39" s="77" t="s">
        <v>49</v>
      </c>
      <c r="M39" t="s">
        <v>274</v>
      </c>
      <c r="N39" s="77" t="s">
        <v>158</v>
      </c>
      <c r="O39" s="77" t="s">
        <v>97</v>
      </c>
      <c r="P39">
        <v>8</v>
      </c>
      <c r="Q39" s="77" t="s">
        <v>521</v>
      </c>
      <c r="T39" s="77"/>
      <c r="U39" s="77"/>
      <c r="V39" s="77"/>
      <c r="W39" s="77"/>
      <c r="AB39" s="77" t="s">
        <v>522</v>
      </c>
      <c r="AC39" s="77" t="s">
        <v>58</v>
      </c>
      <c r="AD39" s="77" t="s">
        <v>101</v>
      </c>
      <c r="AE39" s="77" t="s">
        <v>161</v>
      </c>
      <c r="AF39" s="77" t="s">
        <v>76</v>
      </c>
      <c r="AG39" s="77" t="s">
        <v>162</v>
      </c>
      <c r="AH39" s="77"/>
      <c r="AI39">
        <v>9</v>
      </c>
      <c r="AJ39" s="1">
        <v>45680</v>
      </c>
      <c r="AK39" s="2">
        <v>0.625</v>
      </c>
      <c r="AL39" s="1"/>
      <c r="AM39" s="2"/>
      <c r="AN39" s="1">
        <v>45680</v>
      </c>
      <c r="AO39" s="2">
        <v>0.66545138888888888</v>
      </c>
      <c r="AP39">
        <v>1</v>
      </c>
      <c r="AQ39">
        <v>4</v>
      </c>
      <c r="AR39">
        <v>4</v>
      </c>
      <c r="AS39">
        <v>23</v>
      </c>
      <c r="AT39">
        <v>23</v>
      </c>
      <c r="AU39">
        <v>45680.625</v>
      </c>
    </row>
    <row r="40" spans="1:47" x14ac:dyDescent="0.3">
      <c r="A40" s="77" t="s">
        <v>543</v>
      </c>
      <c r="B40" s="77" t="s">
        <v>148</v>
      </c>
      <c r="C40">
        <v>45679</v>
      </c>
      <c r="D40">
        <v>0.33333333333333331</v>
      </c>
      <c r="E40">
        <v>2025</v>
      </c>
      <c r="F40" t="s">
        <v>64</v>
      </c>
      <c r="G40" t="s">
        <v>124</v>
      </c>
      <c r="H40">
        <v>0.33333333333333331</v>
      </c>
      <c r="I40" t="s">
        <v>48</v>
      </c>
      <c r="J40" s="77" t="s">
        <v>48</v>
      </c>
      <c r="K40" s="77" t="s">
        <v>49</v>
      </c>
      <c r="L40" s="77" t="s">
        <v>49</v>
      </c>
      <c r="M40" t="s">
        <v>262</v>
      </c>
      <c r="N40" s="77" t="s">
        <v>149</v>
      </c>
      <c r="O40" s="77" t="s">
        <v>150</v>
      </c>
      <c r="P40">
        <v>5</v>
      </c>
      <c r="Q40" s="77" t="s">
        <v>523</v>
      </c>
      <c r="T40" s="77" t="s">
        <v>152</v>
      </c>
      <c r="U40" s="77" t="s">
        <v>524</v>
      </c>
      <c r="V40" s="77" t="s">
        <v>154</v>
      </c>
      <c r="W40" s="77" t="s">
        <v>56</v>
      </c>
      <c r="AB40" s="77" t="s">
        <v>494</v>
      </c>
      <c r="AC40" s="77" t="s">
        <v>58</v>
      </c>
      <c r="AD40" s="77" t="s">
        <v>147</v>
      </c>
      <c r="AE40" s="77" t="s">
        <v>60</v>
      </c>
      <c r="AF40" s="77" t="s">
        <v>155</v>
      </c>
      <c r="AG40" s="77" t="s">
        <v>62</v>
      </c>
      <c r="AH40" s="77" t="s">
        <v>63</v>
      </c>
      <c r="AI40">
        <v>9</v>
      </c>
      <c r="AJ40" s="1">
        <v>45679</v>
      </c>
      <c r="AK40" s="2">
        <v>0.33333333333333331</v>
      </c>
      <c r="AL40" s="1">
        <v>45679</v>
      </c>
      <c r="AM40" s="2">
        <v>0.80069444444444449</v>
      </c>
      <c r="AN40" s="1">
        <v>45679</v>
      </c>
      <c r="AO40" s="2">
        <v>0.80203703703703699</v>
      </c>
      <c r="AP40">
        <v>1</v>
      </c>
      <c r="AQ40">
        <v>4</v>
      </c>
      <c r="AR40">
        <v>4</v>
      </c>
      <c r="AS40">
        <v>22</v>
      </c>
      <c r="AT40">
        <v>22</v>
      </c>
      <c r="AU40">
        <v>45679.333333333336</v>
      </c>
    </row>
    <row r="41" spans="1:47" x14ac:dyDescent="0.3">
      <c r="A41" s="77" t="s">
        <v>543</v>
      </c>
      <c r="B41" s="77" t="s">
        <v>141</v>
      </c>
      <c r="C41">
        <v>45678</v>
      </c>
      <c r="D41">
        <v>0.79166666666666663</v>
      </c>
      <c r="E41">
        <v>2025</v>
      </c>
      <c r="F41" t="s">
        <v>64</v>
      </c>
      <c r="G41" t="s">
        <v>79</v>
      </c>
      <c r="H41">
        <v>0.79166666666666663</v>
      </c>
      <c r="I41" t="s">
        <v>48</v>
      </c>
      <c r="J41" s="77" t="s">
        <v>48</v>
      </c>
      <c r="K41" s="77" t="s">
        <v>49</v>
      </c>
      <c r="L41" s="77" t="s">
        <v>49</v>
      </c>
      <c r="M41" t="s">
        <v>282</v>
      </c>
      <c r="N41" s="77" t="s">
        <v>142</v>
      </c>
      <c r="O41" s="77" t="s">
        <v>134</v>
      </c>
      <c r="P41">
        <v>9</v>
      </c>
      <c r="Q41" s="77" t="s">
        <v>525</v>
      </c>
      <c r="T41" s="77" t="s">
        <v>144</v>
      </c>
      <c r="U41" s="77" t="s">
        <v>54</v>
      </c>
      <c r="V41" s="77" t="s">
        <v>145</v>
      </c>
      <c r="W41" s="77" t="s">
        <v>56</v>
      </c>
      <c r="AB41" s="77" t="s">
        <v>526</v>
      </c>
      <c r="AC41" s="77" t="s">
        <v>58</v>
      </c>
      <c r="AD41" s="77" t="s">
        <v>147</v>
      </c>
      <c r="AE41" s="77" t="s">
        <v>60</v>
      </c>
      <c r="AF41" s="77" t="s">
        <v>116</v>
      </c>
      <c r="AG41" s="77" t="s">
        <v>62</v>
      </c>
      <c r="AH41" s="77" t="s">
        <v>63</v>
      </c>
      <c r="AI41">
        <v>9</v>
      </c>
      <c r="AJ41" s="1">
        <v>45678</v>
      </c>
      <c r="AK41" s="2">
        <v>0.79166666666666663</v>
      </c>
      <c r="AL41" s="1">
        <v>45679</v>
      </c>
      <c r="AM41" s="2">
        <v>0.13125000000000001</v>
      </c>
      <c r="AN41" s="1">
        <v>45679</v>
      </c>
      <c r="AO41" s="2">
        <v>0.13255787037037037</v>
      </c>
      <c r="AP41">
        <v>1</v>
      </c>
      <c r="AQ41">
        <v>4</v>
      </c>
      <c r="AR41">
        <v>4</v>
      </c>
      <c r="AS41">
        <v>21</v>
      </c>
      <c r="AT41">
        <v>21</v>
      </c>
      <c r="AU41">
        <v>45678.791666666664</v>
      </c>
    </row>
    <row r="42" spans="1:47" x14ac:dyDescent="0.3">
      <c r="A42" s="77" t="s">
        <v>543</v>
      </c>
      <c r="B42" s="77" t="s">
        <v>132</v>
      </c>
      <c r="C42">
        <v>45673</v>
      </c>
      <c r="D42">
        <v>0.87708333333333333</v>
      </c>
      <c r="E42">
        <v>2025</v>
      </c>
      <c r="F42" t="s">
        <v>64</v>
      </c>
      <c r="G42" t="s">
        <v>131</v>
      </c>
      <c r="H42">
        <v>0.875</v>
      </c>
      <c r="I42" t="s">
        <v>95</v>
      </c>
      <c r="J42" s="77" t="s">
        <v>95</v>
      </c>
      <c r="K42" s="77" t="s">
        <v>49</v>
      </c>
      <c r="L42" s="77" t="s">
        <v>49</v>
      </c>
      <c r="M42" t="s">
        <v>281</v>
      </c>
      <c r="N42" s="77" t="s">
        <v>133</v>
      </c>
      <c r="O42" s="77" t="s">
        <v>134</v>
      </c>
      <c r="P42">
        <v>9</v>
      </c>
      <c r="Q42" s="77" t="s">
        <v>527</v>
      </c>
      <c r="T42" s="77"/>
      <c r="U42" s="77" t="s">
        <v>528</v>
      </c>
      <c r="V42" s="77" t="s">
        <v>529</v>
      </c>
      <c r="W42" s="77"/>
      <c r="AB42" s="77" t="s">
        <v>499</v>
      </c>
      <c r="AC42" s="77" t="s">
        <v>58</v>
      </c>
      <c r="AD42" s="77" t="s">
        <v>138</v>
      </c>
      <c r="AE42" s="77" t="s">
        <v>139</v>
      </c>
      <c r="AF42" s="77" t="s">
        <v>140</v>
      </c>
      <c r="AG42" s="77" t="s">
        <v>228</v>
      </c>
      <c r="AH42" s="77" t="s">
        <v>103</v>
      </c>
      <c r="AI42">
        <v>9</v>
      </c>
      <c r="AJ42" s="1">
        <v>45673</v>
      </c>
      <c r="AK42" s="2">
        <v>0.87708333333333333</v>
      </c>
      <c r="AL42" s="1">
        <v>45673</v>
      </c>
      <c r="AM42" s="2">
        <v>0.88611111111111107</v>
      </c>
      <c r="AN42" s="1">
        <v>45674</v>
      </c>
      <c r="AO42" s="2">
        <v>0.51179398148148147</v>
      </c>
      <c r="AP42">
        <v>1</v>
      </c>
      <c r="AQ42">
        <v>3</v>
      </c>
      <c r="AR42">
        <v>3</v>
      </c>
      <c r="AS42">
        <v>16</v>
      </c>
      <c r="AT42">
        <v>16</v>
      </c>
      <c r="AU42">
        <v>45673.877083333333</v>
      </c>
    </row>
    <row r="43" spans="1:47" x14ac:dyDescent="0.3">
      <c r="A43" s="77" t="s">
        <v>543</v>
      </c>
      <c r="B43" s="77" t="s">
        <v>125</v>
      </c>
      <c r="C43">
        <v>45673</v>
      </c>
      <c r="D43">
        <v>0.5</v>
      </c>
      <c r="E43">
        <v>2025</v>
      </c>
      <c r="F43" t="s">
        <v>64</v>
      </c>
      <c r="G43" t="s">
        <v>131</v>
      </c>
      <c r="H43">
        <v>0.5</v>
      </c>
      <c r="I43" t="s">
        <v>126</v>
      </c>
      <c r="J43" s="77" t="s">
        <v>126</v>
      </c>
      <c r="K43" s="77" t="s">
        <v>49</v>
      </c>
      <c r="L43" s="77" t="s">
        <v>49</v>
      </c>
      <c r="M43" t="s">
        <v>271</v>
      </c>
      <c r="N43" s="77" t="s">
        <v>127</v>
      </c>
      <c r="O43" s="77" t="s">
        <v>71</v>
      </c>
      <c r="P43">
        <v>7</v>
      </c>
      <c r="Q43" s="77" t="s">
        <v>530</v>
      </c>
      <c r="T43" s="77"/>
      <c r="U43" s="77"/>
      <c r="V43" s="77"/>
      <c r="W43" s="77"/>
      <c r="AB43" s="77" t="s">
        <v>499</v>
      </c>
      <c r="AC43" s="77" t="s">
        <v>58</v>
      </c>
      <c r="AD43" s="77" t="s">
        <v>129</v>
      </c>
      <c r="AE43" s="77" t="s">
        <v>88</v>
      </c>
      <c r="AF43" s="77" t="s">
        <v>89</v>
      </c>
      <c r="AG43" s="77" t="s">
        <v>62</v>
      </c>
      <c r="AH43" s="77" t="s">
        <v>130</v>
      </c>
      <c r="AI43">
        <v>9</v>
      </c>
      <c r="AJ43" s="1">
        <v>45673</v>
      </c>
      <c r="AK43" s="2">
        <v>0.5</v>
      </c>
      <c r="AL43" s="1">
        <v>45673</v>
      </c>
      <c r="AM43" s="2">
        <v>0.75</v>
      </c>
      <c r="AN43" s="1">
        <v>45673</v>
      </c>
      <c r="AO43" s="2">
        <v>0.81587962962962968</v>
      </c>
      <c r="AP43">
        <v>1</v>
      </c>
      <c r="AQ43">
        <v>3</v>
      </c>
      <c r="AR43">
        <v>3</v>
      </c>
      <c r="AS43">
        <v>16</v>
      </c>
      <c r="AT43">
        <v>16</v>
      </c>
      <c r="AU43">
        <v>45673.5</v>
      </c>
    </row>
    <row r="44" spans="1:47" x14ac:dyDescent="0.3">
      <c r="A44" s="77" t="s">
        <v>543</v>
      </c>
      <c r="B44" s="77" t="s">
        <v>343</v>
      </c>
      <c r="C44">
        <v>45673</v>
      </c>
      <c r="D44">
        <v>0.83333333333333337</v>
      </c>
      <c r="E44">
        <v>2025</v>
      </c>
      <c r="F44" t="s">
        <v>64</v>
      </c>
      <c r="G44" t="s">
        <v>131</v>
      </c>
      <c r="H44">
        <v>0.83333333333333337</v>
      </c>
      <c r="I44" t="s">
        <v>345</v>
      </c>
      <c r="J44" s="77" t="s">
        <v>344</v>
      </c>
      <c r="K44" s="77" t="s">
        <v>126</v>
      </c>
      <c r="L44" s="77" t="s">
        <v>333</v>
      </c>
      <c r="M44" t="s">
        <v>347</v>
      </c>
      <c r="N44" s="77" t="s">
        <v>348</v>
      </c>
      <c r="O44" s="77" t="s">
        <v>239</v>
      </c>
      <c r="P44">
        <v>5</v>
      </c>
      <c r="Q44" s="77" t="s">
        <v>548</v>
      </c>
      <c r="T44" s="77"/>
      <c r="U44" s="77"/>
      <c r="V44" s="77"/>
      <c r="W44" s="77"/>
      <c r="AB44" s="77" t="s">
        <v>501</v>
      </c>
      <c r="AC44" s="77" t="s">
        <v>58</v>
      </c>
      <c r="AD44" s="77" t="s">
        <v>250</v>
      </c>
      <c r="AE44" s="77" t="s">
        <v>60</v>
      </c>
      <c r="AF44" s="77"/>
      <c r="AG44" s="77"/>
      <c r="AH44" s="77" t="s">
        <v>130</v>
      </c>
      <c r="AI44">
        <v>9</v>
      </c>
      <c r="AJ44" s="1">
        <v>45673</v>
      </c>
      <c r="AK44" s="2">
        <v>0.83333333333333337</v>
      </c>
      <c r="AL44" s="1"/>
      <c r="AM44" s="2"/>
      <c r="AN44" s="1">
        <v>45673</v>
      </c>
      <c r="AO44" s="2">
        <v>9.0057870370370371E-2</v>
      </c>
      <c r="AP44">
        <v>1</v>
      </c>
      <c r="AQ44">
        <v>3</v>
      </c>
      <c r="AR44">
        <v>3</v>
      </c>
      <c r="AS44">
        <v>16</v>
      </c>
      <c r="AT44">
        <v>16</v>
      </c>
      <c r="AU44">
        <v>45673.833333333336</v>
      </c>
    </row>
    <row r="45" spans="1:47" x14ac:dyDescent="0.3">
      <c r="A45" s="77" t="s">
        <v>543</v>
      </c>
      <c r="B45" s="77" t="s">
        <v>118</v>
      </c>
      <c r="C45">
        <v>45672</v>
      </c>
      <c r="D45">
        <v>0.53988425925925931</v>
      </c>
      <c r="E45">
        <v>2025</v>
      </c>
      <c r="F45" t="s">
        <v>64</v>
      </c>
      <c r="G45" t="s">
        <v>124</v>
      </c>
      <c r="H45">
        <v>0.5</v>
      </c>
      <c r="I45" t="s">
        <v>48</v>
      </c>
      <c r="J45" s="77" t="s">
        <v>48</v>
      </c>
      <c r="K45" s="77" t="s">
        <v>49</v>
      </c>
      <c r="L45" s="77" t="s">
        <v>49</v>
      </c>
      <c r="M45" t="s">
        <v>273</v>
      </c>
      <c r="N45" s="77" t="s">
        <v>119</v>
      </c>
      <c r="O45" s="77" t="s">
        <v>97</v>
      </c>
      <c r="P45">
        <v>8</v>
      </c>
      <c r="Q45" s="77" t="s">
        <v>531</v>
      </c>
      <c r="T45" s="77" t="s">
        <v>121</v>
      </c>
      <c r="U45" s="77" t="s">
        <v>517</v>
      </c>
      <c r="V45" s="77" t="s">
        <v>122</v>
      </c>
      <c r="W45" s="77" t="s">
        <v>56</v>
      </c>
      <c r="AB45" s="77" t="s">
        <v>494</v>
      </c>
      <c r="AC45" s="77" t="s">
        <v>58</v>
      </c>
      <c r="AD45" s="77" t="s">
        <v>123</v>
      </c>
      <c r="AE45" s="77" t="s">
        <v>532</v>
      </c>
      <c r="AF45" s="77" t="s">
        <v>89</v>
      </c>
      <c r="AG45" s="77" t="s">
        <v>62</v>
      </c>
      <c r="AH45" s="77" t="s">
        <v>63</v>
      </c>
      <c r="AI45">
        <v>9</v>
      </c>
      <c r="AJ45" s="1">
        <v>45672</v>
      </c>
      <c r="AK45" s="2">
        <v>0.53988425925925931</v>
      </c>
      <c r="AL45" s="1"/>
      <c r="AM45" s="2"/>
      <c r="AN45" s="1">
        <v>45672</v>
      </c>
      <c r="AO45" s="2">
        <v>0.53988425925925931</v>
      </c>
      <c r="AP45">
        <v>1</v>
      </c>
      <c r="AQ45">
        <v>3</v>
      </c>
      <c r="AR45">
        <v>3</v>
      </c>
      <c r="AS45">
        <v>15</v>
      </c>
      <c r="AT45">
        <v>15</v>
      </c>
      <c r="AU45">
        <v>45672.539583333331</v>
      </c>
    </row>
    <row r="46" spans="1:47" x14ac:dyDescent="0.3">
      <c r="A46" s="77" t="s">
        <v>543</v>
      </c>
      <c r="B46" s="77" t="s">
        <v>105</v>
      </c>
      <c r="C46">
        <v>45671</v>
      </c>
      <c r="D46">
        <v>0.64067129629629627</v>
      </c>
      <c r="E46">
        <v>2025</v>
      </c>
      <c r="F46" t="s">
        <v>64</v>
      </c>
      <c r="G46" t="s">
        <v>79</v>
      </c>
      <c r="H46">
        <v>0.625</v>
      </c>
      <c r="I46" t="s">
        <v>117</v>
      </c>
      <c r="J46" s="77" t="s">
        <v>95</v>
      </c>
      <c r="K46" s="77" t="s">
        <v>106</v>
      </c>
      <c r="L46" s="77" t="s">
        <v>107</v>
      </c>
      <c r="M46" t="s">
        <v>280</v>
      </c>
      <c r="N46" s="77" t="s">
        <v>108</v>
      </c>
      <c r="O46" s="77" t="s">
        <v>109</v>
      </c>
      <c r="P46">
        <v>9</v>
      </c>
      <c r="Q46" s="77" t="s">
        <v>533</v>
      </c>
      <c r="T46" s="77" t="s">
        <v>534</v>
      </c>
      <c r="U46" s="77" t="s">
        <v>535</v>
      </c>
      <c r="V46" s="77" t="s">
        <v>113</v>
      </c>
      <c r="W46" s="77" t="s">
        <v>56</v>
      </c>
      <c r="AB46" s="77" t="s">
        <v>494</v>
      </c>
      <c r="AC46" s="77" t="s">
        <v>58</v>
      </c>
      <c r="AD46" s="77" t="s">
        <v>59</v>
      </c>
      <c r="AE46" s="77" t="s">
        <v>536</v>
      </c>
      <c r="AF46" s="77" t="s">
        <v>116</v>
      </c>
      <c r="AG46" s="77" t="s">
        <v>102</v>
      </c>
      <c r="AH46" s="77" t="s">
        <v>103</v>
      </c>
      <c r="AI46">
        <v>9</v>
      </c>
      <c r="AJ46" s="1">
        <v>45671</v>
      </c>
      <c r="AK46" s="2">
        <v>0.64067129629629627</v>
      </c>
      <c r="AL46" s="1"/>
      <c r="AM46" s="2"/>
      <c r="AN46" s="1">
        <v>45671</v>
      </c>
      <c r="AO46" s="2">
        <v>0.64067129629629627</v>
      </c>
      <c r="AP46">
        <v>1</v>
      </c>
      <c r="AQ46">
        <v>3</v>
      </c>
      <c r="AR46">
        <v>3</v>
      </c>
      <c r="AS46">
        <v>14</v>
      </c>
      <c r="AT46">
        <v>14</v>
      </c>
      <c r="AU46">
        <v>45671.640277777777</v>
      </c>
    </row>
    <row r="47" spans="1:47" x14ac:dyDescent="0.3">
      <c r="A47" s="77" t="s">
        <v>543</v>
      </c>
      <c r="B47" s="77" t="s">
        <v>332</v>
      </c>
      <c r="C47">
        <v>45671</v>
      </c>
      <c r="D47">
        <v>0.46388888888888891</v>
      </c>
      <c r="E47">
        <v>2025</v>
      </c>
      <c r="F47" t="s">
        <v>64</v>
      </c>
      <c r="G47" t="s">
        <v>79</v>
      </c>
      <c r="H47">
        <v>0.45833333333333331</v>
      </c>
      <c r="I47" t="s">
        <v>335</v>
      </c>
      <c r="J47" s="77" t="s">
        <v>126</v>
      </c>
      <c r="K47" s="77" t="s">
        <v>333</v>
      </c>
      <c r="L47" s="77" t="s">
        <v>334</v>
      </c>
      <c r="M47" t="s">
        <v>337</v>
      </c>
      <c r="N47" s="77" t="s">
        <v>338</v>
      </c>
      <c r="O47" s="77" t="s">
        <v>339</v>
      </c>
      <c r="P47">
        <v>9</v>
      </c>
      <c r="Q47" s="77" t="s">
        <v>549</v>
      </c>
      <c r="T47" s="77"/>
      <c r="U47" s="77"/>
      <c r="V47" s="77"/>
      <c r="W47" s="77"/>
      <c r="AB47" s="77" t="s">
        <v>550</v>
      </c>
      <c r="AC47" s="77" t="s">
        <v>58</v>
      </c>
      <c r="AD47" s="77" t="s">
        <v>342</v>
      </c>
      <c r="AE47" s="77" t="s">
        <v>115</v>
      </c>
      <c r="AF47" s="77" t="s">
        <v>116</v>
      </c>
      <c r="AG47" s="77" t="s">
        <v>228</v>
      </c>
      <c r="AH47" s="77" t="s">
        <v>130</v>
      </c>
      <c r="AI47">
        <v>9</v>
      </c>
      <c r="AJ47" s="1">
        <v>45671</v>
      </c>
      <c r="AK47" s="2">
        <v>0.46388888888888891</v>
      </c>
      <c r="AL47" s="1"/>
      <c r="AM47" s="2"/>
      <c r="AN47" s="1">
        <v>45671</v>
      </c>
      <c r="AO47" s="2">
        <v>0.46740740740740738</v>
      </c>
      <c r="AP47">
        <v>1</v>
      </c>
      <c r="AQ47">
        <v>3</v>
      </c>
      <c r="AR47">
        <v>3</v>
      </c>
      <c r="AS47">
        <v>14</v>
      </c>
      <c r="AT47">
        <v>14</v>
      </c>
      <c r="AU47">
        <v>45671.463888888888</v>
      </c>
    </row>
    <row r="48" spans="1:47" x14ac:dyDescent="0.3">
      <c r="A48" s="77" t="s">
        <v>543</v>
      </c>
      <c r="B48" s="77" t="s">
        <v>92</v>
      </c>
      <c r="C48">
        <v>45670</v>
      </c>
      <c r="D48">
        <v>0.50347222222222221</v>
      </c>
      <c r="E48">
        <v>2025</v>
      </c>
      <c r="F48" t="s">
        <v>64</v>
      </c>
      <c r="G48" t="s">
        <v>91</v>
      </c>
      <c r="H48">
        <v>0.5</v>
      </c>
      <c r="I48" t="s">
        <v>104</v>
      </c>
      <c r="J48" s="77" t="s">
        <v>93</v>
      </c>
      <c r="K48" s="77" t="s">
        <v>94</v>
      </c>
      <c r="L48" s="77" t="s">
        <v>95</v>
      </c>
      <c r="M48" t="s">
        <v>272</v>
      </c>
      <c r="N48" s="77" t="s">
        <v>96</v>
      </c>
      <c r="O48" s="77" t="s">
        <v>97</v>
      </c>
      <c r="P48">
        <v>8</v>
      </c>
      <c r="Q48" s="77" t="s">
        <v>537</v>
      </c>
      <c r="T48" s="77"/>
      <c r="U48" s="77"/>
      <c r="V48" s="77"/>
      <c r="W48" s="77"/>
      <c r="AB48" s="77" t="s">
        <v>510</v>
      </c>
      <c r="AC48" s="77" t="s">
        <v>58</v>
      </c>
      <c r="AD48" s="77" t="s">
        <v>99</v>
      </c>
      <c r="AE48" s="77" t="s">
        <v>100</v>
      </c>
      <c r="AF48" s="77" t="s">
        <v>101</v>
      </c>
      <c r="AG48" s="77" t="s">
        <v>102</v>
      </c>
      <c r="AH48" s="77" t="s">
        <v>103</v>
      </c>
      <c r="AI48">
        <v>9</v>
      </c>
      <c r="AJ48" s="1">
        <v>45670</v>
      </c>
      <c r="AK48" s="2">
        <v>0.50347222222222221</v>
      </c>
      <c r="AL48" s="1"/>
      <c r="AM48" s="2"/>
      <c r="AN48" s="1">
        <v>45670</v>
      </c>
      <c r="AO48" s="2">
        <v>0.50537037037037036</v>
      </c>
      <c r="AP48">
        <v>1</v>
      </c>
      <c r="AQ48">
        <v>3</v>
      </c>
      <c r="AR48">
        <v>3</v>
      </c>
      <c r="AS48">
        <v>13</v>
      </c>
      <c r="AT48">
        <v>13</v>
      </c>
      <c r="AU48">
        <v>45670.503472222219</v>
      </c>
    </row>
    <row r="49" spans="1:47" x14ac:dyDescent="0.3">
      <c r="A49" s="77" t="s">
        <v>543</v>
      </c>
      <c r="B49" s="77" t="s">
        <v>67</v>
      </c>
      <c r="C49">
        <v>45664</v>
      </c>
      <c r="D49">
        <v>0.58333333333333337</v>
      </c>
      <c r="E49">
        <v>2025</v>
      </c>
      <c r="F49" t="s">
        <v>64</v>
      </c>
      <c r="G49" t="s">
        <v>79</v>
      </c>
      <c r="H49">
        <v>0.58333333333333337</v>
      </c>
      <c r="I49" t="s">
        <v>78</v>
      </c>
      <c r="J49" s="77" t="s">
        <v>68</v>
      </c>
      <c r="K49" s="77" t="s">
        <v>69</v>
      </c>
      <c r="L49" s="77" t="s">
        <v>49</v>
      </c>
      <c r="M49" t="s">
        <v>269</v>
      </c>
      <c r="N49" s="77" t="s">
        <v>70</v>
      </c>
      <c r="O49" s="77" t="s">
        <v>71</v>
      </c>
      <c r="P49">
        <v>7</v>
      </c>
      <c r="Q49" s="77" t="s">
        <v>538</v>
      </c>
      <c r="T49" s="77"/>
      <c r="U49" s="77"/>
      <c r="V49" s="77"/>
      <c r="W49" s="77"/>
      <c r="AB49" s="77" t="s">
        <v>539</v>
      </c>
      <c r="AC49" s="77" t="s">
        <v>58</v>
      </c>
      <c r="AD49" s="77" t="s">
        <v>74</v>
      </c>
      <c r="AE49" s="77" t="s">
        <v>75</v>
      </c>
      <c r="AF49" s="77" t="s">
        <v>76</v>
      </c>
      <c r="AG49" s="77" t="s">
        <v>62</v>
      </c>
      <c r="AH49" s="77" t="s">
        <v>77</v>
      </c>
      <c r="AI49">
        <v>9</v>
      </c>
      <c r="AJ49" s="1">
        <v>45664</v>
      </c>
      <c r="AK49" s="2">
        <v>0.58333333333333337</v>
      </c>
      <c r="AL49" s="1"/>
      <c r="AM49" s="2"/>
      <c r="AN49" s="1">
        <v>45667</v>
      </c>
      <c r="AO49" s="2">
        <v>0.59781249999999997</v>
      </c>
      <c r="AP49">
        <v>1</v>
      </c>
      <c r="AQ49">
        <v>2</v>
      </c>
      <c r="AR49">
        <v>2</v>
      </c>
      <c r="AS49">
        <v>7</v>
      </c>
      <c r="AT49">
        <v>7</v>
      </c>
      <c r="AU49">
        <v>45664.583333333336</v>
      </c>
    </row>
    <row r="50" spans="1:47" x14ac:dyDescent="0.3">
      <c r="A50" s="77" t="s">
        <v>543</v>
      </c>
      <c r="B50" s="77" t="s">
        <v>80</v>
      </c>
      <c r="C50">
        <v>45663</v>
      </c>
      <c r="D50">
        <v>0.64583333333333337</v>
      </c>
      <c r="E50">
        <v>2025</v>
      </c>
      <c r="F50" t="s">
        <v>64</v>
      </c>
      <c r="G50" t="s">
        <v>91</v>
      </c>
      <c r="H50">
        <v>0.625</v>
      </c>
      <c r="I50" t="s">
        <v>81</v>
      </c>
      <c r="J50" s="77" t="s">
        <v>81</v>
      </c>
      <c r="K50" s="77" t="s">
        <v>49</v>
      </c>
      <c r="L50" s="77" t="s">
        <v>49</v>
      </c>
      <c r="M50" t="s">
        <v>270</v>
      </c>
      <c r="N50" s="77" t="s">
        <v>82</v>
      </c>
      <c r="O50" s="77"/>
      <c r="P50">
        <v>7</v>
      </c>
      <c r="Q50" s="77" t="s">
        <v>540</v>
      </c>
      <c r="T50" s="77" t="s">
        <v>84</v>
      </c>
      <c r="U50" s="77" t="s">
        <v>517</v>
      </c>
      <c r="V50" s="77" t="s">
        <v>85</v>
      </c>
      <c r="W50" s="77" t="s">
        <v>56</v>
      </c>
      <c r="AB50" s="77" t="s">
        <v>499</v>
      </c>
      <c r="AC50" s="77" t="s">
        <v>58</v>
      </c>
      <c r="AD50" s="77" t="s">
        <v>87</v>
      </c>
      <c r="AE50" s="77" t="s">
        <v>88</v>
      </c>
      <c r="AF50" s="77" t="s">
        <v>89</v>
      </c>
      <c r="AG50" s="77" t="s">
        <v>62</v>
      </c>
      <c r="AH50" s="77" t="s">
        <v>90</v>
      </c>
      <c r="AI50">
        <v>9</v>
      </c>
      <c r="AJ50" s="1">
        <v>45663</v>
      </c>
      <c r="AK50" s="2">
        <v>0.64583333333333337</v>
      </c>
      <c r="AL50" s="1">
        <v>45667</v>
      </c>
      <c r="AM50" s="2"/>
      <c r="AN50" s="1">
        <v>45667</v>
      </c>
      <c r="AO50" s="2">
        <v>0.82629629629629631</v>
      </c>
      <c r="AP50">
        <v>1</v>
      </c>
      <c r="AQ50">
        <v>2</v>
      </c>
      <c r="AR50">
        <v>2</v>
      </c>
      <c r="AS50">
        <v>6</v>
      </c>
      <c r="AT50">
        <v>6</v>
      </c>
      <c r="AU50">
        <v>45663.645833333336</v>
      </c>
    </row>
    <row r="51" spans="1:47" x14ac:dyDescent="0.3">
      <c r="A51" s="77" t="s">
        <v>543</v>
      </c>
      <c r="B51" s="77" t="s">
        <v>47</v>
      </c>
      <c r="C51">
        <v>45660</v>
      </c>
      <c r="D51">
        <v>0.89583333333333337</v>
      </c>
      <c r="E51">
        <v>2025</v>
      </c>
      <c r="F51" t="s">
        <v>64</v>
      </c>
      <c r="G51" t="s">
        <v>65</v>
      </c>
      <c r="H51">
        <v>0.875</v>
      </c>
      <c r="I51" t="s">
        <v>48</v>
      </c>
      <c r="J51" s="77" t="s">
        <v>48</v>
      </c>
      <c r="K51" s="77" t="s">
        <v>49</v>
      </c>
      <c r="L51" s="77" t="s">
        <v>49</v>
      </c>
      <c r="M51" t="s">
        <v>279</v>
      </c>
      <c r="N51" s="77" t="s">
        <v>50</v>
      </c>
      <c r="O51" s="77" t="s">
        <v>51</v>
      </c>
      <c r="P51">
        <v>9</v>
      </c>
      <c r="Q51" s="77" t="s">
        <v>541</v>
      </c>
      <c r="T51" s="77" t="s">
        <v>542</v>
      </c>
      <c r="U51" s="77" t="s">
        <v>517</v>
      </c>
      <c r="V51" s="77" t="s">
        <v>55</v>
      </c>
      <c r="W51" s="77" t="s">
        <v>56</v>
      </c>
      <c r="AB51" s="77" t="s">
        <v>510</v>
      </c>
      <c r="AC51" s="77" t="s">
        <v>58</v>
      </c>
      <c r="AD51" s="77" t="s">
        <v>59</v>
      </c>
      <c r="AE51" s="77" t="s">
        <v>60</v>
      </c>
      <c r="AF51" s="77" t="s">
        <v>61</v>
      </c>
      <c r="AG51" s="77" t="s">
        <v>62</v>
      </c>
      <c r="AH51" s="77" t="s">
        <v>63</v>
      </c>
      <c r="AI51">
        <v>9</v>
      </c>
      <c r="AJ51" s="1">
        <v>45660</v>
      </c>
      <c r="AK51" s="2">
        <v>0.89583333333333337</v>
      </c>
      <c r="AL51" s="1">
        <v>45661</v>
      </c>
      <c r="AM51" s="2">
        <v>0.2673611111111111</v>
      </c>
      <c r="AN51" s="1">
        <v>45661</v>
      </c>
      <c r="AO51" s="2">
        <v>0.45774305555555556</v>
      </c>
      <c r="AP51">
        <v>1</v>
      </c>
      <c r="AQ51">
        <v>1</v>
      </c>
      <c r="AR51">
        <v>1</v>
      </c>
      <c r="AS51">
        <v>3</v>
      </c>
      <c r="AT51">
        <v>3</v>
      </c>
      <c r="AU51">
        <v>45660.895833333336</v>
      </c>
    </row>
    <row r="52" spans="1:47" x14ac:dyDescent="0.3">
      <c r="A52" s="77" t="s">
        <v>551</v>
      </c>
      <c r="B52" s="77" t="s">
        <v>477</v>
      </c>
      <c r="C52">
        <v>45705</v>
      </c>
      <c r="D52">
        <v>0.52497685185185183</v>
      </c>
      <c r="E52">
        <v>2025</v>
      </c>
      <c r="F52" t="s">
        <v>210</v>
      </c>
      <c r="G52" t="s">
        <v>91</v>
      </c>
      <c r="H52">
        <v>0.5</v>
      </c>
      <c r="I52" t="s">
        <v>478</v>
      </c>
      <c r="J52" s="77" t="s">
        <v>230</v>
      </c>
      <c r="K52" s="77" t="s">
        <v>212</v>
      </c>
      <c r="L52" s="77" t="s">
        <v>49</v>
      </c>
      <c r="M52" t="s">
        <v>479</v>
      </c>
      <c r="N52" s="77" t="s">
        <v>480</v>
      </c>
      <c r="O52" s="77" t="s">
        <v>134</v>
      </c>
      <c r="P52">
        <v>9</v>
      </c>
      <c r="Q52" s="77" t="s">
        <v>552</v>
      </c>
      <c r="T52" s="77"/>
      <c r="U52" s="77"/>
      <c r="V52" s="77"/>
      <c r="W52" s="77"/>
      <c r="AB52" s="77" t="s">
        <v>499</v>
      </c>
      <c r="AC52" s="77" t="s">
        <v>58</v>
      </c>
      <c r="AD52" s="77" t="s">
        <v>87</v>
      </c>
      <c r="AE52" s="77" t="s">
        <v>88</v>
      </c>
      <c r="AF52" s="77" t="s">
        <v>215</v>
      </c>
      <c r="AG52" s="77" t="s">
        <v>359</v>
      </c>
      <c r="AH52" s="77"/>
      <c r="AI52">
        <v>9</v>
      </c>
      <c r="AJ52" s="1">
        <v>45705</v>
      </c>
      <c r="AK52" s="2">
        <v>0.52497685185185183</v>
      </c>
      <c r="AL52" s="1"/>
      <c r="AM52" s="2"/>
      <c r="AN52" s="1">
        <v>45705</v>
      </c>
      <c r="AO52" s="2">
        <v>0.52497685185185183</v>
      </c>
      <c r="AP52">
        <v>1</v>
      </c>
      <c r="AQ52">
        <v>8</v>
      </c>
      <c r="AR52">
        <v>4</v>
      </c>
      <c r="AS52">
        <v>17</v>
      </c>
      <c r="AT52">
        <v>48</v>
      </c>
      <c r="AU52">
        <v>45705.524305555555</v>
      </c>
    </row>
    <row r="53" spans="1:47" x14ac:dyDescent="0.3">
      <c r="A53" s="77" t="s">
        <v>551</v>
      </c>
      <c r="B53" s="77" t="s">
        <v>468</v>
      </c>
      <c r="C53">
        <v>45705</v>
      </c>
      <c r="D53">
        <v>0.34877314814814814</v>
      </c>
      <c r="E53">
        <v>2025</v>
      </c>
      <c r="F53" t="s">
        <v>210</v>
      </c>
      <c r="G53" t="s">
        <v>91</v>
      </c>
      <c r="H53">
        <v>0.33333333333333331</v>
      </c>
      <c r="I53" t="s">
        <v>470</v>
      </c>
      <c r="J53" s="77" t="s">
        <v>48</v>
      </c>
      <c r="K53" s="77" t="s">
        <v>469</v>
      </c>
      <c r="L53" s="77" t="s">
        <v>49</v>
      </c>
      <c r="M53" t="s">
        <v>472</v>
      </c>
      <c r="N53" s="77" t="s">
        <v>473</v>
      </c>
      <c r="O53" s="77" t="s">
        <v>71</v>
      </c>
      <c r="P53">
        <v>7</v>
      </c>
      <c r="Q53" s="77" t="s">
        <v>553</v>
      </c>
      <c r="T53" s="77" t="s">
        <v>554</v>
      </c>
      <c r="U53" s="77" t="s">
        <v>517</v>
      </c>
      <c r="V53" s="77" t="s">
        <v>55</v>
      </c>
      <c r="W53" s="77" t="s">
        <v>56</v>
      </c>
      <c r="AB53" s="77" t="s">
        <v>499</v>
      </c>
      <c r="AC53" s="77" t="s">
        <v>58</v>
      </c>
      <c r="AD53" s="77" t="s">
        <v>87</v>
      </c>
      <c r="AE53" s="77" t="s">
        <v>88</v>
      </c>
      <c r="AF53" s="77" t="s">
        <v>155</v>
      </c>
      <c r="AG53" s="77" t="s">
        <v>62</v>
      </c>
      <c r="AH53" s="77"/>
      <c r="AI53">
        <v>9</v>
      </c>
      <c r="AJ53" s="1">
        <v>45705</v>
      </c>
      <c r="AK53" s="2">
        <v>0.34877314814814814</v>
      </c>
      <c r="AL53" s="1"/>
      <c r="AM53" s="2"/>
      <c r="AN53" s="1">
        <v>45705</v>
      </c>
      <c r="AO53" s="2">
        <v>0.34877314814814814</v>
      </c>
      <c r="AP53">
        <v>1</v>
      </c>
      <c r="AQ53">
        <v>8</v>
      </c>
      <c r="AR53">
        <v>4</v>
      </c>
      <c r="AS53">
        <v>17</v>
      </c>
      <c r="AT53">
        <v>48</v>
      </c>
      <c r="AU53">
        <v>45705.348611111112</v>
      </c>
    </row>
    <row r="54" spans="1:47" x14ac:dyDescent="0.3">
      <c r="A54" s="77" t="s">
        <v>551</v>
      </c>
      <c r="B54" s="77" t="s">
        <v>460</v>
      </c>
      <c r="C54">
        <v>45705</v>
      </c>
      <c r="D54">
        <v>0.39716435185185184</v>
      </c>
      <c r="E54">
        <v>2025</v>
      </c>
      <c r="F54" t="s">
        <v>210</v>
      </c>
      <c r="G54" t="s">
        <v>91</v>
      </c>
      <c r="H54">
        <v>0.375</v>
      </c>
      <c r="I54" t="s">
        <v>48</v>
      </c>
      <c r="J54" s="77" t="s">
        <v>48</v>
      </c>
      <c r="K54" s="77" t="s">
        <v>49</v>
      </c>
      <c r="L54" s="77" t="s">
        <v>49</v>
      </c>
      <c r="M54" t="s">
        <v>461</v>
      </c>
      <c r="N54" s="77" t="s">
        <v>462</v>
      </c>
      <c r="O54" s="77" t="s">
        <v>463</v>
      </c>
      <c r="P54">
        <v>7</v>
      </c>
      <c r="Q54" s="77" t="s">
        <v>555</v>
      </c>
      <c r="T54" s="77" t="s">
        <v>556</v>
      </c>
      <c r="U54" s="77" t="s">
        <v>517</v>
      </c>
      <c r="V54" s="77" t="s">
        <v>55</v>
      </c>
      <c r="W54" s="77" t="s">
        <v>508</v>
      </c>
      <c r="AB54" s="77" t="s">
        <v>499</v>
      </c>
      <c r="AC54" s="77" t="s">
        <v>58</v>
      </c>
      <c r="AD54" s="77" t="s">
        <v>467</v>
      </c>
      <c r="AE54" s="77" t="s">
        <v>88</v>
      </c>
      <c r="AF54" s="77" t="s">
        <v>155</v>
      </c>
      <c r="AG54" s="77" t="s">
        <v>102</v>
      </c>
      <c r="AH54" s="77"/>
      <c r="AI54">
        <v>9</v>
      </c>
      <c r="AJ54" s="1">
        <v>45705</v>
      </c>
      <c r="AK54" s="2">
        <v>0.39716435185185184</v>
      </c>
      <c r="AL54" s="1"/>
      <c r="AM54" s="2"/>
      <c r="AN54" s="1">
        <v>45705</v>
      </c>
      <c r="AO54" s="2">
        <v>0.39716435185185184</v>
      </c>
      <c r="AP54">
        <v>1</v>
      </c>
      <c r="AQ54">
        <v>8</v>
      </c>
      <c r="AR54">
        <v>4</v>
      </c>
      <c r="AS54">
        <v>17</v>
      </c>
      <c r="AT54">
        <v>48</v>
      </c>
      <c r="AU54">
        <v>45705.396527777775</v>
      </c>
    </row>
    <row r="55" spans="1:47" x14ac:dyDescent="0.3">
      <c r="A55" s="77" t="s">
        <v>551</v>
      </c>
      <c r="B55" s="77" t="s">
        <v>350</v>
      </c>
      <c r="C55">
        <v>45701</v>
      </c>
      <c r="D55">
        <v>0.66666666666666663</v>
      </c>
      <c r="E55">
        <v>2025</v>
      </c>
      <c r="F55" t="s">
        <v>210</v>
      </c>
      <c r="G55" t="s">
        <v>131</v>
      </c>
      <c r="H55">
        <v>0.66666666666666663</v>
      </c>
      <c r="I55" t="s">
        <v>81</v>
      </c>
      <c r="J55" s="77" t="s">
        <v>81</v>
      </c>
      <c r="K55" s="77" t="s">
        <v>49</v>
      </c>
      <c r="L55" s="77" t="s">
        <v>49</v>
      </c>
      <c r="M55" t="s">
        <v>351</v>
      </c>
      <c r="N55" s="77" t="s">
        <v>352</v>
      </c>
      <c r="O55" s="77" t="s">
        <v>353</v>
      </c>
      <c r="P55">
        <v>6</v>
      </c>
      <c r="Q55" s="77" t="s">
        <v>544</v>
      </c>
      <c r="T55" s="77" t="s">
        <v>356</v>
      </c>
      <c r="U55" s="77" t="s">
        <v>505</v>
      </c>
      <c r="V55" s="77" t="s">
        <v>357</v>
      </c>
      <c r="W55" s="77" t="s">
        <v>56</v>
      </c>
      <c r="AB55" s="77" t="s">
        <v>494</v>
      </c>
      <c r="AC55" s="77" t="s">
        <v>58</v>
      </c>
      <c r="AD55" s="77" t="s">
        <v>358</v>
      </c>
      <c r="AE55" s="77" t="s">
        <v>245</v>
      </c>
      <c r="AF55" s="77" t="s">
        <v>177</v>
      </c>
      <c r="AG55" s="77" t="s">
        <v>359</v>
      </c>
      <c r="AH55" s="77" t="s">
        <v>90</v>
      </c>
      <c r="AI55">
        <v>9</v>
      </c>
      <c r="AJ55" s="1">
        <v>45701</v>
      </c>
      <c r="AK55" s="2">
        <v>0.66666666666666663</v>
      </c>
      <c r="AL55" s="1"/>
      <c r="AM55" s="2"/>
      <c r="AN55" s="1">
        <v>45702</v>
      </c>
      <c r="AO55" s="2">
        <v>0.29906250000000001</v>
      </c>
      <c r="AP55">
        <v>1</v>
      </c>
      <c r="AQ55">
        <v>7</v>
      </c>
      <c r="AR55">
        <v>3</v>
      </c>
      <c r="AS55">
        <v>13</v>
      </c>
      <c r="AT55">
        <v>44</v>
      </c>
      <c r="AU55">
        <v>45701.666666666664</v>
      </c>
    </row>
    <row r="56" spans="1:47" x14ac:dyDescent="0.3">
      <c r="A56" s="77" t="s">
        <v>551</v>
      </c>
      <c r="B56" s="77" t="s">
        <v>360</v>
      </c>
      <c r="C56">
        <v>45701</v>
      </c>
      <c r="D56">
        <v>8.3333333333333329E-2</v>
      </c>
      <c r="E56">
        <v>2025</v>
      </c>
      <c r="F56" t="s">
        <v>210</v>
      </c>
      <c r="G56" t="s">
        <v>131</v>
      </c>
      <c r="H56">
        <v>8.3333333333333329E-2</v>
      </c>
      <c r="I56" t="s">
        <v>363</v>
      </c>
      <c r="J56" s="77" t="s">
        <v>361</v>
      </c>
      <c r="K56" s="77" t="s">
        <v>362</v>
      </c>
      <c r="L56" s="77" t="s">
        <v>95</v>
      </c>
      <c r="M56" t="s">
        <v>545</v>
      </c>
      <c r="N56" s="77" t="s">
        <v>366</v>
      </c>
      <c r="O56" s="77" t="s">
        <v>339</v>
      </c>
      <c r="P56">
        <v>9</v>
      </c>
      <c r="Q56" s="77" t="s">
        <v>546</v>
      </c>
      <c r="T56" s="77"/>
      <c r="U56" s="77"/>
      <c r="V56" s="77"/>
      <c r="W56" s="77"/>
      <c r="AB56" s="77" t="s">
        <v>547</v>
      </c>
      <c r="AC56" s="77" t="s">
        <v>58</v>
      </c>
      <c r="AD56" s="77" t="s">
        <v>358</v>
      </c>
      <c r="AE56" s="77" t="s">
        <v>245</v>
      </c>
      <c r="AF56" s="77" t="s">
        <v>140</v>
      </c>
      <c r="AG56" s="77" t="s">
        <v>369</v>
      </c>
      <c r="AH56" s="77"/>
      <c r="AI56">
        <v>9</v>
      </c>
      <c r="AJ56" s="1">
        <v>45701</v>
      </c>
      <c r="AK56" s="2">
        <v>8.3333333333333329E-2</v>
      </c>
      <c r="AL56" s="1"/>
      <c r="AM56" s="2"/>
      <c r="AN56" s="1">
        <v>45701</v>
      </c>
      <c r="AO56" s="2">
        <v>0.51225694444444447</v>
      </c>
      <c r="AP56">
        <v>1</v>
      </c>
      <c r="AQ56">
        <v>7</v>
      </c>
      <c r="AR56">
        <v>3</v>
      </c>
      <c r="AS56">
        <v>13</v>
      </c>
      <c r="AT56">
        <v>44</v>
      </c>
      <c r="AU56">
        <v>45701.083333333336</v>
      </c>
    </row>
    <row r="57" spans="1:47" x14ac:dyDescent="0.3">
      <c r="A57" s="77" t="s">
        <v>551</v>
      </c>
      <c r="B57" s="77" t="s">
        <v>237</v>
      </c>
      <c r="C57">
        <v>45695</v>
      </c>
      <c r="D57">
        <v>0.27430555555555558</v>
      </c>
      <c r="E57">
        <v>2025</v>
      </c>
      <c r="F57" t="s">
        <v>210</v>
      </c>
      <c r="G57" t="s">
        <v>65</v>
      </c>
      <c r="H57">
        <v>0.25</v>
      </c>
      <c r="I57" t="s">
        <v>48</v>
      </c>
      <c r="J57" s="77" t="s">
        <v>48</v>
      </c>
      <c r="K57" s="77" t="s">
        <v>49</v>
      </c>
      <c r="L57" s="77" t="s">
        <v>49</v>
      </c>
      <c r="M57" t="s">
        <v>267</v>
      </c>
      <c r="N57" s="77" t="s">
        <v>238</v>
      </c>
      <c r="O57" s="77" t="s">
        <v>239</v>
      </c>
      <c r="P57">
        <v>5</v>
      </c>
      <c r="Q57" s="77" t="s">
        <v>491</v>
      </c>
      <c r="T57" s="77" t="s">
        <v>492</v>
      </c>
      <c r="U57" s="77" t="s">
        <v>493</v>
      </c>
      <c r="V57" s="77" t="s">
        <v>243</v>
      </c>
      <c r="W57" s="77" t="s">
        <v>56</v>
      </c>
      <c r="AB57" s="77" t="s">
        <v>494</v>
      </c>
      <c r="AC57" s="77" t="s">
        <v>58</v>
      </c>
      <c r="AD57" s="77" t="s">
        <v>244</v>
      </c>
      <c r="AE57" s="77" t="s">
        <v>245</v>
      </c>
      <c r="AF57" s="77" t="s">
        <v>215</v>
      </c>
      <c r="AG57" s="77" t="s">
        <v>178</v>
      </c>
      <c r="AH57" s="77" t="s">
        <v>63</v>
      </c>
      <c r="AI57">
        <v>9</v>
      </c>
      <c r="AJ57" s="1">
        <v>45695</v>
      </c>
      <c r="AK57" s="2">
        <v>0.27430555555555558</v>
      </c>
      <c r="AL57" s="1">
        <v>45695</v>
      </c>
      <c r="AM57" s="2">
        <v>0.28472222222222221</v>
      </c>
      <c r="AN57" s="1">
        <v>45695</v>
      </c>
      <c r="AO57" s="2">
        <v>0.30738425925925927</v>
      </c>
      <c r="AP57">
        <v>1</v>
      </c>
      <c r="AQ57">
        <v>6</v>
      </c>
      <c r="AR57">
        <v>2</v>
      </c>
      <c r="AS57">
        <v>7</v>
      </c>
      <c r="AT57">
        <v>38</v>
      </c>
      <c r="AU57">
        <v>45695.274305555555</v>
      </c>
    </row>
    <row r="58" spans="1:47" x14ac:dyDescent="0.3">
      <c r="A58" s="77" t="s">
        <v>551</v>
      </c>
      <c r="B58" s="77" t="s">
        <v>229</v>
      </c>
      <c r="C58">
        <v>45693</v>
      </c>
      <c r="D58">
        <v>0.12291666666666666</v>
      </c>
      <c r="E58">
        <v>2025</v>
      </c>
      <c r="F58" t="s">
        <v>210</v>
      </c>
      <c r="G58" t="s">
        <v>124</v>
      </c>
      <c r="H58">
        <v>8.3333333333333329E-2</v>
      </c>
      <c r="I58" t="s">
        <v>236</v>
      </c>
      <c r="J58" s="77" t="s">
        <v>230</v>
      </c>
      <c r="K58" s="77" t="s">
        <v>231</v>
      </c>
      <c r="L58" s="77" t="s">
        <v>49</v>
      </c>
      <c r="M58" t="s">
        <v>278</v>
      </c>
      <c r="N58" s="77" t="s">
        <v>232</v>
      </c>
      <c r="O58" s="77" t="s">
        <v>200</v>
      </c>
      <c r="P58">
        <v>8</v>
      </c>
      <c r="Q58" s="77" t="s">
        <v>495</v>
      </c>
      <c r="T58" s="77"/>
      <c r="U58" s="77"/>
      <c r="V58" s="77"/>
      <c r="W58" s="77"/>
      <c r="AB58" s="77" t="s">
        <v>494</v>
      </c>
      <c r="AC58" s="77" t="s">
        <v>58</v>
      </c>
      <c r="AD58" s="77" t="s">
        <v>234</v>
      </c>
      <c r="AE58" s="77" t="s">
        <v>139</v>
      </c>
      <c r="AF58" s="77" t="s">
        <v>235</v>
      </c>
      <c r="AG58" s="77" t="s">
        <v>102</v>
      </c>
      <c r="AH58" s="77" t="s">
        <v>130</v>
      </c>
      <c r="AI58">
        <v>9</v>
      </c>
      <c r="AJ58" s="1">
        <v>45693</v>
      </c>
      <c r="AK58" s="2">
        <v>0.12291666666666666</v>
      </c>
      <c r="AL58" s="1"/>
      <c r="AM58" s="2"/>
      <c r="AN58" s="1">
        <v>45693</v>
      </c>
      <c r="AO58" s="2">
        <v>0.1233912037037037</v>
      </c>
      <c r="AP58">
        <v>1</v>
      </c>
      <c r="AQ58">
        <v>6</v>
      </c>
      <c r="AR58">
        <v>2</v>
      </c>
      <c r="AS58">
        <v>5</v>
      </c>
      <c r="AT58">
        <v>36</v>
      </c>
      <c r="AU58">
        <v>45693.122916666667</v>
      </c>
    </row>
    <row r="59" spans="1:47" x14ac:dyDescent="0.3">
      <c r="A59" s="77" t="s">
        <v>551</v>
      </c>
      <c r="B59" s="77" t="s">
        <v>220</v>
      </c>
      <c r="C59">
        <v>45691</v>
      </c>
      <c r="D59">
        <v>0.77083333333333337</v>
      </c>
      <c r="E59">
        <v>2025</v>
      </c>
      <c r="F59" t="s">
        <v>210</v>
      </c>
      <c r="G59" t="s">
        <v>91</v>
      </c>
      <c r="H59">
        <v>0.75</v>
      </c>
      <c r="I59" t="s">
        <v>48</v>
      </c>
      <c r="J59" s="77" t="s">
        <v>48</v>
      </c>
      <c r="K59" s="77" t="s">
        <v>49</v>
      </c>
      <c r="L59" s="77" t="s">
        <v>49</v>
      </c>
      <c r="M59" t="s">
        <v>277</v>
      </c>
      <c r="N59" s="77" t="s">
        <v>221</v>
      </c>
      <c r="O59" s="77" t="s">
        <v>222</v>
      </c>
      <c r="P59">
        <v>8</v>
      </c>
      <c r="Q59" s="77" t="s">
        <v>496</v>
      </c>
      <c r="T59" s="77" t="s">
        <v>497</v>
      </c>
      <c r="U59" s="77" t="s">
        <v>225</v>
      </c>
      <c r="V59" s="77" t="s">
        <v>498</v>
      </c>
      <c r="W59" s="77" t="s">
        <v>227</v>
      </c>
      <c r="AB59" s="77" t="s">
        <v>499</v>
      </c>
      <c r="AC59" s="77" t="s">
        <v>58</v>
      </c>
      <c r="AD59" s="77" t="s">
        <v>186</v>
      </c>
      <c r="AE59" s="77" t="s">
        <v>88</v>
      </c>
      <c r="AF59" s="77" t="s">
        <v>89</v>
      </c>
      <c r="AG59" s="77" t="s">
        <v>228</v>
      </c>
      <c r="AH59" s="77" t="s">
        <v>63</v>
      </c>
      <c r="AI59">
        <v>9</v>
      </c>
      <c r="AJ59" s="1">
        <v>45691</v>
      </c>
      <c r="AK59" s="2">
        <v>0.77083333333333337</v>
      </c>
      <c r="AL59" s="1">
        <v>45692</v>
      </c>
      <c r="AM59" s="2">
        <v>0.79166666666666663</v>
      </c>
      <c r="AN59" s="1">
        <v>45692</v>
      </c>
      <c r="AO59" s="2">
        <v>0.53023148148148147</v>
      </c>
      <c r="AP59">
        <v>1</v>
      </c>
      <c r="AQ59">
        <v>6</v>
      </c>
      <c r="AR59">
        <v>2</v>
      </c>
      <c r="AS59">
        <v>3</v>
      </c>
      <c r="AT59">
        <v>34</v>
      </c>
      <c r="AU59">
        <v>45691.770833333336</v>
      </c>
    </row>
    <row r="60" spans="1:47" x14ac:dyDescent="0.3">
      <c r="A60" s="77" t="s">
        <v>551</v>
      </c>
      <c r="B60" s="77" t="s">
        <v>217</v>
      </c>
      <c r="C60">
        <v>45691</v>
      </c>
      <c r="D60">
        <v>0.694849537037037</v>
      </c>
      <c r="E60">
        <v>2025</v>
      </c>
      <c r="F60" t="s">
        <v>210</v>
      </c>
      <c r="G60" t="s">
        <v>91</v>
      </c>
      <c r="H60">
        <v>0.66666666666666663</v>
      </c>
      <c r="I60" t="s">
        <v>95</v>
      </c>
      <c r="J60" s="77" t="s">
        <v>95</v>
      </c>
      <c r="K60" s="77" t="s">
        <v>49</v>
      </c>
      <c r="L60" s="77" t="s">
        <v>49</v>
      </c>
      <c r="M60" t="s">
        <v>284</v>
      </c>
      <c r="N60" s="77" t="s">
        <v>218</v>
      </c>
      <c r="O60" s="77" t="s">
        <v>109</v>
      </c>
      <c r="P60">
        <v>9</v>
      </c>
      <c r="Q60" s="77" t="s">
        <v>500</v>
      </c>
      <c r="T60" s="77"/>
      <c r="U60" s="77"/>
      <c r="V60" s="77"/>
      <c r="W60" s="77"/>
      <c r="AB60" s="77" t="s">
        <v>501</v>
      </c>
      <c r="AC60" s="77" t="s">
        <v>58</v>
      </c>
      <c r="AD60" s="77" t="s">
        <v>129</v>
      </c>
      <c r="AE60" s="77" t="s">
        <v>88</v>
      </c>
      <c r="AF60" s="77" t="s">
        <v>187</v>
      </c>
      <c r="AG60" s="77" t="s">
        <v>62</v>
      </c>
      <c r="AH60" s="77" t="s">
        <v>103</v>
      </c>
      <c r="AI60">
        <v>9</v>
      </c>
      <c r="AJ60" s="1"/>
      <c r="AK60" s="2"/>
      <c r="AL60" s="1"/>
      <c r="AM60" s="2"/>
      <c r="AN60" s="1">
        <v>45691</v>
      </c>
      <c r="AO60" s="2">
        <v>0.694849537037037</v>
      </c>
      <c r="AP60">
        <v>1</v>
      </c>
      <c r="AQ60">
        <v>6</v>
      </c>
      <c r="AR60">
        <v>2</v>
      </c>
      <c r="AS60">
        <v>3</v>
      </c>
      <c r="AT60">
        <v>34</v>
      </c>
      <c r="AU60">
        <v>45691.694444444445</v>
      </c>
    </row>
    <row r="61" spans="1:47" x14ac:dyDescent="0.3">
      <c r="A61" s="77" t="s">
        <v>551</v>
      </c>
      <c r="B61" s="77" t="s">
        <v>211</v>
      </c>
      <c r="C61">
        <v>45690</v>
      </c>
      <c r="D61">
        <v>0.72569444444444442</v>
      </c>
      <c r="E61">
        <v>2025</v>
      </c>
      <c r="F61" t="s">
        <v>210</v>
      </c>
      <c r="G61" t="s">
        <v>188</v>
      </c>
      <c r="H61">
        <v>0.70833333333333337</v>
      </c>
      <c r="I61" t="s">
        <v>216</v>
      </c>
      <c r="J61" s="77" t="s">
        <v>212</v>
      </c>
      <c r="K61" s="77" t="s">
        <v>95</v>
      </c>
      <c r="L61" s="77" t="s">
        <v>49</v>
      </c>
      <c r="M61" t="s">
        <v>266</v>
      </c>
      <c r="N61" s="77" t="s">
        <v>213</v>
      </c>
      <c r="O61" s="77" t="s">
        <v>166</v>
      </c>
      <c r="P61">
        <v>5</v>
      </c>
      <c r="Q61" s="77" t="s">
        <v>502</v>
      </c>
      <c r="T61" s="77"/>
      <c r="U61" s="77"/>
      <c r="V61" s="77"/>
      <c r="W61" s="77"/>
      <c r="AB61" s="77" t="s">
        <v>499</v>
      </c>
      <c r="AC61" s="77" t="s">
        <v>58</v>
      </c>
      <c r="AD61" s="77" t="s">
        <v>186</v>
      </c>
      <c r="AE61" s="77" t="s">
        <v>88</v>
      </c>
      <c r="AF61" s="77" t="s">
        <v>215</v>
      </c>
      <c r="AG61" s="77" t="s">
        <v>178</v>
      </c>
      <c r="AH61" s="77"/>
      <c r="AI61">
        <v>9</v>
      </c>
      <c r="AJ61" s="1">
        <v>45690</v>
      </c>
      <c r="AK61" s="2">
        <v>0.72569444444444442</v>
      </c>
      <c r="AL61" s="1">
        <v>45690</v>
      </c>
      <c r="AM61" s="2">
        <v>0.75</v>
      </c>
      <c r="AN61" s="1">
        <v>45691</v>
      </c>
      <c r="AO61" s="2">
        <v>0.50143518518518515</v>
      </c>
      <c r="AP61">
        <v>1</v>
      </c>
      <c r="AQ61">
        <v>6</v>
      </c>
      <c r="AR61">
        <v>2</v>
      </c>
      <c r="AS61">
        <v>2</v>
      </c>
      <c r="AT61">
        <v>33</v>
      </c>
      <c r="AU61">
        <v>45690.725694444445</v>
      </c>
    </row>
    <row r="62" spans="1:47" x14ac:dyDescent="0.3">
      <c r="A62" s="77" t="s">
        <v>551</v>
      </c>
      <c r="B62" s="77" t="s">
        <v>203</v>
      </c>
      <c r="C62">
        <v>45689</v>
      </c>
      <c r="D62">
        <v>4.1666666666666664E-2</v>
      </c>
      <c r="E62">
        <v>2025</v>
      </c>
      <c r="F62" t="s">
        <v>210</v>
      </c>
      <c r="G62" t="s">
        <v>170</v>
      </c>
      <c r="H62">
        <v>4.1666666666666664E-2</v>
      </c>
      <c r="I62" t="s">
        <v>48</v>
      </c>
      <c r="J62" s="77" t="s">
        <v>48</v>
      </c>
      <c r="K62" s="77" t="s">
        <v>49</v>
      </c>
      <c r="L62" s="77" t="s">
        <v>49</v>
      </c>
      <c r="M62" t="s">
        <v>265</v>
      </c>
      <c r="N62" s="77" t="s">
        <v>204</v>
      </c>
      <c r="O62" s="77" t="s">
        <v>205</v>
      </c>
      <c r="P62">
        <v>6</v>
      </c>
      <c r="Q62" s="77" t="s">
        <v>503</v>
      </c>
      <c r="T62" s="77" t="s">
        <v>504</v>
      </c>
      <c r="U62" s="77" t="s">
        <v>505</v>
      </c>
      <c r="V62" s="77" t="s">
        <v>209</v>
      </c>
      <c r="W62" s="77" t="s">
        <v>56</v>
      </c>
      <c r="AB62" s="77" t="s">
        <v>494</v>
      </c>
      <c r="AC62" s="77" t="s">
        <v>58</v>
      </c>
      <c r="AD62" s="77" t="s">
        <v>147</v>
      </c>
      <c r="AE62" s="77" t="s">
        <v>60</v>
      </c>
      <c r="AF62" s="77" t="s">
        <v>155</v>
      </c>
      <c r="AG62" s="77" t="s">
        <v>62</v>
      </c>
      <c r="AH62" s="77" t="s">
        <v>63</v>
      </c>
      <c r="AI62">
        <v>9</v>
      </c>
      <c r="AJ62" s="1">
        <v>45689</v>
      </c>
      <c r="AK62" s="2">
        <v>4.1666666666666664E-2</v>
      </c>
      <c r="AL62" s="1"/>
      <c r="AM62" s="2">
        <v>0.10416666666666667</v>
      </c>
      <c r="AN62" s="1">
        <v>45689</v>
      </c>
      <c r="AO62" s="2">
        <v>0.11982638888888889</v>
      </c>
      <c r="AP62">
        <v>1</v>
      </c>
      <c r="AQ62">
        <v>5</v>
      </c>
      <c r="AR62">
        <v>1</v>
      </c>
      <c r="AS62">
        <v>1</v>
      </c>
      <c r="AT62">
        <v>32</v>
      </c>
      <c r="AU62">
        <v>45689.041666666664</v>
      </c>
    </row>
    <row r="63" spans="1:47" x14ac:dyDescent="0.3">
      <c r="A63" s="77" t="s">
        <v>551</v>
      </c>
      <c r="B63" s="77" t="s">
        <v>246</v>
      </c>
      <c r="C63">
        <v>45688</v>
      </c>
      <c r="D63">
        <v>0.5</v>
      </c>
      <c r="E63">
        <v>2025</v>
      </c>
      <c r="F63" t="s">
        <v>64</v>
      </c>
      <c r="G63" t="s">
        <v>65</v>
      </c>
      <c r="H63">
        <v>0.5</v>
      </c>
      <c r="I63" t="s">
        <v>48</v>
      </c>
      <c r="J63" s="77" t="s">
        <v>48</v>
      </c>
      <c r="K63" s="77" t="s">
        <v>49</v>
      </c>
      <c r="L63" s="77" t="s">
        <v>49</v>
      </c>
      <c r="M63" t="s">
        <v>268</v>
      </c>
      <c r="N63" s="77" t="s">
        <v>247</v>
      </c>
      <c r="O63" s="77" t="s">
        <v>150</v>
      </c>
      <c r="P63">
        <v>5</v>
      </c>
      <c r="Q63" s="77" t="s">
        <v>506</v>
      </c>
      <c r="T63" s="77" t="s">
        <v>507</v>
      </c>
      <c r="U63" s="77"/>
      <c r="V63" s="77" t="s">
        <v>122</v>
      </c>
      <c r="W63" s="77" t="s">
        <v>508</v>
      </c>
      <c r="AB63" s="77" t="s">
        <v>494</v>
      </c>
      <c r="AC63" s="77" t="s">
        <v>58</v>
      </c>
      <c r="AD63" s="77" t="s">
        <v>250</v>
      </c>
      <c r="AE63" s="77" t="s">
        <v>60</v>
      </c>
      <c r="AF63" s="77" t="s">
        <v>187</v>
      </c>
      <c r="AG63" s="77" t="s">
        <v>62</v>
      </c>
      <c r="AH63" s="77" t="s">
        <v>63</v>
      </c>
      <c r="AI63">
        <v>9</v>
      </c>
      <c r="AJ63" s="1">
        <v>45688</v>
      </c>
      <c r="AK63" s="2">
        <v>0.5</v>
      </c>
      <c r="AL63" s="1">
        <v>45695</v>
      </c>
      <c r="AM63" s="2">
        <v>0.54166666666666663</v>
      </c>
      <c r="AN63" s="1">
        <v>45696</v>
      </c>
      <c r="AO63" s="2">
        <v>0.3903240740740741</v>
      </c>
      <c r="AP63">
        <v>1</v>
      </c>
      <c r="AQ63">
        <v>5</v>
      </c>
      <c r="AR63">
        <v>5</v>
      </c>
      <c r="AS63">
        <v>31</v>
      </c>
      <c r="AT63">
        <v>31</v>
      </c>
      <c r="AU63">
        <v>45688.5</v>
      </c>
    </row>
    <row r="64" spans="1:47" x14ac:dyDescent="0.3">
      <c r="A64" s="77" t="s">
        <v>551</v>
      </c>
      <c r="B64" s="77" t="s">
        <v>198</v>
      </c>
      <c r="C64">
        <v>45688</v>
      </c>
      <c r="D64">
        <v>0.49988425925925928</v>
      </c>
      <c r="E64">
        <v>2025</v>
      </c>
      <c r="F64" t="s">
        <v>64</v>
      </c>
      <c r="G64" t="s">
        <v>65</v>
      </c>
      <c r="H64">
        <v>0.45833333333333331</v>
      </c>
      <c r="I64" t="s">
        <v>126</v>
      </c>
      <c r="J64" s="77" t="s">
        <v>126</v>
      </c>
      <c r="K64" s="77" t="s">
        <v>49</v>
      </c>
      <c r="L64" s="77" t="s">
        <v>49</v>
      </c>
      <c r="M64" t="s">
        <v>276</v>
      </c>
      <c r="N64" s="77" t="s">
        <v>199</v>
      </c>
      <c r="O64" s="77" t="s">
        <v>200</v>
      </c>
      <c r="P64">
        <v>8</v>
      </c>
      <c r="Q64" s="77" t="s">
        <v>509</v>
      </c>
      <c r="T64" s="77"/>
      <c r="U64" s="77"/>
      <c r="V64" s="77"/>
      <c r="W64" s="77"/>
      <c r="AB64" s="77" t="s">
        <v>510</v>
      </c>
      <c r="AC64" s="77" t="s">
        <v>58</v>
      </c>
      <c r="AD64" s="77" t="s">
        <v>202</v>
      </c>
      <c r="AE64" s="77" t="s">
        <v>115</v>
      </c>
      <c r="AF64" s="77" t="s">
        <v>116</v>
      </c>
      <c r="AG64" s="77" t="s">
        <v>62</v>
      </c>
      <c r="AH64" s="77" t="s">
        <v>130</v>
      </c>
      <c r="AI64">
        <v>9</v>
      </c>
      <c r="AJ64" s="1">
        <v>45688</v>
      </c>
      <c r="AK64" s="2">
        <v>0.49988425925925928</v>
      </c>
      <c r="AL64" s="1"/>
      <c r="AM64" s="2"/>
      <c r="AN64" s="1">
        <v>45688</v>
      </c>
      <c r="AO64" s="2">
        <v>0.49988425925925928</v>
      </c>
      <c r="AP64">
        <v>1</v>
      </c>
      <c r="AQ64">
        <v>5</v>
      </c>
      <c r="AR64">
        <v>5</v>
      </c>
      <c r="AS64">
        <v>31</v>
      </c>
      <c r="AT64">
        <v>31</v>
      </c>
      <c r="AU64">
        <v>45688.499305555553</v>
      </c>
    </row>
    <row r="65" spans="1:47" x14ac:dyDescent="0.3">
      <c r="A65" s="77" t="s">
        <v>551</v>
      </c>
      <c r="B65" s="77" t="s">
        <v>189</v>
      </c>
      <c r="C65">
        <v>45685</v>
      </c>
      <c r="D65">
        <v>0.625</v>
      </c>
      <c r="E65">
        <v>2025</v>
      </c>
      <c r="F65" t="s">
        <v>64</v>
      </c>
      <c r="G65" t="s">
        <v>79</v>
      </c>
      <c r="H65">
        <v>0.625</v>
      </c>
      <c r="I65" t="s">
        <v>197</v>
      </c>
      <c r="J65" s="77" t="s">
        <v>48</v>
      </c>
      <c r="K65" s="77" t="s">
        <v>172</v>
      </c>
      <c r="L65" s="77" t="s">
        <v>49</v>
      </c>
      <c r="M65" t="s">
        <v>264</v>
      </c>
      <c r="N65" s="77" t="s">
        <v>190</v>
      </c>
      <c r="O65" s="77" t="s">
        <v>191</v>
      </c>
      <c r="P65">
        <v>6</v>
      </c>
      <c r="Q65" s="77" t="s">
        <v>511</v>
      </c>
      <c r="T65" s="77" t="s">
        <v>512</v>
      </c>
      <c r="U65" s="77" t="s">
        <v>513</v>
      </c>
      <c r="V65" s="77" t="s">
        <v>195</v>
      </c>
      <c r="W65" s="77" t="s">
        <v>56</v>
      </c>
      <c r="AB65" s="77" t="s">
        <v>514</v>
      </c>
      <c r="AC65" s="77" t="s">
        <v>58</v>
      </c>
      <c r="AD65" s="77" t="s">
        <v>147</v>
      </c>
      <c r="AE65" s="77" t="s">
        <v>60</v>
      </c>
      <c r="AF65" s="77" t="s">
        <v>89</v>
      </c>
      <c r="AG65" s="77" t="s">
        <v>196</v>
      </c>
      <c r="AH65" s="77" t="s">
        <v>63</v>
      </c>
      <c r="AI65">
        <v>9</v>
      </c>
      <c r="AJ65" s="1">
        <v>45685</v>
      </c>
      <c r="AK65" s="2">
        <v>0.625</v>
      </c>
      <c r="AL65" s="1">
        <v>45686</v>
      </c>
      <c r="AM65" s="2">
        <v>0.91736111111111107</v>
      </c>
      <c r="AN65" s="1">
        <v>45686</v>
      </c>
      <c r="AO65" s="2">
        <v>0.91833333333333333</v>
      </c>
      <c r="AP65">
        <v>1</v>
      </c>
      <c r="AQ65">
        <v>5</v>
      </c>
      <c r="AR65">
        <v>5</v>
      </c>
      <c r="AS65">
        <v>28</v>
      </c>
      <c r="AT65">
        <v>28</v>
      </c>
      <c r="AU65">
        <v>45685.625</v>
      </c>
    </row>
    <row r="66" spans="1:47" x14ac:dyDescent="0.3">
      <c r="A66" s="77" t="s">
        <v>551</v>
      </c>
      <c r="B66" s="77" t="s">
        <v>180</v>
      </c>
      <c r="C66">
        <v>45683</v>
      </c>
      <c r="D66">
        <v>0.84027777777777779</v>
      </c>
      <c r="E66">
        <v>2025</v>
      </c>
      <c r="F66" t="s">
        <v>64</v>
      </c>
      <c r="G66" t="s">
        <v>188</v>
      </c>
      <c r="H66">
        <v>0.83333333333333337</v>
      </c>
      <c r="I66" t="s">
        <v>179</v>
      </c>
      <c r="J66" s="77" t="s">
        <v>81</v>
      </c>
      <c r="K66" s="77" t="s">
        <v>172</v>
      </c>
      <c r="L66" s="77" t="s">
        <v>49</v>
      </c>
      <c r="M66" t="s">
        <v>283</v>
      </c>
      <c r="N66" s="77" t="s">
        <v>181</v>
      </c>
      <c r="O66" s="77" t="s">
        <v>182</v>
      </c>
      <c r="P66">
        <v>9</v>
      </c>
      <c r="Q66" s="77" t="s">
        <v>515</v>
      </c>
      <c r="T66" s="77" t="s">
        <v>516</v>
      </c>
      <c r="U66" s="77" t="s">
        <v>517</v>
      </c>
      <c r="V66" s="77" t="s">
        <v>185</v>
      </c>
      <c r="W66" s="77" t="s">
        <v>508</v>
      </c>
      <c r="AB66" s="77" t="s">
        <v>499</v>
      </c>
      <c r="AC66" s="77" t="s">
        <v>58</v>
      </c>
      <c r="AD66" s="77" t="s">
        <v>186</v>
      </c>
      <c r="AE66" s="77" t="s">
        <v>88</v>
      </c>
      <c r="AF66" s="77" t="s">
        <v>187</v>
      </c>
      <c r="AG66" s="77" t="s">
        <v>102</v>
      </c>
      <c r="AH66" s="77" t="s">
        <v>90</v>
      </c>
      <c r="AI66">
        <v>9</v>
      </c>
      <c r="AJ66" s="1">
        <v>45683</v>
      </c>
      <c r="AK66" s="2">
        <v>0.84027777777777779</v>
      </c>
      <c r="AL66" s="1">
        <v>45683</v>
      </c>
      <c r="AM66" s="2">
        <v>0.84652777777777777</v>
      </c>
      <c r="AN66" s="1">
        <v>45683</v>
      </c>
      <c r="AO66" s="2">
        <v>0.85009259259259262</v>
      </c>
      <c r="AP66">
        <v>1</v>
      </c>
      <c r="AQ66">
        <v>5</v>
      </c>
      <c r="AR66">
        <v>5</v>
      </c>
      <c r="AS66">
        <v>26</v>
      </c>
      <c r="AT66">
        <v>26</v>
      </c>
      <c r="AU66">
        <v>45683.840277777781</v>
      </c>
    </row>
    <row r="67" spans="1:47" x14ac:dyDescent="0.3">
      <c r="A67" s="77" t="s">
        <v>551</v>
      </c>
      <c r="B67" s="77" t="s">
        <v>164</v>
      </c>
      <c r="C67">
        <v>45682</v>
      </c>
      <c r="D67">
        <v>0.45833333333333331</v>
      </c>
      <c r="E67">
        <v>2025</v>
      </c>
      <c r="F67" t="s">
        <v>64</v>
      </c>
      <c r="G67" t="s">
        <v>170</v>
      </c>
      <c r="H67">
        <v>0.45833333333333331</v>
      </c>
      <c r="I67" t="s">
        <v>126</v>
      </c>
      <c r="J67" s="77" t="s">
        <v>126</v>
      </c>
      <c r="K67" s="77" t="s">
        <v>49</v>
      </c>
      <c r="L67" s="77" t="s">
        <v>49</v>
      </c>
      <c r="M67" t="s">
        <v>263</v>
      </c>
      <c r="N67" s="77" t="s">
        <v>165</v>
      </c>
      <c r="O67" s="77" t="s">
        <v>166</v>
      </c>
      <c r="P67">
        <v>5</v>
      </c>
      <c r="Q67" s="77" t="s">
        <v>520</v>
      </c>
      <c r="T67" s="77"/>
      <c r="U67" s="77"/>
      <c r="V67" s="77"/>
      <c r="W67" s="77"/>
      <c r="AB67" s="77" t="s">
        <v>501</v>
      </c>
      <c r="AC67" s="77" t="s">
        <v>58</v>
      </c>
      <c r="AD67" s="77" t="s">
        <v>169</v>
      </c>
      <c r="AE67" s="77" t="s">
        <v>139</v>
      </c>
      <c r="AF67" s="77" t="s">
        <v>89</v>
      </c>
      <c r="AG67" s="77" t="s">
        <v>102</v>
      </c>
      <c r="AH67" s="77" t="s">
        <v>130</v>
      </c>
      <c r="AI67">
        <v>9</v>
      </c>
      <c r="AJ67" s="1">
        <v>45682</v>
      </c>
      <c r="AK67" s="2">
        <v>0.45833333333333331</v>
      </c>
      <c r="AL67" s="1">
        <v>45682</v>
      </c>
      <c r="AM67" s="2">
        <v>0.58333333333333337</v>
      </c>
      <c r="AN67" s="1">
        <v>45682</v>
      </c>
      <c r="AO67" s="2">
        <v>0.58054398148148145</v>
      </c>
      <c r="AP67">
        <v>1</v>
      </c>
      <c r="AQ67">
        <v>4</v>
      </c>
      <c r="AR67">
        <v>4</v>
      </c>
      <c r="AS67">
        <v>25</v>
      </c>
      <c r="AT67">
        <v>25</v>
      </c>
      <c r="AU67">
        <v>45682.458333333336</v>
      </c>
    </row>
    <row r="68" spans="1:47" x14ac:dyDescent="0.3">
      <c r="A68" s="77" t="s">
        <v>551</v>
      </c>
      <c r="B68" s="77" t="s">
        <v>171</v>
      </c>
      <c r="C68">
        <v>45682</v>
      </c>
      <c r="D68">
        <v>0.76875000000000004</v>
      </c>
      <c r="E68">
        <v>2025</v>
      </c>
      <c r="F68" t="s">
        <v>64</v>
      </c>
      <c r="G68" t="s">
        <v>170</v>
      </c>
      <c r="H68">
        <v>0.75</v>
      </c>
      <c r="I68" t="s">
        <v>179</v>
      </c>
      <c r="J68" s="77" t="s">
        <v>81</v>
      </c>
      <c r="K68" s="77" t="s">
        <v>172</v>
      </c>
      <c r="L68" s="77" t="s">
        <v>49</v>
      </c>
      <c r="M68" t="s">
        <v>275</v>
      </c>
      <c r="N68" s="77" t="s">
        <v>173</v>
      </c>
      <c r="O68" s="77" t="s">
        <v>97</v>
      </c>
      <c r="P68">
        <v>8</v>
      </c>
      <c r="Q68" s="77" t="s">
        <v>518</v>
      </c>
      <c r="T68" s="77" t="s">
        <v>519</v>
      </c>
      <c r="U68" s="77" t="s">
        <v>517</v>
      </c>
      <c r="V68" s="77" t="s">
        <v>176</v>
      </c>
      <c r="W68" s="77" t="s">
        <v>56</v>
      </c>
      <c r="AB68" s="77" t="s">
        <v>501</v>
      </c>
      <c r="AC68" s="77" t="s">
        <v>58</v>
      </c>
      <c r="AD68" s="77" t="s">
        <v>138</v>
      </c>
      <c r="AE68" s="77" t="s">
        <v>139</v>
      </c>
      <c r="AF68" s="77" t="s">
        <v>177</v>
      </c>
      <c r="AG68" s="77" t="s">
        <v>178</v>
      </c>
      <c r="AH68" s="77" t="s">
        <v>90</v>
      </c>
      <c r="AI68">
        <v>9</v>
      </c>
      <c r="AJ68" s="1">
        <v>45682</v>
      </c>
      <c r="AK68" s="2">
        <v>0.76875000000000004</v>
      </c>
      <c r="AL68" s="1"/>
      <c r="AM68" s="2"/>
      <c r="AN68" s="1">
        <v>45683</v>
      </c>
      <c r="AO68" s="2">
        <v>0.44056712962962963</v>
      </c>
      <c r="AP68">
        <v>1</v>
      </c>
      <c r="AQ68">
        <v>4</v>
      </c>
      <c r="AR68">
        <v>4</v>
      </c>
      <c r="AS68">
        <v>25</v>
      </c>
      <c r="AT68">
        <v>25</v>
      </c>
      <c r="AU68">
        <v>45682.768750000003</v>
      </c>
    </row>
    <row r="69" spans="1:47" x14ac:dyDescent="0.3">
      <c r="A69" s="77" t="s">
        <v>551</v>
      </c>
      <c r="B69" s="77" t="s">
        <v>156</v>
      </c>
      <c r="C69">
        <v>45680</v>
      </c>
      <c r="D69">
        <v>0.625</v>
      </c>
      <c r="E69">
        <v>2025</v>
      </c>
      <c r="F69" t="s">
        <v>64</v>
      </c>
      <c r="G69" t="s">
        <v>131</v>
      </c>
      <c r="H69">
        <v>0.625</v>
      </c>
      <c r="I69" t="s">
        <v>163</v>
      </c>
      <c r="J69" s="77" t="s">
        <v>157</v>
      </c>
      <c r="K69" s="77" t="s">
        <v>69</v>
      </c>
      <c r="L69" s="77" t="s">
        <v>49</v>
      </c>
      <c r="M69" t="s">
        <v>274</v>
      </c>
      <c r="N69" s="77" t="s">
        <v>158</v>
      </c>
      <c r="O69" s="77" t="s">
        <v>97</v>
      </c>
      <c r="P69">
        <v>8</v>
      </c>
      <c r="Q69" s="77" t="s">
        <v>521</v>
      </c>
      <c r="T69" s="77"/>
      <c r="U69" s="77"/>
      <c r="V69" s="77"/>
      <c r="W69" s="77"/>
      <c r="AB69" s="77" t="s">
        <v>522</v>
      </c>
      <c r="AC69" s="77" t="s">
        <v>58</v>
      </c>
      <c r="AD69" s="77" t="s">
        <v>101</v>
      </c>
      <c r="AE69" s="77" t="s">
        <v>161</v>
      </c>
      <c r="AF69" s="77" t="s">
        <v>76</v>
      </c>
      <c r="AG69" s="77" t="s">
        <v>162</v>
      </c>
      <c r="AH69" s="77"/>
      <c r="AI69">
        <v>9</v>
      </c>
      <c r="AJ69" s="1">
        <v>45680</v>
      </c>
      <c r="AK69" s="2">
        <v>0.625</v>
      </c>
      <c r="AL69" s="1"/>
      <c r="AM69" s="2"/>
      <c r="AN69" s="1">
        <v>45680</v>
      </c>
      <c r="AO69" s="2">
        <v>0.66545138888888888</v>
      </c>
      <c r="AP69">
        <v>1</v>
      </c>
      <c r="AQ69">
        <v>4</v>
      </c>
      <c r="AR69">
        <v>4</v>
      </c>
      <c r="AS69">
        <v>23</v>
      </c>
      <c r="AT69">
        <v>23</v>
      </c>
      <c r="AU69">
        <v>45680.625</v>
      </c>
    </row>
    <row r="70" spans="1:47" x14ac:dyDescent="0.3">
      <c r="A70" s="77" t="s">
        <v>551</v>
      </c>
      <c r="B70" s="77" t="s">
        <v>148</v>
      </c>
      <c r="C70">
        <v>45679</v>
      </c>
      <c r="D70">
        <v>0.33333333333333331</v>
      </c>
      <c r="E70">
        <v>2025</v>
      </c>
      <c r="F70" t="s">
        <v>64</v>
      </c>
      <c r="G70" t="s">
        <v>124</v>
      </c>
      <c r="H70">
        <v>0.33333333333333331</v>
      </c>
      <c r="I70" t="s">
        <v>48</v>
      </c>
      <c r="J70" s="77" t="s">
        <v>48</v>
      </c>
      <c r="K70" s="77" t="s">
        <v>49</v>
      </c>
      <c r="L70" s="77" t="s">
        <v>49</v>
      </c>
      <c r="M70" t="s">
        <v>262</v>
      </c>
      <c r="N70" s="77" t="s">
        <v>149</v>
      </c>
      <c r="O70" s="77" t="s">
        <v>150</v>
      </c>
      <c r="P70">
        <v>5</v>
      </c>
      <c r="Q70" s="77" t="s">
        <v>523</v>
      </c>
      <c r="T70" s="77" t="s">
        <v>152</v>
      </c>
      <c r="U70" s="77" t="s">
        <v>524</v>
      </c>
      <c r="V70" s="77" t="s">
        <v>154</v>
      </c>
      <c r="W70" s="77" t="s">
        <v>56</v>
      </c>
      <c r="AB70" s="77" t="s">
        <v>494</v>
      </c>
      <c r="AC70" s="77" t="s">
        <v>58</v>
      </c>
      <c r="AD70" s="77" t="s">
        <v>147</v>
      </c>
      <c r="AE70" s="77" t="s">
        <v>60</v>
      </c>
      <c r="AF70" s="77" t="s">
        <v>155</v>
      </c>
      <c r="AG70" s="77" t="s">
        <v>62</v>
      </c>
      <c r="AH70" s="77" t="s">
        <v>63</v>
      </c>
      <c r="AI70">
        <v>9</v>
      </c>
      <c r="AJ70" s="1">
        <v>45679</v>
      </c>
      <c r="AK70" s="2">
        <v>0.33333333333333331</v>
      </c>
      <c r="AL70" s="1">
        <v>45679</v>
      </c>
      <c r="AM70" s="2">
        <v>0.80069444444444449</v>
      </c>
      <c r="AN70" s="1">
        <v>45679</v>
      </c>
      <c r="AO70" s="2">
        <v>0.80203703703703699</v>
      </c>
      <c r="AP70">
        <v>1</v>
      </c>
      <c r="AQ70">
        <v>4</v>
      </c>
      <c r="AR70">
        <v>4</v>
      </c>
      <c r="AS70">
        <v>22</v>
      </c>
      <c r="AT70">
        <v>22</v>
      </c>
      <c r="AU70">
        <v>45679.333333333336</v>
      </c>
    </row>
    <row r="71" spans="1:47" x14ac:dyDescent="0.3">
      <c r="A71" s="77" t="s">
        <v>551</v>
      </c>
      <c r="B71" s="77" t="s">
        <v>141</v>
      </c>
      <c r="C71">
        <v>45678</v>
      </c>
      <c r="D71">
        <v>0.79166666666666663</v>
      </c>
      <c r="E71">
        <v>2025</v>
      </c>
      <c r="F71" t="s">
        <v>64</v>
      </c>
      <c r="G71" t="s">
        <v>79</v>
      </c>
      <c r="H71">
        <v>0.79166666666666663</v>
      </c>
      <c r="I71" t="s">
        <v>48</v>
      </c>
      <c r="J71" s="77" t="s">
        <v>48</v>
      </c>
      <c r="K71" s="77" t="s">
        <v>49</v>
      </c>
      <c r="L71" s="77" t="s">
        <v>49</v>
      </c>
      <c r="M71" t="s">
        <v>282</v>
      </c>
      <c r="N71" s="77" t="s">
        <v>142</v>
      </c>
      <c r="O71" s="77" t="s">
        <v>134</v>
      </c>
      <c r="P71">
        <v>9</v>
      </c>
      <c r="Q71" s="77" t="s">
        <v>525</v>
      </c>
      <c r="T71" s="77" t="s">
        <v>144</v>
      </c>
      <c r="U71" s="77" t="s">
        <v>54</v>
      </c>
      <c r="V71" s="77" t="s">
        <v>145</v>
      </c>
      <c r="W71" s="77" t="s">
        <v>56</v>
      </c>
      <c r="AB71" s="77" t="s">
        <v>526</v>
      </c>
      <c r="AC71" s="77" t="s">
        <v>58</v>
      </c>
      <c r="AD71" s="77" t="s">
        <v>147</v>
      </c>
      <c r="AE71" s="77" t="s">
        <v>60</v>
      </c>
      <c r="AF71" s="77" t="s">
        <v>116</v>
      </c>
      <c r="AG71" s="77" t="s">
        <v>62</v>
      </c>
      <c r="AH71" s="77" t="s">
        <v>63</v>
      </c>
      <c r="AI71">
        <v>9</v>
      </c>
      <c r="AJ71" s="1">
        <v>45678</v>
      </c>
      <c r="AK71" s="2">
        <v>0.79166666666666663</v>
      </c>
      <c r="AL71" s="1">
        <v>45679</v>
      </c>
      <c r="AM71" s="2">
        <v>0.13125000000000001</v>
      </c>
      <c r="AN71" s="1">
        <v>45679</v>
      </c>
      <c r="AO71" s="2">
        <v>0.13255787037037037</v>
      </c>
      <c r="AP71">
        <v>1</v>
      </c>
      <c r="AQ71">
        <v>4</v>
      </c>
      <c r="AR71">
        <v>4</v>
      </c>
      <c r="AS71">
        <v>21</v>
      </c>
      <c r="AT71">
        <v>21</v>
      </c>
      <c r="AU71">
        <v>45678.791666666664</v>
      </c>
    </row>
    <row r="72" spans="1:47" x14ac:dyDescent="0.3">
      <c r="A72" s="77" t="s">
        <v>551</v>
      </c>
      <c r="B72" s="77" t="s">
        <v>132</v>
      </c>
      <c r="C72">
        <v>45673</v>
      </c>
      <c r="D72">
        <v>0.87708333333333333</v>
      </c>
      <c r="E72">
        <v>2025</v>
      </c>
      <c r="F72" t="s">
        <v>64</v>
      </c>
      <c r="G72" t="s">
        <v>131</v>
      </c>
      <c r="H72">
        <v>0.875</v>
      </c>
      <c r="I72" t="s">
        <v>95</v>
      </c>
      <c r="J72" s="77" t="s">
        <v>95</v>
      </c>
      <c r="K72" s="77" t="s">
        <v>49</v>
      </c>
      <c r="L72" s="77" t="s">
        <v>49</v>
      </c>
      <c r="M72" t="s">
        <v>281</v>
      </c>
      <c r="N72" s="77" t="s">
        <v>133</v>
      </c>
      <c r="O72" s="77" t="s">
        <v>134</v>
      </c>
      <c r="P72">
        <v>9</v>
      </c>
      <c r="Q72" s="77" t="s">
        <v>527</v>
      </c>
      <c r="T72" s="77"/>
      <c r="U72" s="77" t="s">
        <v>528</v>
      </c>
      <c r="V72" s="77" t="s">
        <v>529</v>
      </c>
      <c r="W72" s="77"/>
      <c r="AB72" s="77" t="s">
        <v>499</v>
      </c>
      <c r="AC72" s="77" t="s">
        <v>58</v>
      </c>
      <c r="AD72" s="77" t="s">
        <v>138</v>
      </c>
      <c r="AE72" s="77" t="s">
        <v>139</v>
      </c>
      <c r="AF72" s="77" t="s">
        <v>140</v>
      </c>
      <c r="AG72" s="77" t="s">
        <v>228</v>
      </c>
      <c r="AH72" s="77" t="s">
        <v>103</v>
      </c>
      <c r="AI72">
        <v>9</v>
      </c>
      <c r="AJ72" s="1">
        <v>45673</v>
      </c>
      <c r="AK72" s="2">
        <v>0.87708333333333333</v>
      </c>
      <c r="AL72" s="1">
        <v>45673</v>
      </c>
      <c r="AM72" s="2">
        <v>0.88611111111111107</v>
      </c>
      <c r="AN72" s="1">
        <v>45674</v>
      </c>
      <c r="AO72" s="2">
        <v>0.51179398148148147</v>
      </c>
      <c r="AP72">
        <v>1</v>
      </c>
      <c r="AQ72">
        <v>3</v>
      </c>
      <c r="AR72">
        <v>3</v>
      </c>
      <c r="AS72">
        <v>16</v>
      </c>
      <c r="AT72">
        <v>16</v>
      </c>
      <c r="AU72">
        <v>45673.877083333333</v>
      </c>
    </row>
    <row r="73" spans="1:47" x14ac:dyDescent="0.3">
      <c r="A73" s="77" t="s">
        <v>551</v>
      </c>
      <c r="B73" s="77" t="s">
        <v>125</v>
      </c>
      <c r="C73">
        <v>45673</v>
      </c>
      <c r="D73">
        <v>0.5</v>
      </c>
      <c r="E73">
        <v>2025</v>
      </c>
      <c r="F73" t="s">
        <v>64</v>
      </c>
      <c r="G73" t="s">
        <v>131</v>
      </c>
      <c r="H73">
        <v>0.5</v>
      </c>
      <c r="I73" t="s">
        <v>126</v>
      </c>
      <c r="J73" s="77" t="s">
        <v>126</v>
      </c>
      <c r="K73" s="77" t="s">
        <v>49</v>
      </c>
      <c r="L73" s="77" t="s">
        <v>49</v>
      </c>
      <c r="M73" t="s">
        <v>271</v>
      </c>
      <c r="N73" s="77" t="s">
        <v>127</v>
      </c>
      <c r="O73" s="77" t="s">
        <v>71</v>
      </c>
      <c r="P73">
        <v>7</v>
      </c>
      <c r="Q73" s="77" t="s">
        <v>530</v>
      </c>
      <c r="T73" s="77"/>
      <c r="U73" s="77"/>
      <c r="V73" s="77"/>
      <c r="W73" s="77"/>
      <c r="AB73" s="77" t="s">
        <v>499</v>
      </c>
      <c r="AC73" s="77" t="s">
        <v>58</v>
      </c>
      <c r="AD73" s="77" t="s">
        <v>129</v>
      </c>
      <c r="AE73" s="77" t="s">
        <v>88</v>
      </c>
      <c r="AF73" s="77" t="s">
        <v>89</v>
      </c>
      <c r="AG73" s="77" t="s">
        <v>62</v>
      </c>
      <c r="AH73" s="77" t="s">
        <v>130</v>
      </c>
      <c r="AI73">
        <v>9</v>
      </c>
      <c r="AJ73" s="1">
        <v>45673</v>
      </c>
      <c r="AK73" s="2">
        <v>0.5</v>
      </c>
      <c r="AL73" s="1">
        <v>45673</v>
      </c>
      <c r="AM73" s="2">
        <v>0.75</v>
      </c>
      <c r="AN73" s="1">
        <v>45673</v>
      </c>
      <c r="AO73" s="2">
        <v>0.81587962962962968</v>
      </c>
      <c r="AP73">
        <v>1</v>
      </c>
      <c r="AQ73">
        <v>3</v>
      </c>
      <c r="AR73">
        <v>3</v>
      </c>
      <c r="AS73">
        <v>16</v>
      </c>
      <c r="AT73">
        <v>16</v>
      </c>
      <c r="AU73">
        <v>45673.5</v>
      </c>
    </row>
    <row r="74" spans="1:47" x14ac:dyDescent="0.3">
      <c r="A74" s="77" t="s">
        <v>551</v>
      </c>
      <c r="B74" s="77" t="s">
        <v>118</v>
      </c>
      <c r="C74">
        <v>45672</v>
      </c>
      <c r="D74">
        <v>0.53988425925925931</v>
      </c>
      <c r="E74">
        <v>2025</v>
      </c>
      <c r="F74" t="s">
        <v>64</v>
      </c>
      <c r="G74" t="s">
        <v>124</v>
      </c>
      <c r="H74">
        <v>0.5</v>
      </c>
      <c r="I74" t="s">
        <v>48</v>
      </c>
      <c r="J74" s="77" t="s">
        <v>48</v>
      </c>
      <c r="K74" s="77" t="s">
        <v>49</v>
      </c>
      <c r="L74" s="77" t="s">
        <v>49</v>
      </c>
      <c r="M74" t="s">
        <v>273</v>
      </c>
      <c r="N74" s="77" t="s">
        <v>119</v>
      </c>
      <c r="O74" s="77" t="s">
        <v>97</v>
      </c>
      <c r="P74">
        <v>8</v>
      </c>
      <c r="Q74" s="77" t="s">
        <v>531</v>
      </c>
      <c r="T74" s="77" t="s">
        <v>121</v>
      </c>
      <c r="U74" s="77" t="s">
        <v>517</v>
      </c>
      <c r="V74" s="77" t="s">
        <v>122</v>
      </c>
      <c r="W74" s="77" t="s">
        <v>56</v>
      </c>
      <c r="AB74" s="77" t="s">
        <v>494</v>
      </c>
      <c r="AC74" s="77" t="s">
        <v>58</v>
      </c>
      <c r="AD74" s="77" t="s">
        <v>123</v>
      </c>
      <c r="AE74" s="77" t="s">
        <v>532</v>
      </c>
      <c r="AF74" s="77" t="s">
        <v>89</v>
      </c>
      <c r="AG74" s="77" t="s">
        <v>62</v>
      </c>
      <c r="AH74" s="77" t="s">
        <v>63</v>
      </c>
      <c r="AI74">
        <v>9</v>
      </c>
      <c r="AJ74" s="1">
        <v>45672</v>
      </c>
      <c r="AK74" s="2">
        <v>0.53988425925925931</v>
      </c>
      <c r="AL74" s="1"/>
      <c r="AM74" s="2"/>
      <c r="AN74" s="1">
        <v>45672</v>
      </c>
      <c r="AO74" s="2">
        <v>0.53988425925925931</v>
      </c>
      <c r="AP74">
        <v>1</v>
      </c>
      <c r="AQ74">
        <v>3</v>
      </c>
      <c r="AR74">
        <v>3</v>
      </c>
      <c r="AS74">
        <v>15</v>
      </c>
      <c r="AT74">
        <v>15</v>
      </c>
      <c r="AU74">
        <v>45672.539583333331</v>
      </c>
    </row>
    <row r="75" spans="1:47" x14ac:dyDescent="0.3">
      <c r="A75" s="77" t="s">
        <v>551</v>
      </c>
      <c r="B75" s="77" t="s">
        <v>105</v>
      </c>
      <c r="C75">
        <v>45671</v>
      </c>
      <c r="D75">
        <v>0.64067129629629627</v>
      </c>
      <c r="E75">
        <v>2025</v>
      </c>
      <c r="F75" t="s">
        <v>64</v>
      </c>
      <c r="G75" t="s">
        <v>79</v>
      </c>
      <c r="H75">
        <v>0.625</v>
      </c>
      <c r="I75" t="s">
        <v>117</v>
      </c>
      <c r="J75" s="77" t="s">
        <v>95</v>
      </c>
      <c r="K75" s="77" t="s">
        <v>106</v>
      </c>
      <c r="L75" s="77" t="s">
        <v>107</v>
      </c>
      <c r="M75" t="s">
        <v>280</v>
      </c>
      <c r="N75" s="77" t="s">
        <v>108</v>
      </c>
      <c r="O75" s="77" t="s">
        <v>109</v>
      </c>
      <c r="P75">
        <v>9</v>
      </c>
      <c r="Q75" s="77" t="s">
        <v>533</v>
      </c>
      <c r="T75" s="77" t="s">
        <v>534</v>
      </c>
      <c r="U75" s="77" t="s">
        <v>535</v>
      </c>
      <c r="V75" s="77" t="s">
        <v>113</v>
      </c>
      <c r="W75" s="77" t="s">
        <v>56</v>
      </c>
      <c r="AB75" s="77" t="s">
        <v>494</v>
      </c>
      <c r="AC75" s="77" t="s">
        <v>58</v>
      </c>
      <c r="AD75" s="77" t="s">
        <v>59</v>
      </c>
      <c r="AE75" s="77" t="s">
        <v>536</v>
      </c>
      <c r="AF75" s="77" t="s">
        <v>116</v>
      </c>
      <c r="AG75" s="77" t="s">
        <v>102</v>
      </c>
      <c r="AH75" s="77" t="s">
        <v>103</v>
      </c>
      <c r="AI75">
        <v>9</v>
      </c>
      <c r="AJ75" s="1">
        <v>45671</v>
      </c>
      <c r="AK75" s="2">
        <v>0.64067129629629627</v>
      </c>
      <c r="AL75" s="1"/>
      <c r="AM75" s="2"/>
      <c r="AN75" s="1">
        <v>45671</v>
      </c>
      <c r="AO75" s="2">
        <v>0.64067129629629627</v>
      </c>
      <c r="AP75">
        <v>1</v>
      </c>
      <c r="AQ75">
        <v>3</v>
      </c>
      <c r="AR75">
        <v>3</v>
      </c>
      <c r="AS75">
        <v>14</v>
      </c>
      <c r="AT75">
        <v>14</v>
      </c>
      <c r="AU75">
        <v>45671.640277777777</v>
      </c>
    </row>
    <row r="76" spans="1:47" x14ac:dyDescent="0.3">
      <c r="A76" s="77" t="s">
        <v>551</v>
      </c>
      <c r="B76" s="77" t="s">
        <v>92</v>
      </c>
      <c r="C76">
        <v>45670</v>
      </c>
      <c r="D76">
        <v>0.50347222222222221</v>
      </c>
      <c r="E76">
        <v>2025</v>
      </c>
      <c r="F76" t="s">
        <v>64</v>
      </c>
      <c r="G76" t="s">
        <v>91</v>
      </c>
      <c r="H76">
        <v>0.5</v>
      </c>
      <c r="I76" t="s">
        <v>104</v>
      </c>
      <c r="J76" s="77" t="s">
        <v>93</v>
      </c>
      <c r="K76" s="77" t="s">
        <v>94</v>
      </c>
      <c r="L76" s="77" t="s">
        <v>95</v>
      </c>
      <c r="M76" t="s">
        <v>272</v>
      </c>
      <c r="N76" s="77" t="s">
        <v>96</v>
      </c>
      <c r="O76" s="77" t="s">
        <v>97</v>
      </c>
      <c r="P76">
        <v>8</v>
      </c>
      <c r="Q76" s="77" t="s">
        <v>537</v>
      </c>
      <c r="T76" s="77"/>
      <c r="U76" s="77"/>
      <c r="V76" s="77"/>
      <c r="W76" s="77"/>
      <c r="AB76" s="77" t="s">
        <v>510</v>
      </c>
      <c r="AC76" s="77" t="s">
        <v>58</v>
      </c>
      <c r="AD76" s="77" t="s">
        <v>99</v>
      </c>
      <c r="AE76" s="77" t="s">
        <v>100</v>
      </c>
      <c r="AF76" s="77" t="s">
        <v>101</v>
      </c>
      <c r="AG76" s="77" t="s">
        <v>102</v>
      </c>
      <c r="AH76" s="77" t="s">
        <v>103</v>
      </c>
      <c r="AI76">
        <v>9</v>
      </c>
      <c r="AJ76" s="1">
        <v>45670</v>
      </c>
      <c r="AK76" s="2">
        <v>0.50347222222222221</v>
      </c>
      <c r="AL76" s="1"/>
      <c r="AM76" s="2"/>
      <c r="AN76" s="1">
        <v>45670</v>
      </c>
      <c r="AO76" s="2">
        <v>0.50537037037037036</v>
      </c>
      <c r="AP76">
        <v>1</v>
      </c>
      <c r="AQ76">
        <v>3</v>
      </c>
      <c r="AR76">
        <v>3</v>
      </c>
      <c r="AS76">
        <v>13</v>
      </c>
      <c r="AT76">
        <v>13</v>
      </c>
      <c r="AU76">
        <v>45670.503472222219</v>
      </c>
    </row>
    <row r="77" spans="1:47" x14ac:dyDescent="0.3">
      <c r="A77" s="77" t="s">
        <v>551</v>
      </c>
      <c r="B77" s="77" t="s">
        <v>67</v>
      </c>
      <c r="C77">
        <v>45664</v>
      </c>
      <c r="D77">
        <v>0.58333333333333337</v>
      </c>
      <c r="E77">
        <v>2025</v>
      </c>
      <c r="F77" t="s">
        <v>64</v>
      </c>
      <c r="G77" t="s">
        <v>79</v>
      </c>
      <c r="H77">
        <v>0.58333333333333337</v>
      </c>
      <c r="I77" t="s">
        <v>78</v>
      </c>
      <c r="J77" s="77" t="s">
        <v>68</v>
      </c>
      <c r="K77" s="77" t="s">
        <v>69</v>
      </c>
      <c r="L77" s="77" t="s">
        <v>49</v>
      </c>
      <c r="M77" t="s">
        <v>269</v>
      </c>
      <c r="N77" s="77" t="s">
        <v>70</v>
      </c>
      <c r="O77" s="77" t="s">
        <v>71</v>
      </c>
      <c r="P77">
        <v>7</v>
      </c>
      <c r="Q77" s="77" t="s">
        <v>538</v>
      </c>
      <c r="T77" s="77"/>
      <c r="U77" s="77"/>
      <c r="V77" s="77"/>
      <c r="W77" s="77"/>
      <c r="AB77" s="77" t="s">
        <v>539</v>
      </c>
      <c r="AC77" s="77" t="s">
        <v>58</v>
      </c>
      <c r="AD77" s="77" t="s">
        <v>74</v>
      </c>
      <c r="AE77" s="77" t="s">
        <v>75</v>
      </c>
      <c r="AF77" s="77" t="s">
        <v>76</v>
      </c>
      <c r="AG77" s="77" t="s">
        <v>62</v>
      </c>
      <c r="AH77" s="77" t="s">
        <v>77</v>
      </c>
      <c r="AI77">
        <v>9</v>
      </c>
      <c r="AJ77" s="1">
        <v>45664</v>
      </c>
      <c r="AK77" s="2">
        <v>0.58333333333333337</v>
      </c>
      <c r="AL77" s="1"/>
      <c r="AM77" s="2"/>
      <c r="AN77" s="1">
        <v>45667</v>
      </c>
      <c r="AO77" s="2">
        <v>0.59781249999999997</v>
      </c>
      <c r="AP77">
        <v>1</v>
      </c>
      <c r="AQ77">
        <v>2</v>
      </c>
      <c r="AR77">
        <v>2</v>
      </c>
      <c r="AS77">
        <v>7</v>
      </c>
      <c r="AT77">
        <v>7</v>
      </c>
      <c r="AU77">
        <v>45664.583333333336</v>
      </c>
    </row>
    <row r="78" spans="1:47" x14ac:dyDescent="0.3">
      <c r="A78" s="77" t="s">
        <v>551</v>
      </c>
      <c r="B78" s="77" t="s">
        <v>80</v>
      </c>
      <c r="C78">
        <v>45663</v>
      </c>
      <c r="D78">
        <v>0.64583333333333337</v>
      </c>
      <c r="E78">
        <v>2025</v>
      </c>
      <c r="F78" t="s">
        <v>64</v>
      </c>
      <c r="G78" t="s">
        <v>91</v>
      </c>
      <c r="H78">
        <v>0.625</v>
      </c>
      <c r="I78" t="s">
        <v>81</v>
      </c>
      <c r="J78" s="77" t="s">
        <v>81</v>
      </c>
      <c r="K78" s="77" t="s">
        <v>49</v>
      </c>
      <c r="L78" s="77" t="s">
        <v>49</v>
      </c>
      <c r="M78" t="s">
        <v>270</v>
      </c>
      <c r="N78" s="77" t="s">
        <v>82</v>
      </c>
      <c r="O78" s="77"/>
      <c r="P78">
        <v>7</v>
      </c>
      <c r="Q78" s="77" t="s">
        <v>540</v>
      </c>
      <c r="T78" s="77" t="s">
        <v>84</v>
      </c>
      <c r="U78" s="77" t="s">
        <v>517</v>
      </c>
      <c r="V78" s="77" t="s">
        <v>85</v>
      </c>
      <c r="W78" s="77" t="s">
        <v>56</v>
      </c>
      <c r="AB78" s="77" t="s">
        <v>499</v>
      </c>
      <c r="AC78" s="77" t="s">
        <v>58</v>
      </c>
      <c r="AD78" s="77" t="s">
        <v>87</v>
      </c>
      <c r="AE78" s="77" t="s">
        <v>88</v>
      </c>
      <c r="AF78" s="77" t="s">
        <v>89</v>
      </c>
      <c r="AG78" s="77" t="s">
        <v>62</v>
      </c>
      <c r="AH78" s="77" t="s">
        <v>90</v>
      </c>
      <c r="AI78">
        <v>9</v>
      </c>
      <c r="AJ78" s="1">
        <v>45663</v>
      </c>
      <c r="AK78" s="2">
        <v>0.64583333333333337</v>
      </c>
      <c r="AL78" s="1">
        <v>45667</v>
      </c>
      <c r="AM78" s="2"/>
      <c r="AN78" s="1">
        <v>45667</v>
      </c>
      <c r="AO78" s="2">
        <v>0.82629629629629631</v>
      </c>
      <c r="AP78">
        <v>1</v>
      </c>
      <c r="AQ78">
        <v>2</v>
      </c>
      <c r="AR78">
        <v>2</v>
      </c>
      <c r="AS78">
        <v>6</v>
      </c>
      <c r="AT78">
        <v>6</v>
      </c>
      <c r="AU78">
        <v>45663.645833333336</v>
      </c>
    </row>
    <row r="79" spans="1:47" x14ac:dyDescent="0.3">
      <c r="A79" s="77" t="s">
        <v>551</v>
      </c>
      <c r="B79" s="77" t="s">
        <v>47</v>
      </c>
      <c r="C79">
        <v>45660</v>
      </c>
      <c r="D79">
        <v>0.89583333333333337</v>
      </c>
      <c r="E79">
        <v>2025</v>
      </c>
      <c r="F79" t="s">
        <v>64</v>
      </c>
      <c r="G79" t="s">
        <v>65</v>
      </c>
      <c r="H79">
        <v>0.875</v>
      </c>
      <c r="I79" t="s">
        <v>48</v>
      </c>
      <c r="J79" s="77" t="s">
        <v>48</v>
      </c>
      <c r="K79" s="77" t="s">
        <v>49</v>
      </c>
      <c r="L79" s="77" t="s">
        <v>49</v>
      </c>
      <c r="M79" t="s">
        <v>279</v>
      </c>
      <c r="N79" s="77" t="s">
        <v>50</v>
      </c>
      <c r="O79" s="77" t="s">
        <v>51</v>
      </c>
      <c r="P79">
        <v>9</v>
      </c>
      <c r="Q79" s="77" t="s">
        <v>541</v>
      </c>
      <c r="T79" s="77" t="s">
        <v>542</v>
      </c>
      <c r="U79" s="77" t="s">
        <v>517</v>
      </c>
      <c r="V79" s="77" t="s">
        <v>55</v>
      </c>
      <c r="W79" s="77" t="s">
        <v>56</v>
      </c>
      <c r="AB79" s="77" t="s">
        <v>510</v>
      </c>
      <c r="AC79" s="77" t="s">
        <v>58</v>
      </c>
      <c r="AD79" s="77" t="s">
        <v>59</v>
      </c>
      <c r="AE79" s="77" t="s">
        <v>60</v>
      </c>
      <c r="AF79" s="77" t="s">
        <v>61</v>
      </c>
      <c r="AG79" s="77" t="s">
        <v>62</v>
      </c>
      <c r="AH79" s="77" t="s">
        <v>63</v>
      </c>
      <c r="AI79">
        <v>9</v>
      </c>
      <c r="AJ79" s="1">
        <v>45660</v>
      </c>
      <c r="AK79" s="2">
        <v>0.89583333333333337</v>
      </c>
      <c r="AL79" s="1">
        <v>45661</v>
      </c>
      <c r="AM79" s="2">
        <v>0.2673611111111111</v>
      </c>
      <c r="AN79" s="1">
        <v>45661</v>
      </c>
      <c r="AO79" s="2">
        <v>0.45774305555555556</v>
      </c>
      <c r="AP79">
        <v>1</v>
      </c>
      <c r="AQ79">
        <v>1</v>
      </c>
      <c r="AR79">
        <v>1</v>
      </c>
      <c r="AS79">
        <v>3</v>
      </c>
      <c r="AT79">
        <v>3</v>
      </c>
      <c r="AU79">
        <v>45660.895833333336</v>
      </c>
    </row>
    <row r="80" spans="1:47" x14ac:dyDescent="0.3">
      <c r="A80" s="77" t="s">
        <v>557</v>
      </c>
      <c r="B80" s="77" t="s">
        <v>477</v>
      </c>
      <c r="C80">
        <v>45705</v>
      </c>
      <c r="D80">
        <v>0.52497685185185183</v>
      </c>
      <c r="E80">
        <v>2025</v>
      </c>
      <c r="F80" t="s">
        <v>210</v>
      </c>
      <c r="G80" t="s">
        <v>91</v>
      </c>
      <c r="H80">
        <v>0.5</v>
      </c>
      <c r="I80" t="s">
        <v>478</v>
      </c>
      <c r="J80" s="77" t="s">
        <v>230</v>
      </c>
      <c r="K80" s="77" t="s">
        <v>212</v>
      </c>
      <c r="L80" s="77" t="s">
        <v>49</v>
      </c>
      <c r="M80" t="s">
        <v>479</v>
      </c>
      <c r="N80" s="77" t="s">
        <v>480</v>
      </c>
      <c r="O80" s="77" t="s">
        <v>134</v>
      </c>
      <c r="P80">
        <v>9</v>
      </c>
      <c r="Q80" s="77" t="s">
        <v>552</v>
      </c>
      <c r="T80" s="77"/>
      <c r="U80" s="77"/>
      <c r="V80" s="77"/>
      <c r="W80" s="77"/>
      <c r="AB80" s="77" t="s">
        <v>499</v>
      </c>
      <c r="AC80" s="77" t="s">
        <v>58</v>
      </c>
      <c r="AD80" s="77" t="s">
        <v>87</v>
      </c>
      <c r="AE80" s="77" t="s">
        <v>88</v>
      </c>
      <c r="AF80" s="77" t="s">
        <v>215</v>
      </c>
      <c r="AG80" s="77" t="s">
        <v>359</v>
      </c>
      <c r="AH80" s="77" t="s">
        <v>130</v>
      </c>
      <c r="AI80">
        <v>9</v>
      </c>
      <c r="AJ80" s="1">
        <v>45705</v>
      </c>
      <c r="AK80" s="2">
        <v>0.52497685185185183</v>
      </c>
      <c r="AL80" s="1"/>
      <c r="AM80" s="2"/>
      <c r="AN80" s="1">
        <v>45705</v>
      </c>
      <c r="AO80" s="2">
        <v>0.52497685185185183</v>
      </c>
      <c r="AP80">
        <v>1</v>
      </c>
      <c r="AQ80">
        <v>8</v>
      </c>
      <c r="AR80">
        <v>4</v>
      </c>
      <c r="AS80">
        <v>17</v>
      </c>
      <c r="AT80">
        <v>48</v>
      </c>
      <c r="AU80">
        <v>45705.524305555555</v>
      </c>
    </row>
    <row r="81" spans="1:47" x14ac:dyDescent="0.3">
      <c r="A81" s="77" t="s">
        <v>557</v>
      </c>
      <c r="B81" s="77" t="s">
        <v>468</v>
      </c>
      <c r="C81">
        <v>45705</v>
      </c>
      <c r="D81">
        <v>0.34877314814814814</v>
      </c>
      <c r="E81">
        <v>2025</v>
      </c>
      <c r="F81" t="s">
        <v>210</v>
      </c>
      <c r="G81" t="s">
        <v>91</v>
      </c>
      <c r="H81">
        <v>0.33333333333333331</v>
      </c>
      <c r="I81" t="s">
        <v>470</v>
      </c>
      <c r="J81" s="77" t="s">
        <v>48</v>
      </c>
      <c r="K81" s="77" t="s">
        <v>469</v>
      </c>
      <c r="L81" s="77" t="s">
        <v>49</v>
      </c>
      <c r="M81" t="s">
        <v>472</v>
      </c>
      <c r="N81" s="77" t="s">
        <v>473</v>
      </c>
      <c r="O81" s="77" t="s">
        <v>71</v>
      </c>
      <c r="P81">
        <v>7</v>
      </c>
      <c r="Q81" s="77" t="s">
        <v>553</v>
      </c>
      <c r="T81" s="77" t="s">
        <v>554</v>
      </c>
      <c r="U81" s="77" t="s">
        <v>517</v>
      </c>
      <c r="V81" s="77" t="s">
        <v>55</v>
      </c>
      <c r="W81" s="77" t="s">
        <v>56</v>
      </c>
      <c r="AB81" s="77" t="s">
        <v>499</v>
      </c>
      <c r="AC81" s="77" t="s">
        <v>58</v>
      </c>
      <c r="AD81" s="77" t="s">
        <v>87</v>
      </c>
      <c r="AE81" s="77" t="s">
        <v>88</v>
      </c>
      <c r="AF81" s="77" t="s">
        <v>155</v>
      </c>
      <c r="AG81" s="77" t="s">
        <v>102</v>
      </c>
      <c r="AH81" s="77" t="s">
        <v>63</v>
      </c>
      <c r="AI81">
        <v>9</v>
      </c>
      <c r="AJ81" s="1">
        <v>45705</v>
      </c>
      <c r="AK81" s="2">
        <v>0.34877314814814814</v>
      </c>
      <c r="AL81" s="1"/>
      <c r="AM81" s="2"/>
      <c r="AN81" s="1">
        <v>45705</v>
      </c>
      <c r="AO81" s="2">
        <v>0.34877314814814814</v>
      </c>
      <c r="AP81">
        <v>1</v>
      </c>
      <c r="AQ81">
        <v>8</v>
      </c>
      <c r="AR81">
        <v>4</v>
      </c>
      <c r="AS81">
        <v>17</v>
      </c>
      <c r="AT81">
        <v>48</v>
      </c>
      <c r="AU81">
        <v>45705.348611111112</v>
      </c>
    </row>
    <row r="82" spans="1:47" x14ac:dyDescent="0.3">
      <c r="A82" s="77" t="s">
        <v>557</v>
      </c>
      <c r="B82" s="77" t="s">
        <v>558</v>
      </c>
      <c r="C82">
        <v>45705</v>
      </c>
      <c r="D82">
        <v>0.83333333333333337</v>
      </c>
      <c r="E82">
        <v>2025</v>
      </c>
      <c r="F82" t="s">
        <v>210</v>
      </c>
      <c r="G82" t="s">
        <v>91</v>
      </c>
      <c r="H82">
        <v>0.83333333333333337</v>
      </c>
      <c r="I82" t="s">
        <v>559</v>
      </c>
      <c r="J82" s="77" t="s">
        <v>560</v>
      </c>
      <c r="K82" s="77" t="s">
        <v>157</v>
      </c>
      <c r="L82" s="77" t="s">
        <v>49</v>
      </c>
      <c r="M82" t="s">
        <v>561</v>
      </c>
      <c r="N82" s="77" t="s">
        <v>562</v>
      </c>
      <c r="O82" s="77" t="s">
        <v>563</v>
      </c>
      <c r="P82">
        <v>8</v>
      </c>
      <c r="Q82" s="77" t="s">
        <v>564</v>
      </c>
      <c r="T82" s="77"/>
      <c r="U82" s="77"/>
      <c r="V82" s="77"/>
      <c r="W82" s="77"/>
      <c r="AB82" s="77" t="s">
        <v>522</v>
      </c>
      <c r="AC82" s="77" t="s">
        <v>58</v>
      </c>
      <c r="AD82" s="77" t="s">
        <v>187</v>
      </c>
      <c r="AE82" s="77" t="s">
        <v>161</v>
      </c>
      <c r="AF82" s="77" t="s">
        <v>187</v>
      </c>
      <c r="AG82" s="77" t="s">
        <v>196</v>
      </c>
      <c r="AH82" s="77"/>
      <c r="AI82">
        <v>9</v>
      </c>
      <c r="AJ82" s="1">
        <v>45705</v>
      </c>
      <c r="AK82" s="2">
        <v>0.83333333333333337</v>
      </c>
      <c r="AL82" s="1">
        <v>45705</v>
      </c>
      <c r="AM82" s="2">
        <v>0.98958333333333337</v>
      </c>
      <c r="AN82" s="1">
        <v>45706</v>
      </c>
      <c r="AO82" s="2">
        <v>0.73564814814814816</v>
      </c>
      <c r="AP82">
        <v>1</v>
      </c>
      <c r="AQ82">
        <v>8</v>
      </c>
      <c r="AR82">
        <v>4</v>
      </c>
      <c r="AS82">
        <v>17</v>
      </c>
      <c r="AT82">
        <v>48</v>
      </c>
      <c r="AU82">
        <v>45705.833333333336</v>
      </c>
    </row>
    <row r="83" spans="1:47" x14ac:dyDescent="0.3">
      <c r="A83" s="77" t="s">
        <v>557</v>
      </c>
      <c r="B83" s="77" t="s">
        <v>460</v>
      </c>
      <c r="C83">
        <v>45705</v>
      </c>
      <c r="D83">
        <v>0.39716435185185184</v>
      </c>
      <c r="E83">
        <v>2025</v>
      </c>
      <c r="F83" t="s">
        <v>210</v>
      </c>
      <c r="G83" t="s">
        <v>91</v>
      </c>
      <c r="H83">
        <v>0.375</v>
      </c>
      <c r="I83" t="s">
        <v>48</v>
      </c>
      <c r="J83" s="77" t="s">
        <v>48</v>
      </c>
      <c r="K83" s="77" t="s">
        <v>49</v>
      </c>
      <c r="L83" s="77" t="s">
        <v>49</v>
      </c>
      <c r="M83" t="s">
        <v>461</v>
      </c>
      <c r="N83" s="77" t="s">
        <v>462</v>
      </c>
      <c r="O83" s="77" t="s">
        <v>463</v>
      </c>
      <c r="P83">
        <v>7</v>
      </c>
      <c r="Q83" s="77" t="s">
        <v>555</v>
      </c>
      <c r="T83" s="77" t="s">
        <v>556</v>
      </c>
      <c r="U83" s="77" t="s">
        <v>517</v>
      </c>
      <c r="V83" s="77" t="s">
        <v>55</v>
      </c>
      <c r="W83" s="77" t="s">
        <v>508</v>
      </c>
      <c r="AB83" s="77" t="s">
        <v>499</v>
      </c>
      <c r="AC83" s="77" t="s">
        <v>58</v>
      </c>
      <c r="AD83" s="77" t="s">
        <v>467</v>
      </c>
      <c r="AE83" s="77" t="s">
        <v>88</v>
      </c>
      <c r="AF83" s="77" t="s">
        <v>155</v>
      </c>
      <c r="AG83" s="77" t="s">
        <v>62</v>
      </c>
      <c r="AH83" s="77" t="s">
        <v>63</v>
      </c>
      <c r="AI83">
        <v>9</v>
      </c>
      <c r="AJ83" s="1">
        <v>45705</v>
      </c>
      <c r="AK83" s="2">
        <v>0.39716435185185184</v>
      </c>
      <c r="AL83" s="1"/>
      <c r="AM83" s="2"/>
      <c r="AN83" s="1">
        <v>45705</v>
      </c>
      <c r="AO83" s="2">
        <v>0.39716435185185184</v>
      </c>
      <c r="AP83">
        <v>1</v>
      </c>
      <c r="AQ83">
        <v>8</v>
      </c>
      <c r="AR83">
        <v>4</v>
      </c>
      <c r="AS83">
        <v>17</v>
      </c>
      <c r="AT83">
        <v>48</v>
      </c>
      <c r="AU83">
        <v>45705.396527777775</v>
      </c>
    </row>
    <row r="84" spans="1:47" x14ac:dyDescent="0.3">
      <c r="A84" s="77" t="s">
        <v>557</v>
      </c>
      <c r="B84" s="77" t="s">
        <v>350</v>
      </c>
      <c r="C84">
        <v>45701</v>
      </c>
      <c r="D84">
        <v>0.66666666666666663</v>
      </c>
      <c r="E84">
        <v>2025</v>
      </c>
      <c r="F84" t="s">
        <v>210</v>
      </c>
      <c r="G84" t="s">
        <v>131</v>
      </c>
      <c r="H84">
        <v>0.66666666666666663</v>
      </c>
      <c r="I84" t="s">
        <v>81</v>
      </c>
      <c r="J84" s="77" t="s">
        <v>81</v>
      </c>
      <c r="K84" s="77" t="s">
        <v>49</v>
      </c>
      <c r="L84" s="77" t="s">
        <v>49</v>
      </c>
      <c r="M84" t="s">
        <v>351</v>
      </c>
      <c r="N84" s="77" t="s">
        <v>352</v>
      </c>
      <c r="O84" s="77" t="s">
        <v>353</v>
      </c>
      <c r="P84">
        <v>6</v>
      </c>
      <c r="Q84" s="77" t="s">
        <v>544</v>
      </c>
      <c r="T84" s="77" t="s">
        <v>356</v>
      </c>
      <c r="U84" s="77" t="s">
        <v>505</v>
      </c>
      <c r="V84" s="77" t="s">
        <v>357</v>
      </c>
      <c r="W84" s="77" t="s">
        <v>56</v>
      </c>
      <c r="AB84" s="77" t="s">
        <v>494</v>
      </c>
      <c r="AC84" s="77" t="s">
        <v>58</v>
      </c>
      <c r="AD84" s="77" t="s">
        <v>358</v>
      </c>
      <c r="AE84" s="77" t="s">
        <v>245</v>
      </c>
      <c r="AF84" s="77" t="s">
        <v>155</v>
      </c>
      <c r="AG84" s="77" t="s">
        <v>102</v>
      </c>
      <c r="AH84" s="77" t="s">
        <v>90</v>
      </c>
      <c r="AI84">
        <v>9</v>
      </c>
      <c r="AJ84" s="1">
        <v>45701</v>
      </c>
      <c r="AK84" s="2">
        <v>0.66666666666666663</v>
      </c>
      <c r="AL84" s="1"/>
      <c r="AM84" s="2"/>
      <c r="AN84" s="1">
        <v>45702</v>
      </c>
      <c r="AO84" s="2">
        <v>0.29906250000000001</v>
      </c>
      <c r="AP84">
        <v>1</v>
      </c>
      <c r="AQ84">
        <v>7</v>
      </c>
      <c r="AR84">
        <v>3</v>
      </c>
      <c r="AS84">
        <v>13</v>
      </c>
      <c r="AT84">
        <v>44</v>
      </c>
      <c r="AU84">
        <v>45701.666666666664</v>
      </c>
    </row>
    <row r="85" spans="1:47" x14ac:dyDescent="0.3">
      <c r="A85" s="77" t="s">
        <v>557</v>
      </c>
      <c r="B85" s="77" t="s">
        <v>360</v>
      </c>
      <c r="C85">
        <v>45701</v>
      </c>
      <c r="D85">
        <v>8.3333333333333329E-2</v>
      </c>
      <c r="E85">
        <v>2025</v>
      </c>
      <c r="F85" t="s">
        <v>210</v>
      </c>
      <c r="G85" t="s">
        <v>131</v>
      </c>
      <c r="H85">
        <v>8.3333333333333329E-2</v>
      </c>
      <c r="I85" t="s">
        <v>363</v>
      </c>
      <c r="J85" s="77" t="s">
        <v>361</v>
      </c>
      <c r="K85" s="77" t="s">
        <v>362</v>
      </c>
      <c r="L85" s="77" t="s">
        <v>95</v>
      </c>
      <c r="M85" t="s">
        <v>545</v>
      </c>
      <c r="N85" s="77" t="s">
        <v>366</v>
      </c>
      <c r="O85" s="77" t="s">
        <v>339</v>
      </c>
      <c r="P85">
        <v>9</v>
      </c>
      <c r="Q85" s="77" t="s">
        <v>546</v>
      </c>
      <c r="T85" s="77"/>
      <c r="U85" s="77"/>
      <c r="V85" s="77"/>
      <c r="W85" s="77"/>
      <c r="AB85" s="77" t="s">
        <v>547</v>
      </c>
      <c r="AC85" s="77" t="s">
        <v>58</v>
      </c>
      <c r="AD85" s="77" t="s">
        <v>358</v>
      </c>
      <c r="AE85" s="77" t="s">
        <v>245</v>
      </c>
      <c r="AF85" s="77" t="s">
        <v>140</v>
      </c>
      <c r="AG85" s="77" t="s">
        <v>369</v>
      </c>
      <c r="AH85" s="77"/>
      <c r="AI85">
        <v>9</v>
      </c>
      <c r="AJ85" s="1">
        <v>45701</v>
      </c>
      <c r="AK85" s="2">
        <v>8.3333333333333329E-2</v>
      </c>
      <c r="AL85" s="1"/>
      <c r="AM85" s="2"/>
      <c r="AN85" s="1">
        <v>45701</v>
      </c>
      <c r="AO85" s="2">
        <v>0.51225694444444447</v>
      </c>
      <c r="AP85">
        <v>1</v>
      </c>
      <c r="AQ85">
        <v>7</v>
      </c>
      <c r="AR85">
        <v>3</v>
      </c>
      <c r="AS85">
        <v>13</v>
      </c>
      <c r="AT85">
        <v>44</v>
      </c>
      <c r="AU85">
        <v>45701.083333333336</v>
      </c>
    </row>
    <row r="86" spans="1:47" x14ac:dyDescent="0.3">
      <c r="A86" s="77" t="s">
        <v>557</v>
      </c>
      <c r="B86" s="77" t="s">
        <v>237</v>
      </c>
      <c r="C86">
        <v>45695</v>
      </c>
      <c r="D86">
        <v>0.27430555555555558</v>
      </c>
      <c r="E86">
        <v>2025</v>
      </c>
      <c r="F86" t="s">
        <v>210</v>
      </c>
      <c r="G86" t="s">
        <v>65</v>
      </c>
      <c r="H86">
        <v>0.25</v>
      </c>
      <c r="I86" t="s">
        <v>48</v>
      </c>
      <c r="J86" s="77" t="s">
        <v>48</v>
      </c>
      <c r="K86" s="77" t="s">
        <v>49</v>
      </c>
      <c r="L86" s="77" t="s">
        <v>49</v>
      </c>
      <c r="M86" t="s">
        <v>267</v>
      </c>
      <c r="N86" s="77" t="s">
        <v>238</v>
      </c>
      <c r="O86" s="77" t="s">
        <v>239</v>
      </c>
      <c r="P86">
        <v>5</v>
      </c>
      <c r="Q86" s="77" t="s">
        <v>491</v>
      </c>
      <c r="T86" s="77" t="s">
        <v>492</v>
      </c>
      <c r="U86" s="77" t="s">
        <v>493</v>
      </c>
      <c r="V86" s="77" t="s">
        <v>243</v>
      </c>
      <c r="W86" s="77" t="s">
        <v>56</v>
      </c>
      <c r="AB86" s="77" t="s">
        <v>494</v>
      </c>
      <c r="AC86" s="77" t="s">
        <v>58</v>
      </c>
      <c r="AD86" s="77" t="s">
        <v>244</v>
      </c>
      <c r="AE86" s="77" t="s">
        <v>245</v>
      </c>
      <c r="AF86" s="77" t="s">
        <v>215</v>
      </c>
      <c r="AG86" s="77" t="s">
        <v>178</v>
      </c>
      <c r="AH86" s="77" t="s">
        <v>63</v>
      </c>
      <c r="AI86">
        <v>9</v>
      </c>
      <c r="AJ86" s="1">
        <v>45695</v>
      </c>
      <c r="AK86" s="2">
        <v>0.27430555555555558</v>
      </c>
      <c r="AL86" s="1">
        <v>45695</v>
      </c>
      <c r="AM86" s="2">
        <v>0.28472222222222221</v>
      </c>
      <c r="AN86" s="1">
        <v>45695</v>
      </c>
      <c r="AO86" s="2">
        <v>0.30738425925925927</v>
      </c>
      <c r="AP86">
        <v>1</v>
      </c>
      <c r="AQ86">
        <v>6</v>
      </c>
      <c r="AR86">
        <v>2</v>
      </c>
      <c r="AS86">
        <v>7</v>
      </c>
      <c r="AT86">
        <v>38</v>
      </c>
      <c r="AU86">
        <v>45695.274305555555</v>
      </c>
    </row>
    <row r="87" spans="1:47" x14ac:dyDescent="0.3">
      <c r="A87" s="77" t="s">
        <v>557</v>
      </c>
      <c r="B87" s="77" t="s">
        <v>229</v>
      </c>
      <c r="C87">
        <v>45693</v>
      </c>
      <c r="D87">
        <v>0.12291666666666666</v>
      </c>
      <c r="E87">
        <v>2025</v>
      </c>
      <c r="F87" t="s">
        <v>210</v>
      </c>
      <c r="G87" t="s">
        <v>124</v>
      </c>
      <c r="H87">
        <v>8.3333333333333329E-2</v>
      </c>
      <c r="I87" t="s">
        <v>236</v>
      </c>
      <c r="J87" s="77" t="s">
        <v>230</v>
      </c>
      <c r="K87" s="77" t="s">
        <v>231</v>
      </c>
      <c r="L87" s="77" t="s">
        <v>49</v>
      </c>
      <c r="M87" t="s">
        <v>278</v>
      </c>
      <c r="N87" s="77" t="s">
        <v>232</v>
      </c>
      <c r="O87" s="77" t="s">
        <v>200</v>
      </c>
      <c r="P87">
        <v>8</v>
      </c>
      <c r="Q87" s="77" t="s">
        <v>495</v>
      </c>
      <c r="T87" s="77"/>
      <c r="U87" s="77"/>
      <c r="V87" s="77"/>
      <c r="W87" s="77"/>
      <c r="AB87" s="77" t="s">
        <v>494</v>
      </c>
      <c r="AC87" s="77" t="s">
        <v>58</v>
      </c>
      <c r="AD87" s="77" t="s">
        <v>234</v>
      </c>
      <c r="AE87" s="77" t="s">
        <v>139</v>
      </c>
      <c r="AF87" s="77" t="s">
        <v>235</v>
      </c>
      <c r="AG87" s="77" t="s">
        <v>102</v>
      </c>
      <c r="AH87" s="77" t="s">
        <v>130</v>
      </c>
      <c r="AI87">
        <v>9</v>
      </c>
      <c r="AJ87" s="1">
        <v>45693</v>
      </c>
      <c r="AK87" s="2">
        <v>0.12291666666666666</v>
      </c>
      <c r="AL87" s="1"/>
      <c r="AM87" s="2"/>
      <c r="AN87" s="1">
        <v>45693</v>
      </c>
      <c r="AO87" s="2">
        <v>0.1233912037037037</v>
      </c>
      <c r="AP87">
        <v>1</v>
      </c>
      <c r="AQ87">
        <v>6</v>
      </c>
      <c r="AR87">
        <v>2</v>
      </c>
      <c r="AS87">
        <v>5</v>
      </c>
      <c r="AT87">
        <v>36</v>
      </c>
      <c r="AU87">
        <v>45693.122916666667</v>
      </c>
    </row>
    <row r="88" spans="1:47" x14ac:dyDescent="0.3">
      <c r="A88" s="77" t="s">
        <v>557</v>
      </c>
      <c r="B88" s="77" t="s">
        <v>220</v>
      </c>
      <c r="C88">
        <v>45691</v>
      </c>
      <c r="D88">
        <v>0.77083333333333337</v>
      </c>
      <c r="E88">
        <v>2025</v>
      </c>
      <c r="F88" t="s">
        <v>210</v>
      </c>
      <c r="G88" t="s">
        <v>91</v>
      </c>
      <c r="H88">
        <v>0.75</v>
      </c>
      <c r="I88" t="s">
        <v>48</v>
      </c>
      <c r="J88" s="77" t="s">
        <v>48</v>
      </c>
      <c r="K88" s="77" t="s">
        <v>49</v>
      </c>
      <c r="L88" s="77" t="s">
        <v>49</v>
      </c>
      <c r="M88" t="s">
        <v>277</v>
      </c>
      <c r="N88" s="77" t="s">
        <v>221</v>
      </c>
      <c r="O88" s="77" t="s">
        <v>222</v>
      </c>
      <c r="P88">
        <v>8</v>
      </c>
      <c r="Q88" s="77" t="s">
        <v>496</v>
      </c>
      <c r="T88" s="77" t="s">
        <v>497</v>
      </c>
      <c r="U88" s="77" t="s">
        <v>225</v>
      </c>
      <c r="V88" s="77" t="s">
        <v>498</v>
      </c>
      <c r="W88" s="77" t="s">
        <v>227</v>
      </c>
      <c r="AB88" s="77" t="s">
        <v>499</v>
      </c>
      <c r="AC88" s="77" t="s">
        <v>58</v>
      </c>
      <c r="AD88" s="77" t="s">
        <v>186</v>
      </c>
      <c r="AE88" s="77" t="s">
        <v>88</v>
      </c>
      <c r="AF88" s="77" t="s">
        <v>89</v>
      </c>
      <c r="AG88" s="77" t="s">
        <v>228</v>
      </c>
      <c r="AH88" s="77" t="s">
        <v>63</v>
      </c>
      <c r="AI88">
        <v>9</v>
      </c>
      <c r="AJ88" s="1">
        <v>45691</v>
      </c>
      <c r="AK88" s="2">
        <v>0.77083333333333337</v>
      </c>
      <c r="AL88" s="1">
        <v>45692</v>
      </c>
      <c r="AM88" s="2">
        <v>0.79166666666666663</v>
      </c>
      <c r="AN88" s="1">
        <v>45692</v>
      </c>
      <c r="AO88" s="2">
        <v>0.53023148148148147</v>
      </c>
      <c r="AP88">
        <v>1</v>
      </c>
      <c r="AQ88">
        <v>6</v>
      </c>
      <c r="AR88">
        <v>2</v>
      </c>
      <c r="AS88">
        <v>3</v>
      </c>
      <c r="AT88">
        <v>34</v>
      </c>
      <c r="AU88">
        <v>45691.770833333336</v>
      </c>
    </row>
    <row r="89" spans="1:47" x14ac:dyDescent="0.3">
      <c r="A89" s="77" t="s">
        <v>557</v>
      </c>
      <c r="B89" s="77" t="s">
        <v>217</v>
      </c>
      <c r="C89">
        <v>45691</v>
      </c>
      <c r="D89">
        <v>0.694849537037037</v>
      </c>
      <c r="E89">
        <v>2025</v>
      </c>
      <c r="F89" t="s">
        <v>210</v>
      </c>
      <c r="G89" t="s">
        <v>91</v>
      </c>
      <c r="H89">
        <v>0.66666666666666663</v>
      </c>
      <c r="I89" t="s">
        <v>95</v>
      </c>
      <c r="J89" s="77" t="s">
        <v>95</v>
      </c>
      <c r="K89" s="77" t="s">
        <v>49</v>
      </c>
      <c r="L89" s="77" t="s">
        <v>49</v>
      </c>
      <c r="M89" t="s">
        <v>284</v>
      </c>
      <c r="N89" s="77" t="s">
        <v>218</v>
      </c>
      <c r="O89" s="77" t="s">
        <v>109</v>
      </c>
      <c r="P89">
        <v>9</v>
      </c>
      <c r="Q89" s="77" t="s">
        <v>500</v>
      </c>
      <c r="T89" s="77"/>
      <c r="U89" s="77"/>
      <c r="V89" s="77"/>
      <c r="W89" s="77"/>
      <c r="AB89" s="77" t="s">
        <v>501</v>
      </c>
      <c r="AC89" s="77" t="s">
        <v>58</v>
      </c>
      <c r="AD89" s="77" t="s">
        <v>129</v>
      </c>
      <c r="AE89" s="77" t="s">
        <v>88</v>
      </c>
      <c r="AF89" s="77" t="s">
        <v>187</v>
      </c>
      <c r="AG89" s="77" t="s">
        <v>62</v>
      </c>
      <c r="AH89" s="77" t="s">
        <v>103</v>
      </c>
      <c r="AI89">
        <v>9</v>
      </c>
      <c r="AJ89" s="1"/>
      <c r="AK89" s="2"/>
      <c r="AL89" s="1"/>
      <c r="AM89" s="2"/>
      <c r="AN89" s="1">
        <v>45691</v>
      </c>
      <c r="AO89" s="2">
        <v>0.694849537037037</v>
      </c>
      <c r="AP89">
        <v>1</v>
      </c>
      <c r="AQ89">
        <v>6</v>
      </c>
      <c r="AR89">
        <v>2</v>
      </c>
      <c r="AS89">
        <v>3</v>
      </c>
      <c r="AT89">
        <v>34</v>
      </c>
      <c r="AU89">
        <v>45691.694444444445</v>
      </c>
    </row>
    <row r="90" spans="1:47" x14ac:dyDescent="0.3">
      <c r="A90" s="77" t="s">
        <v>557</v>
      </c>
      <c r="B90" s="77" t="s">
        <v>211</v>
      </c>
      <c r="C90">
        <v>45690</v>
      </c>
      <c r="D90">
        <v>0.72569444444444442</v>
      </c>
      <c r="E90">
        <v>2025</v>
      </c>
      <c r="F90" t="s">
        <v>210</v>
      </c>
      <c r="G90" t="s">
        <v>188</v>
      </c>
      <c r="H90">
        <v>0.70833333333333337</v>
      </c>
      <c r="I90" t="s">
        <v>216</v>
      </c>
      <c r="J90" s="77" t="s">
        <v>212</v>
      </c>
      <c r="K90" s="77" t="s">
        <v>95</v>
      </c>
      <c r="L90" s="77" t="s">
        <v>49</v>
      </c>
      <c r="M90" t="s">
        <v>266</v>
      </c>
      <c r="N90" s="77" t="s">
        <v>213</v>
      </c>
      <c r="O90" s="77" t="s">
        <v>166</v>
      </c>
      <c r="P90">
        <v>5</v>
      </c>
      <c r="Q90" s="77" t="s">
        <v>502</v>
      </c>
      <c r="T90" s="77"/>
      <c r="U90" s="77"/>
      <c r="V90" s="77"/>
      <c r="W90" s="77"/>
      <c r="AB90" s="77" t="s">
        <v>499</v>
      </c>
      <c r="AC90" s="77" t="s">
        <v>58</v>
      </c>
      <c r="AD90" s="77" t="s">
        <v>186</v>
      </c>
      <c r="AE90" s="77" t="s">
        <v>88</v>
      </c>
      <c r="AF90" s="77" t="s">
        <v>215</v>
      </c>
      <c r="AG90" s="77" t="s">
        <v>178</v>
      </c>
      <c r="AH90" s="77"/>
      <c r="AI90">
        <v>9</v>
      </c>
      <c r="AJ90" s="1">
        <v>45690</v>
      </c>
      <c r="AK90" s="2">
        <v>0.72569444444444442</v>
      </c>
      <c r="AL90" s="1">
        <v>45690</v>
      </c>
      <c r="AM90" s="2">
        <v>0.75</v>
      </c>
      <c r="AN90" s="1">
        <v>45691</v>
      </c>
      <c r="AO90" s="2">
        <v>0.50143518518518515</v>
      </c>
      <c r="AP90">
        <v>1</v>
      </c>
      <c r="AQ90">
        <v>6</v>
      </c>
      <c r="AR90">
        <v>2</v>
      </c>
      <c r="AS90">
        <v>2</v>
      </c>
      <c r="AT90">
        <v>33</v>
      </c>
      <c r="AU90">
        <v>45690.725694444445</v>
      </c>
    </row>
    <row r="91" spans="1:47" x14ac:dyDescent="0.3">
      <c r="A91" s="77" t="s">
        <v>557</v>
      </c>
      <c r="B91" s="77" t="s">
        <v>203</v>
      </c>
      <c r="C91">
        <v>45689</v>
      </c>
      <c r="D91">
        <v>4.1666666666666664E-2</v>
      </c>
      <c r="E91">
        <v>2025</v>
      </c>
      <c r="F91" t="s">
        <v>210</v>
      </c>
      <c r="G91" t="s">
        <v>170</v>
      </c>
      <c r="H91">
        <v>4.1666666666666664E-2</v>
      </c>
      <c r="I91" t="s">
        <v>48</v>
      </c>
      <c r="J91" s="77" t="s">
        <v>48</v>
      </c>
      <c r="K91" s="77" t="s">
        <v>49</v>
      </c>
      <c r="L91" s="77" t="s">
        <v>49</v>
      </c>
      <c r="M91" t="s">
        <v>265</v>
      </c>
      <c r="N91" s="77" t="s">
        <v>204</v>
      </c>
      <c r="O91" s="77" t="s">
        <v>205</v>
      </c>
      <c r="P91">
        <v>6</v>
      </c>
      <c r="Q91" s="77" t="s">
        <v>503</v>
      </c>
      <c r="T91" s="77" t="s">
        <v>504</v>
      </c>
      <c r="U91" s="77" t="s">
        <v>505</v>
      </c>
      <c r="V91" s="77" t="s">
        <v>209</v>
      </c>
      <c r="W91" s="77" t="s">
        <v>56</v>
      </c>
      <c r="AB91" s="77" t="s">
        <v>494</v>
      </c>
      <c r="AC91" s="77" t="s">
        <v>58</v>
      </c>
      <c r="AD91" s="77" t="s">
        <v>147</v>
      </c>
      <c r="AE91" s="77" t="s">
        <v>60</v>
      </c>
      <c r="AF91" s="77" t="s">
        <v>155</v>
      </c>
      <c r="AG91" s="77" t="s">
        <v>62</v>
      </c>
      <c r="AH91" s="77" t="s">
        <v>63</v>
      </c>
      <c r="AI91">
        <v>9</v>
      </c>
      <c r="AJ91" s="1">
        <v>45689</v>
      </c>
      <c r="AK91" s="2">
        <v>4.1666666666666664E-2</v>
      </c>
      <c r="AL91" s="1"/>
      <c r="AM91" s="2">
        <v>0.10416666666666667</v>
      </c>
      <c r="AN91" s="1">
        <v>45689</v>
      </c>
      <c r="AO91" s="2">
        <v>0.11982638888888889</v>
      </c>
      <c r="AP91">
        <v>1</v>
      </c>
      <c r="AQ91">
        <v>5</v>
      </c>
      <c r="AR91">
        <v>1</v>
      </c>
      <c r="AS91">
        <v>1</v>
      </c>
      <c r="AT91">
        <v>32</v>
      </c>
      <c r="AU91">
        <v>45689.041666666664</v>
      </c>
    </row>
    <row r="92" spans="1:47" x14ac:dyDescent="0.3">
      <c r="A92" s="77" t="s">
        <v>557</v>
      </c>
      <c r="B92" s="77" t="s">
        <v>246</v>
      </c>
      <c r="C92">
        <v>45688</v>
      </c>
      <c r="D92">
        <v>0.5</v>
      </c>
      <c r="E92">
        <v>2025</v>
      </c>
      <c r="F92" t="s">
        <v>64</v>
      </c>
      <c r="G92" t="s">
        <v>65</v>
      </c>
      <c r="H92">
        <v>0.5</v>
      </c>
      <c r="I92" t="s">
        <v>48</v>
      </c>
      <c r="J92" s="77" t="s">
        <v>48</v>
      </c>
      <c r="K92" s="77" t="s">
        <v>49</v>
      </c>
      <c r="L92" s="77" t="s">
        <v>49</v>
      </c>
      <c r="M92" t="s">
        <v>268</v>
      </c>
      <c r="N92" s="77" t="s">
        <v>247</v>
      </c>
      <c r="O92" s="77" t="s">
        <v>150</v>
      </c>
      <c r="P92">
        <v>5</v>
      </c>
      <c r="Q92" s="77" t="s">
        <v>506</v>
      </c>
      <c r="T92" s="77" t="s">
        <v>507</v>
      </c>
      <c r="U92" s="77"/>
      <c r="V92" s="77" t="s">
        <v>122</v>
      </c>
      <c r="W92" s="77" t="s">
        <v>508</v>
      </c>
      <c r="AB92" s="77" t="s">
        <v>494</v>
      </c>
      <c r="AC92" s="77" t="s">
        <v>58</v>
      </c>
      <c r="AD92" s="77" t="s">
        <v>250</v>
      </c>
      <c r="AE92" s="77" t="s">
        <v>60</v>
      </c>
      <c r="AF92" s="77" t="s">
        <v>187</v>
      </c>
      <c r="AG92" s="77" t="s">
        <v>62</v>
      </c>
      <c r="AH92" s="77" t="s">
        <v>63</v>
      </c>
      <c r="AI92">
        <v>9</v>
      </c>
      <c r="AJ92" s="1">
        <v>45688</v>
      </c>
      <c r="AK92" s="2">
        <v>0.5</v>
      </c>
      <c r="AL92" s="1">
        <v>45695</v>
      </c>
      <c r="AM92" s="2">
        <v>0.54166666666666663</v>
      </c>
      <c r="AN92" s="1">
        <v>45696</v>
      </c>
      <c r="AO92" s="2">
        <v>0.3903240740740741</v>
      </c>
      <c r="AP92">
        <v>1</v>
      </c>
      <c r="AQ92">
        <v>5</v>
      </c>
      <c r="AR92">
        <v>5</v>
      </c>
      <c r="AS92">
        <v>31</v>
      </c>
      <c r="AT92">
        <v>31</v>
      </c>
      <c r="AU92">
        <v>45688.5</v>
      </c>
    </row>
    <row r="93" spans="1:47" x14ac:dyDescent="0.3">
      <c r="A93" s="77" t="s">
        <v>557</v>
      </c>
      <c r="B93" s="77" t="s">
        <v>198</v>
      </c>
      <c r="C93">
        <v>45688</v>
      </c>
      <c r="D93">
        <v>0.49988425925925928</v>
      </c>
      <c r="E93">
        <v>2025</v>
      </c>
      <c r="F93" t="s">
        <v>64</v>
      </c>
      <c r="G93" t="s">
        <v>65</v>
      </c>
      <c r="H93">
        <v>0.45833333333333331</v>
      </c>
      <c r="I93" t="s">
        <v>126</v>
      </c>
      <c r="J93" s="77" t="s">
        <v>126</v>
      </c>
      <c r="K93" s="77" t="s">
        <v>49</v>
      </c>
      <c r="L93" s="77" t="s">
        <v>49</v>
      </c>
      <c r="M93" t="s">
        <v>276</v>
      </c>
      <c r="N93" s="77" t="s">
        <v>199</v>
      </c>
      <c r="O93" s="77" t="s">
        <v>200</v>
      </c>
      <c r="P93">
        <v>8</v>
      </c>
      <c r="Q93" s="77" t="s">
        <v>509</v>
      </c>
      <c r="T93" s="77"/>
      <c r="U93" s="77"/>
      <c r="V93" s="77"/>
      <c r="W93" s="77"/>
      <c r="AB93" s="77" t="s">
        <v>510</v>
      </c>
      <c r="AC93" s="77" t="s">
        <v>58</v>
      </c>
      <c r="AD93" s="77" t="s">
        <v>202</v>
      </c>
      <c r="AE93" s="77" t="s">
        <v>115</v>
      </c>
      <c r="AF93" s="77" t="s">
        <v>116</v>
      </c>
      <c r="AG93" s="77" t="s">
        <v>62</v>
      </c>
      <c r="AH93" s="77" t="s">
        <v>130</v>
      </c>
      <c r="AI93">
        <v>9</v>
      </c>
      <c r="AJ93" s="1">
        <v>45688</v>
      </c>
      <c r="AK93" s="2">
        <v>0.49988425925925928</v>
      </c>
      <c r="AL93" s="1"/>
      <c r="AM93" s="2"/>
      <c r="AN93" s="1">
        <v>45688</v>
      </c>
      <c r="AO93" s="2">
        <v>0.49988425925925928</v>
      </c>
      <c r="AP93">
        <v>1</v>
      </c>
      <c r="AQ93">
        <v>5</v>
      </c>
      <c r="AR93">
        <v>5</v>
      </c>
      <c r="AS93">
        <v>31</v>
      </c>
      <c r="AT93">
        <v>31</v>
      </c>
      <c r="AU93">
        <v>45688.499305555553</v>
      </c>
    </row>
    <row r="94" spans="1:47" x14ac:dyDescent="0.3">
      <c r="A94" s="77" t="s">
        <v>557</v>
      </c>
      <c r="B94" s="77" t="s">
        <v>189</v>
      </c>
      <c r="C94">
        <v>45685</v>
      </c>
      <c r="D94">
        <v>0.625</v>
      </c>
      <c r="E94">
        <v>2025</v>
      </c>
      <c r="F94" t="s">
        <v>64</v>
      </c>
      <c r="G94" t="s">
        <v>79</v>
      </c>
      <c r="H94">
        <v>0.625</v>
      </c>
      <c r="I94" t="s">
        <v>197</v>
      </c>
      <c r="J94" s="77" t="s">
        <v>48</v>
      </c>
      <c r="K94" s="77" t="s">
        <v>172</v>
      </c>
      <c r="L94" s="77" t="s">
        <v>49</v>
      </c>
      <c r="M94" t="s">
        <v>264</v>
      </c>
      <c r="N94" s="77" t="s">
        <v>190</v>
      </c>
      <c r="O94" s="77" t="s">
        <v>191</v>
      </c>
      <c r="P94">
        <v>6</v>
      </c>
      <c r="Q94" s="77" t="s">
        <v>511</v>
      </c>
      <c r="T94" s="77" t="s">
        <v>512</v>
      </c>
      <c r="U94" s="77" t="s">
        <v>513</v>
      </c>
      <c r="V94" s="77" t="s">
        <v>195</v>
      </c>
      <c r="W94" s="77" t="s">
        <v>56</v>
      </c>
      <c r="AB94" s="77" t="s">
        <v>514</v>
      </c>
      <c r="AC94" s="77" t="s">
        <v>58</v>
      </c>
      <c r="AD94" s="77" t="s">
        <v>147</v>
      </c>
      <c r="AE94" s="77" t="s">
        <v>60</v>
      </c>
      <c r="AF94" s="77" t="s">
        <v>89</v>
      </c>
      <c r="AG94" s="77" t="s">
        <v>196</v>
      </c>
      <c r="AH94" s="77" t="s">
        <v>63</v>
      </c>
      <c r="AI94">
        <v>9</v>
      </c>
      <c r="AJ94" s="1">
        <v>45685</v>
      </c>
      <c r="AK94" s="2">
        <v>0.625</v>
      </c>
      <c r="AL94" s="1">
        <v>45686</v>
      </c>
      <c r="AM94" s="2">
        <v>0.91736111111111107</v>
      </c>
      <c r="AN94" s="1">
        <v>45686</v>
      </c>
      <c r="AO94" s="2">
        <v>0.91833333333333333</v>
      </c>
      <c r="AP94">
        <v>1</v>
      </c>
      <c r="AQ94">
        <v>5</v>
      </c>
      <c r="AR94">
        <v>5</v>
      </c>
      <c r="AS94">
        <v>28</v>
      </c>
      <c r="AT94">
        <v>28</v>
      </c>
      <c r="AU94">
        <v>45685.625</v>
      </c>
    </row>
    <row r="95" spans="1:47" x14ac:dyDescent="0.3">
      <c r="A95" s="77" t="s">
        <v>557</v>
      </c>
      <c r="B95" s="77" t="s">
        <v>180</v>
      </c>
      <c r="C95">
        <v>45683</v>
      </c>
      <c r="D95">
        <v>0.84027777777777779</v>
      </c>
      <c r="E95">
        <v>2025</v>
      </c>
      <c r="F95" t="s">
        <v>64</v>
      </c>
      <c r="G95" t="s">
        <v>188</v>
      </c>
      <c r="H95">
        <v>0.83333333333333337</v>
      </c>
      <c r="I95" t="s">
        <v>179</v>
      </c>
      <c r="J95" s="77" t="s">
        <v>81</v>
      </c>
      <c r="K95" s="77" t="s">
        <v>172</v>
      </c>
      <c r="L95" s="77" t="s">
        <v>49</v>
      </c>
      <c r="M95" t="s">
        <v>283</v>
      </c>
      <c r="N95" s="77" t="s">
        <v>181</v>
      </c>
      <c r="O95" s="77" t="s">
        <v>182</v>
      </c>
      <c r="P95">
        <v>9</v>
      </c>
      <c r="Q95" s="77" t="s">
        <v>515</v>
      </c>
      <c r="T95" s="77" t="s">
        <v>516</v>
      </c>
      <c r="U95" s="77" t="s">
        <v>517</v>
      </c>
      <c r="V95" s="77" t="s">
        <v>185</v>
      </c>
      <c r="W95" s="77" t="s">
        <v>508</v>
      </c>
      <c r="AB95" s="77" t="s">
        <v>499</v>
      </c>
      <c r="AC95" s="77" t="s">
        <v>58</v>
      </c>
      <c r="AD95" s="77" t="s">
        <v>186</v>
      </c>
      <c r="AE95" s="77" t="s">
        <v>88</v>
      </c>
      <c r="AF95" s="77" t="s">
        <v>187</v>
      </c>
      <c r="AG95" s="77" t="s">
        <v>62</v>
      </c>
      <c r="AH95" s="77" t="s">
        <v>90</v>
      </c>
      <c r="AI95">
        <v>9</v>
      </c>
      <c r="AJ95" s="1">
        <v>45683</v>
      </c>
      <c r="AK95" s="2">
        <v>0.84027777777777779</v>
      </c>
      <c r="AL95" s="1">
        <v>45683</v>
      </c>
      <c r="AM95" s="2">
        <v>0.84652777777777777</v>
      </c>
      <c r="AN95" s="1">
        <v>45683</v>
      </c>
      <c r="AO95" s="2">
        <v>0.85009259259259262</v>
      </c>
      <c r="AP95">
        <v>1</v>
      </c>
      <c r="AQ95">
        <v>5</v>
      </c>
      <c r="AR95">
        <v>5</v>
      </c>
      <c r="AS95">
        <v>26</v>
      </c>
      <c r="AT95">
        <v>26</v>
      </c>
      <c r="AU95">
        <v>45683.840277777781</v>
      </c>
    </row>
    <row r="96" spans="1:47" x14ac:dyDescent="0.3">
      <c r="A96" s="77" t="s">
        <v>557</v>
      </c>
      <c r="B96" s="77" t="s">
        <v>164</v>
      </c>
      <c r="C96">
        <v>45682</v>
      </c>
      <c r="D96">
        <v>0.45833333333333331</v>
      </c>
      <c r="E96">
        <v>2025</v>
      </c>
      <c r="F96" t="s">
        <v>64</v>
      </c>
      <c r="G96" t="s">
        <v>170</v>
      </c>
      <c r="H96">
        <v>0.45833333333333331</v>
      </c>
      <c r="I96" t="s">
        <v>126</v>
      </c>
      <c r="J96" s="77" t="s">
        <v>126</v>
      </c>
      <c r="K96" s="77" t="s">
        <v>49</v>
      </c>
      <c r="L96" s="77" t="s">
        <v>49</v>
      </c>
      <c r="M96" t="s">
        <v>263</v>
      </c>
      <c r="N96" s="77" t="s">
        <v>165</v>
      </c>
      <c r="O96" s="77" t="s">
        <v>166</v>
      </c>
      <c r="P96">
        <v>5</v>
      </c>
      <c r="Q96" s="77" t="s">
        <v>520</v>
      </c>
      <c r="T96" s="77"/>
      <c r="U96" s="77"/>
      <c r="V96" s="77"/>
      <c r="W96" s="77"/>
      <c r="AB96" s="77" t="s">
        <v>501</v>
      </c>
      <c r="AC96" s="77" t="s">
        <v>58</v>
      </c>
      <c r="AD96" s="77" t="s">
        <v>169</v>
      </c>
      <c r="AE96" s="77" t="s">
        <v>139</v>
      </c>
      <c r="AF96" s="77" t="s">
        <v>89</v>
      </c>
      <c r="AG96" s="77" t="s">
        <v>102</v>
      </c>
      <c r="AH96" s="77" t="s">
        <v>130</v>
      </c>
      <c r="AI96">
        <v>9</v>
      </c>
      <c r="AJ96" s="1">
        <v>45682</v>
      </c>
      <c r="AK96" s="2">
        <v>0.45833333333333331</v>
      </c>
      <c r="AL96" s="1">
        <v>45682</v>
      </c>
      <c r="AM96" s="2">
        <v>0.58333333333333337</v>
      </c>
      <c r="AN96" s="1">
        <v>45682</v>
      </c>
      <c r="AO96" s="2">
        <v>0.58054398148148145</v>
      </c>
      <c r="AP96">
        <v>1</v>
      </c>
      <c r="AQ96">
        <v>4</v>
      </c>
      <c r="AR96">
        <v>4</v>
      </c>
      <c r="AS96">
        <v>25</v>
      </c>
      <c r="AT96">
        <v>25</v>
      </c>
      <c r="AU96">
        <v>45682.458333333336</v>
      </c>
    </row>
    <row r="97" spans="1:47" x14ac:dyDescent="0.3">
      <c r="A97" s="77" t="s">
        <v>557</v>
      </c>
      <c r="B97" s="77" t="s">
        <v>171</v>
      </c>
      <c r="C97">
        <v>45682</v>
      </c>
      <c r="D97">
        <v>0.76875000000000004</v>
      </c>
      <c r="E97">
        <v>2025</v>
      </c>
      <c r="F97" t="s">
        <v>64</v>
      </c>
      <c r="G97" t="s">
        <v>170</v>
      </c>
      <c r="H97">
        <v>0.75</v>
      </c>
      <c r="I97" t="s">
        <v>179</v>
      </c>
      <c r="J97" s="77" t="s">
        <v>81</v>
      </c>
      <c r="K97" s="77" t="s">
        <v>172</v>
      </c>
      <c r="L97" s="77" t="s">
        <v>49</v>
      </c>
      <c r="M97" t="s">
        <v>275</v>
      </c>
      <c r="N97" s="77" t="s">
        <v>173</v>
      </c>
      <c r="O97" s="77" t="s">
        <v>97</v>
      </c>
      <c r="P97">
        <v>8</v>
      </c>
      <c r="Q97" s="77" t="s">
        <v>518</v>
      </c>
      <c r="T97" s="77" t="s">
        <v>519</v>
      </c>
      <c r="U97" s="77" t="s">
        <v>517</v>
      </c>
      <c r="V97" s="77" t="s">
        <v>176</v>
      </c>
      <c r="W97" s="77" t="s">
        <v>56</v>
      </c>
      <c r="AB97" s="77" t="s">
        <v>501</v>
      </c>
      <c r="AC97" s="77" t="s">
        <v>58</v>
      </c>
      <c r="AD97" s="77" t="s">
        <v>138</v>
      </c>
      <c r="AE97" s="77" t="s">
        <v>139</v>
      </c>
      <c r="AF97" s="77" t="s">
        <v>177</v>
      </c>
      <c r="AG97" s="77" t="s">
        <v>178</v>
      </c>
      <c r="AH97" s="77" t="s">
        <v>90</v>
      </c>
      <c r="AI97">
        <v>9</v>
      </c>
      <c r="AJ97" s="1">
        <v>45682</v>
      </c>
      <c r="AK97" s="2">
        <v>0.76875000000000004</v>
      </c>
      <c r="AL97" s="1"/>
      <c r="AM97" s="2"/>
      <c r="AN97" s="1">
        <v>45683</v>
      </c>
      <c r="AO97" s="2">
        <v>0.44056712962962963</v>
      </c>
      <c r="AP97">
        <v>1</v>
      </c>
      <c r="AQ97">
        <v>4</v>
      </c>
      <c r="AR97">
        <v>4</v>
      </c>
      <c r="AS97">
        <v>25</v>
      </c>
      <c r="AT97">
        <v>25</v>
      </c>
      <c r="AU97">
        <v>45682.768750000003</v>
      </c>
    </row>
    <row r="98" spans="1:47" x14ac:dyDescent="0.3">
      <c r="A98" s="77" t="s">
        <v>557</v>
      </c>
      <c r="B98" s="77" t="s">
        <v>156</v>
      </c>
      <c r="C98">
        <v>45680</v>
      </c>
      <c r="D98">
        <v>0.625</v>
      </c>
      <c r="E98">
        <v>2025</v>
      </c>
      <c r="F98" t="s">
        <v>64</v>
      </c>
      <c r="G98" t="s">
        <v>131</v>
      </c>
      <c r="H98">
        <v>0.625</v>
      </c>
      <c r="I98" t="s">
        <v>163</v>
      </c>
      <c r="J98" s="77" t="s">
        <v>157</v>
      </c>
      <c r="K98" s="77" t="s">
        <v>69</v>
      </c>
      <c r="L98" s="77" t="s">
        <v>49</v>
      </c>
      <c r="M98" t="s">
        <v>274</v>
      </c>
      <c r="N98" s="77" t="s">
        <v>158</v>
      </c>
      <c r="O98" s="77" t="s">
        <v>97</v>
      </c>
      <c r="P98">
        <v>8</v>
      </c>
      <c r="Q98" s="77" t="s">
        <v>521</v>
      </c>
      <c r="T98" s="77"/>
      <c r="U98" s="77"/>
      <c r="V98" s="77"/>
      <c r="W98" s="77"/>
      <c r="AB98" s="77" t="s">
        <v>522</v>
      </c>
      <c r="AC98" s="77" t="s">
        <v>58</v>
      </c>
      <c r="AD98" s="77" t="s">
        <v>101</v>
      </c>
      <c r="AE98" s="77" t="s">
        <v>161</v>
      </c>
      <c r="AF98" s="77" t="s">
        <v>76</v>
      </c>
      <c r="AG98" s="77" t="s">
        <v>162</v>
      </c>
      <c r="AH98" s="77"/>
      <c r="AI98">
        <v>9</v>
      </c>
      <c r="AJ98" s="1">
        <v>45680</v>
      </c>
      <c r="AK98" s="2">
        <v>0.625</v>
      </c>
      <c r="AL98" s="1"/>
      <c r="AM98" s="2"/>
      <c r="AN98" s="1">
        <v>45680</v>
      </c>
      <c r="AO98" s="2">
        <v>0.66545138888888888</v>
      </c>
      <c r="AP98">
        <v>1</v>
      </c>
      <c r="AQ98">
        <v>4</v>
      </c>
      <c r="AR98">
        <v>4</v>
      </c>
      <c r="AS98">
        <v>23</v>
      </c>
      <c r="AT98">
        <v>23</v>
      </c>
      <c r="AU98">
        <v>45680.625</v>
      </c>
    </row>
    <row r="99" spans="1:47" x14ac:dyDescent="0.3">
      <c r="A99" s="77" t="s">
        <v>557</v>
      </c>
      <c r="B99" s="77" t="s">
        <v>148</v>
      </c>
      <c r="C99">
        <v>45679</v>
      </c>
      <c r="D99">
        <v>0.33333333333333331</v>
      </c>
      <c r="E99">
        <v>2025</v>
      </c>
      <c r="F99" t="s">
        <v>64</v>
      </c>
      <c r="G99" t="s">
        <v>124</v>
      </c>
      <c r="H99">
        <v>0.33333333333333331</v>
      </c>
      <c r="I99" t="s">
        <v>48</v>
      </c>
      <c r="J99" s="77" t="s">
        <v>48</v>
      </c>
      <c r="K99" s="77" t="s">
        <v>49</v>
      </c>
      <c r="L99" s="77" t="s">
        <v>49</v>
      </c>
      <c r="M99" t="s">
        <v>262</v>
      </c>
      <c r="N99" s="77" t="s">
        <v>149</v>
      </c>
      <c r="O99" s="77" t="s">
        <v>150</v>
      </c>
      <c r="P99">
        <v>5</v>
      </c>
      <c r="Q99" s="77" t="s">
        <v>523</v>
      </c>
      <c r="T99" s="77" t="s">
        <v>152</v>
      </c>
      <c r="U99" s="77" t="s">
        <v>524</v>
      </c>
      <c r="V99" s="77" t="s">
        <v>154</v>
      </c>
      <c r="W99" s="77" t="s">
        <v>56</v>
      </c>
      <c r="AB99" s="77" t="s">
        <v>494</v>
      </c>
      <c r="AC99" s="77" t="s">
        <v>58</v>
      </c>
      <c r="AD99" s="77" t="s">
        <v>147</v>
      </c>
      <c r="AE99" s="77" t="s">
        <v>60</v>
      </c>
      <c r="AF99" s="77" t="s">
        <v>155</v>
      </c>
      <c r="AG99" s="77" t="s">
        <v>62</v>
      </c>
      <c r="AH99" s="77" t="s">
        <v>63</v>
      </c>
      <c r="AI99">
        <v>9</v>
      </c>
      <c r="AJ99" s="1">
        <v>45679</v>
      </c>
      <c r="AK99" s="2">
        <v>0.33333333333333331</v>
      </c>
      <c r="AL99" s="1">
        <v>45679</v>
      </c>
      <c r="AM99" s="2">
        <v>0.80069444444444449</v>
      </c>
      <c r="AN99" s="1">
        <v>45679</v>
      </c>
      <c r="AO99" s="2">
        <v>0.80203703703703699</v>
      </c>
      <c r="AP99">
        <v>1</v>
      </c>
      <c r="AQ99">
        <v>4</v>
      </c>
      <c r="AR99">
        <v>4</v>
      </c>
      <c r="AS99">
        <v>22</v>
      </c>
      <c r="AT99">
        <v>22</v>
      </c>
      <c r="AU99">
        <v>45679.333333333336</v>
      </c>
    </row>
    <row r="100" spans="1:47" x14ac:dyDescent="0.3">
      <c r="A100" s="77" t="s">
        <v>557</v>
      </c>
      <c r="B100" s="77" t="s">
        <v>141</v>
      </c>
      <c r="C100">
        <v>45678</v>
      </c>
      <c r="D100">
        <v>0.79166666666666663</v>
      </c>
      <c r="E100">
        <v>2025</v>
      </c>
      <c r="F100" t="s">
        <v>64</v>
      </c>
      <c r="G100" t="s">
        <v>79</v>
      </c>
      <c r="H100">
        <v>0.79166666666666663</v>
      </c>
      <c r="I100" t="s">
        <v>48</v>
      </c>
      <c r="J100" s="77" t="s">
        <v>48</v>
      </c>
      <c r="K100" s="77" t="s">
        <v>49</v>
      </c>
      <c r="L100" s="77" t="s">
        <v>49</v>
      </c>
      <c r="M100" t="s">
        <v>282</v>
      </c>
      <c r="N100" s="77" t="s">
        <v>142</v>
      </c>
      <c r="O100" s="77" t="s">
        <v>134</v>
      </c>
      <c r="P100">
        <v>9</v>
      </c>
      <c r="Q100" s="77" t="s">
        <v>525</v>
      </c>
      <c r="T100" s="77" t="s">
        <v>144</v>
      </c>
      <c r="U100" s="77" t="s">
        <v>54</v>
      </c>
      <c r="V100" s="77" t="s">
        <v>145</v>
      </c>
      <c r="W100" s="77" t="s">
        <v>56</v>
      </c>
      <c r="AB100" s="77" t="s">
        <v>526</v>
      </c>
      <c r="AC100" s="77" t="s">
        <v>58</v>
      </c>
      <c r="AD100" s="77" t="s">
        <v>147</v>
      </c>
      <c r="AE100" s="77" t="s">
        <v>60</v>
      </c>
      <c r="AF100" s="77" t="s">
        <v>116</v>
      </c>
      <c r="AG100" s="77" t="s">
        <v>62</v>
      </c>
      <c r="AH100" s="77" t="s">
        <v>63</v>
      </c>
      <c r="AI100">
        <v>9</v>
      </c>
      <c r="AJ100" s="1">
        <v>45678</v>
      </c>
      <c r="AK100" s="2">
        <v>0.79166666666666663</v>
      </c>
      <c r="AL100" s="1">
        <v>45679</v>
      </c>
      <c r="AM100" s="2">
        <v>0.13125000000000001</v>
      </c>
      <c r="AN100" s="1">
        <v>45679</v>
      </c>
      <c r="AO100" s="2">
        <v>0.13255787037037037</v>
      </c>
      <c r="AP100">
        <v>1</v>
      </c>
      <c r="AQ100">
        <v>4</v>
      </c>
      <c r="AR100">
        <v>4</v>
      </c>
      <c r="AS100">
        <v>21</v>
      </c>
      <c r="AT100">
        <v>21</v>
      </c>
      <c r="AU100">
        <v>45678.791666666664</v>
      </c>
    </row>
    <row r="101" spans="1:47" x14ac:dyDescent="0.3">
      <c r="A101" s="77" t="s">
        <v>557</v>
      </c>
      <c r="B101" s="77" t="s">
        <v>132</v>
      </c>
      <c r="C101">
        <v>45673</v>
      </c>
      <c r="D101">
        <v>0.87708333333333333</v>
      </c>
      <c r="E101">
        <v>2025</v>
      </c>
      <c r="F101" t="s">
        <v>64</v>
      </c>
      <c r="G101" t="s">
        <v>131</v>
      </c>
      <c r="H101">
        <v>0.875</v>
      </c>
      <c r="I101" t="s">
        <v>95</v>
      </c>
      <c r="J101" s="77" t="s">
        <v>95</v>
      </c>
      <c r="K101" s="77" t="s">
        <v>49</v>
      </c>
      <c r="L101" s="77" t="s">
        <v>49</v>
      </c>
      <c r="M101" t="s">
        <v>281</v>
      </c>
      <c r="N101" s="77" t="s">
        <v>133</v>
      </c>
      <c r="O101" s="77" t="s">
        <v>134</v>
      </c>
      <c r="P101">
        <v>9</v>
      </c>
      <c r="Q101" s="77" t="s">
        <v>527</v>
      </c>
      <c r="T101" s="77"/>
      <c r="U101" s="77" t="s">
        <v>528</v>
      </c>
      <c r="V101" s="77" t="s">
        <v>529</v>
      </c>
      <c r="W101" s="77"/>
      <c r="AB101" s="77" t="s">
        <v>499</v>
      </c>
      <c r="AC101" s="77" t="s">
        <v>58</v>
      </c>
      <c r="AD101" s="77" t="s">
        <v>138</v>
      </c>
      <c r="AE101" s="77" t="s">
        <v>139</v>
      </c>
      <c r="AF101" s="77" t="s">
        <v>140</v>
      </c>
      <c r="AG101" s="77" t="s">
        <v>228</v>
      </c>
      <c r="AH101" s="77" t="s">
        <v>103</v>
      </c>
      <c r="AI101">
        <v>9</v>
      </c>
      <c r="AJ101" s="1">
        <v>45673</v>
      </c>
      <c r="AK101" s="2">
        <v>0.87708333333333333</v>
      </c>
      <c r="AL101" s="1">
        <v>45673</v>
      </c>
      <c r="AM101" s="2">
        <v>0.88611111111111107</v>
      </c>
      <c r="AN101" s="1">
        <v>45674</v>
      </c>
      <c r="AO101" s="2">
        <v>0.51179398148148147</v>
      </c>
      <c r="AP101">
        <v>1</v>
      </c>
      <c r="AQ101">
        <v>3</v>
      </c>
      <c r="AR101">
        <v>3</v>
      </c>
      <c r="AS101">
        <v>16</v>
      </c>
      <c r="AT101">
        <v>16</v>
      </c>
      <c r="AU101">
        <v>45673.877083333333</v>
      </c>
    </row>
    <row r="102" spans="1:47" x14ac:dyDescent="0.3">
      <c r="A102" s="77" t="s">
        <v>557</v>
      </c>
      <c r="B102" s="77" t="s">
        <v>125</v>
      </c>
      <c r="C102">
        <v>45673</v>
      </c>
      <c r="D102">
        <v>0.5</v>
      </c>
      <c r="E102">
        <v>2025</v>
      </c>
      <c r="F102" t="s">
        <v>64</v>
      </c>
      <c r="G102" t="s">
        <v>131</v>
      </c>
      <c r="H102">
        <v>0.5</v>
      </c>
      <c r="I102" t="s">
        <v>126</v>
      </c>
      <c r="J102" s="77" t="s">
        <v>126</v>
      </c>
      <c r="K102" s="77" t="s">
        <v>49</v>
      </c>
      <c r="L102" s="77" t="s">
        <v>49</v>
      </c>
      <c r="M102" t="s">
        <v>271</v>
      </c>
      <c r="N102" s="77" t="s">
        <v>127</v>
      </c>
      <c r="O102" s="77" t="s">
        <v>71</v>
      </c>
      <c r="P102">
        <v>7</v>
      </c>
      <c r="Q102" s="77" t="s">
        <v>530</v>
      </c>
      <c r="T102" s="77"/>
      <c r="U102" s="77"/>
      <c r="V102" s="77"/>
      <c r="W102" s="77"/>
      <c r="AB102" s="77" t="s">
        <v>499</v>
      </c>
      <c r="AC102" s="77" t="s">
        <v>58</v>
      </c>
      <c r="AD102" s="77" t="s">
        <v>129</v>
      </c>
      <c r="AE102" s="77" t="s">
        <v>88</v>
      </c>
      <c r="AF102" s="77" t="s">
        <v>89</v>
      </c>
      <c r="AG102" s="77" t="s">
        <v>62</v>
      </c>
      <c r="AH102" s="77" t="s">
        <v>130</v>
      </c>
      <c r="AI102">
        <v>9</v>
      </c>
      <c r="AJ102" s="1">
        <v>45673</v>
      </c>
      <c r="AK102" s="2">
        <v>0.5</v>
      </c>
      <c r="AL102" s="1">
        <v>45673</v>
      </c>
      <c r="AM102" s="2">
        <v>0.75</v>
      </c>
      <c r="AN102" s="1">
        <v>45673</v>
      </c>
      <c r="AO102" s="2">
        <v>0.81587962962962968</v>
      </c>
      <c r="AP102">
        <v>1</v>
      </c>
      <c r="AQ102">
        <v>3</v>
      </c>
      <c r="AR102">
        <v>3</v>
      </c>
      <c r="AS102">
        <v>16</v>
      </c>
      <c r="AT102">
        <v>16</v>
      </c>
      <c r="AU102">
        <v>45673.5</v>
      </c>
    </row>
    <row r="103" spans="1:47" x14ac:dyDescent="0.3">
      <c r="A103" s="77" t="s">
        <v>557</v>
      </c>
      <c r="B103" s="77" t="s">
        <v>343</v>
      </c>
      <c r="C103">
        <v>45673</v>
      </c>
      <c r="D103">
        <v>0.83333333333333337</v>
      </c>
      <c r="E103">
        <v>2025</v>
      </c>
      <c r="F103" t="s">
        <v>64</v>
      </c>
      <c r="G103" t="s">
        <v>131</v>
      </c>
      <c r="H103">
        <v>0.83333333333333337</v>
      </c>
      <c r="I103" t="s">
        <v>345</v>
      </c>
      <c r="J103" s="77" t="s">
        <v>344</v>
      </c>
      <c r="K103" s="77" t="s">
        <v>126</v>
      </c>
      <c r="L103" s="77" t="s">
        <v>333</v>
      </c>
      <c r="M103" t="s">
        <v>347</v>
      </c>
      <c r="N103" s="77" t="s">
        <v>348</v>
      </c>
      <c r="O103" s="77" t="s">
        <v>239</v>
      </c>
      <c r="P103">
        <v>5</v>
      </c>
      <c r="Q103" s="77" t="s">
        <v>548</v>
      </c>
      <c r="T103" s="77"/>
      <c r="U103" s="77"/>
      <c r="V103" s="77"/>
      <c r="W103" s="77"/>
      <c r="AB103" s="77" t="s">
        <v>501</v>
      </c>
      <c r="AC103" s="77" t="s">
        <v>58</v>
      </c>
      <c r="AD103" s="77" t="s">
        <v>250</v>
      </c>
      <c r="AE103" s="77" t="s">
        <v>60</v>
      </c>
      <c r="AF103" s="77"/>
      <c r="AG103" s="77"/>
      <c r="AH103" s="77" t="s">
        <v>130</v>
      </c>
      <c r="AI103">
        <v>9</v>
      </c>
      <c r="AJ103" s="1">
        <v>45673</v>
      </c>
      <c r="AK103" s="2">
        <v>0.83333333333333337</v>
      </c>
      <c r="AL103" s="1"/>
      <c r="AM103" s="2"/>
      <c r="AN103" s="1">
        <v>45673</v>
      </c>
      <c r="AO103" s="2">
        <v>9.0057870370370371E-2</v>
      </c>
      <c r="AP103">
        <v>1</v>
      </c>
      <c r="AQ103">
        <v>3</v>
      </c>
      <c r="AR103">
        <v>3</v>
      </c>
      <c r="AS103">
        <v>16</v>
      </c>
      <c r="AT103">
        <v>16</v>
      </c>
      <c r="AU103">
        <v>45673.833333333336</v>
      </c>
    </row>
    <row r="104" spans="1:47" x14ac:dyDescent="0.3">
      <c r="A104" s="77" t="s">
        <v>557</v>
      </c>
      <c r="B104" s="77" t="s">
        <v>118</v>
      </c>
      <c r="C104">
        <v>45672</v>
      </c>
      <c r="D104">
        <v>0.53988425925925931</v>
      </c>
      <c r="E104">
        <v>2025</v>
      </c>
      <c r="F104" t="s">
        <v>64</v>
      </c>
      <c r="G104" t="s">
        <v>124</v>
      </c>
      <c r="H104">
        <v>0.5</v>
      </c>
      <c r="I104" t="s">
        <v>48</v>
      </c>
      <c r="J104" s="77" t="s">
        <v>48</v>
      </c>
      <c r="K104" s="77" t="s">
        <v>49</v>
      </c>
      <c r="L104" s="77" t="s">
        <v>49</v>
      </c>
      <c r="M104" t="s">
        <v>273</v>
      </c>
      <c r="N104" s="77" t="s">
        <v>119</v>
      </c>
      <c r="O104" s="77" t="s">
        <v>97</v>
      </c>
      <c r="P104">
        <v>8</v>
      </c>
      <c r="Q104" s="77" t="s">
        <v>531</v>
      </c>
      <c r="T104" s="77" t="s">
        <v>121</v>
      </c>
      <c r="U104" s="77" t="s">
        <v>517</v>
      </c>
      <c r="V104" s="77" t="s">
        <v>122</v>
      </c>
      <c r="W104" s="77" t="s">
        <v>56</v>
      </c>
      <c r="AB104" s="77" t="s">
        <v>494</v>
      </c>
      <c r="AC104" s="77" t="s">
        <v>58</v>
      </c>
      <c r="AD104" s="77" t="s">
        <v>123</v>
      </c>
      <c r="AE104" s="77" t="s">
        <v>532</v>
      </c>
      <c r="AF104" s="77" t="s">
        <v>89</v>
      </c>
      <c r="AG104" s="77" t="s">
        <v>62</v>
      </c>
      <c r="AH104" s="77" t="s">
        <v>63</v>
      </c>
      <c r="AI104">
        <v>9</v>
      </c>
      <c r="AJ104" s="1">
        <v>45672</v>
      </c>
      <c r="AK104" s="2">
        <v>0.53988425925925931</v>
      </c>
      <c r="AL104" s="1"/>
      <c r="AM104" s="2"/>
      <c r="AN104" s="1">
        <v>45672</v>
      </c>
      <c r="AO104" s="2">
        <v>0.53988425925925931</v>
      </c>
      <c r="AP104">
        <v>1</v>
      </c>
      <c r="AQ104">
        <v>3</v>
      </c>
      <c r="AR104">
        <v>3</v>
      </c>
      <c r="AS104">
        <v>15</v>
      </c>
      <c r="AT104">
        <v>15</v>
      </c>
      <c r="AU104">
        <v>45672.539583333331</v>
      </c>
    </row>
    <row r="105" spans="1:47" x14ac:dyDescent="0.3">
      <c r="A105" s="77" t="s">
        <v>557</v>
      </c>
      <c r="B105" s="77" t="s">
        <v>105</v>
      </c>
      <c r="C105">
        <v>45671</v>
      </c>
      <c r="D105">
        <v>0.64067129629629627</v>
      </c>
      <c r="E105">
        <v>2025</v>
      </c>
      <c r="F105" t="s">
        <v>64</v>
      </c>
      <c r="G105" t="s">
        <v>79</v>
      </c>
      <c r="H105">
        <v>0.625</v>
      </c>
      <c r="I105" t="s">
        <v>117</v>
      </c>
      <c r="J105" s="77" t="s">
        <v>95</v>
      </c>
      <c r="K105" s="77" t="s">
        <v>106</v>
      </c>
      <c r="L105" s="77" t="s">
        <v>107</v>
      </c>
      <c r="M105" t="s">
        <v>280</v>
      </c>
      <c r="N105" s="77" t="s">
        <v>108</v>
      </c>
      <c r="O105" s="77" t="s">
        <v>109</v>
      </c>
      <c r="P105">
        <v>9</v>
      </c>
      <c r="Q105" s="77" t="s">
        <v>533</v>
      </c>
      <c r="T105" s="77" t="s">
        <v>534</v>
      </c>
      <c r="U105" s="77" t="s">
        <v>535</v>
      </c>
      <c r="V105" s="77" t="s">
        <v>113</v>
      </c>
      <c r="W105" s="77" t="s">
        <v>56</v>
      </c>
      <c r="AB105" s="77" t="s">
        <v>494</v>
      </c>
      <c r="AC105" s="77" t="s">
        <v>58</v>
      </c>
      <c r="AD105" s="77" t="s">
        <v>59</v>
      </c>
      <c r="AE105" s="77" t="s">
        <v>536</v>
      </c>
      <c r="AF105" s="77" t="s">
        <v>116</v>
      </c>
      <c r="AG105" s="77" t="s">
        <v>102</v>
      </c>
      <c r="AH105" s="77" t="s">
        <v>103</v>
      </c>
      <c r="AI105">
        <v>9</v>
      </c>
      <c r="AJ105" s="1">
        <v>45671</v>
      </c>
      <c r="AK105" s="2">
        <v>0.64067129629629627</v>
      </c>
      <c r="AL105" s="1"/>
      <c r="AM105" s="2"/>
      <c r="AN105" s="1">
        <v>45671</v>
      </c>
      <c r="AO105" s="2">
        <v>0.64067129629629627</v>
      </c>
      <c r="AP105">
        <v>1</v>
      </c>
      <c r="AQ105">
        <v>3</v>
      </c>
      <c r="AR105">
        <v>3</v>
      </c>
      <c r="AS105">
        <v>14</v>
      </c>
      <c r="AT105">
        <v>14</v>
      </c>
      <c r="AU105">
        <v>45671.640277777777</v>
      </c>
    </row>
    <row r="106" spans="1:47" x14ac:dyDescent="0.3">
      <c r="A106" s="77" t="s">
        <v>557</v>
      </c>
      <c r="B106" s="77" t="s">
        <v>332</v>
      </c>
      <c r="C106">
        <v>45671</v>
      </c>
      <c r="D106">
        <v>0.46388888888888891</v>
      </c>
      <c r="E106">
        <v>2025</v>
      </c>
      <c r="F106" t="s">
        <v>64</v>
      </c>
      <c r="G106" t="s">
        <v>79</v>
      </c>
      <c r="H106">
        <v>0.45833333333333331</v>
      </c>
      <c r="I106" t="s">
        <v>335</v>
      </c>
      <c r="J106" s="77" t="s">
        <v>126</v>
      </c>
      <c r="K106" s="77" t="s">
        <v>333</v>
      </c>
      <c r="L106" s="77" t="s">
        <v>334</v>
      </c>
      <c r="M106" t="s">
        <v>337</v>
      </c>
      <c r="N106" s="77" t="s">
        <v>338</v>
      </c>
      <c r="O106" s="77" t="s">
        <v>339</v>
      </c>
      <c r="P106">
        <v>9</v>
      </c>
      <c r="Q106" s="77" t="s">
        <v>549</v>
      </c>
      <c r="T106" s="77"/>
      <c r="U106" s="77"/>
      <c r="V106" s="77"/>
      <c r="W106" s="77"/>
      <c r="AB106" s="77" t="s">
        <v>550</v>
      </c>
      <c r="AC106" s="77" t="s">
        <v>58</v>
      </c>
      <c r="AD106" s="77" t="s">
        <v>342</v>
      </c>
      <c r="AE106" s="77" t="s">
        <v>115</v>
      </c>
      <c r="AF106" s="77" t="s">
        <v>116</v>
      </c>
      <c r="AG106" s="77" t="s">
        <v>228</v>
      </c>
      <c r="AH106" s="77" t="s">
        <v>130</v>
      </c>
      <c r="AI106">
        <v>9</v>
      </c>
      <c r="AJ106" s="1">
        <v>45671</v>
      </c>
      <c r="AK106" s="2">
        <v>0.46388888888888891</v>
      </c>
      <c r="AL106" s="1"/>
      <c r="AM106" s="2"/>
      <c r="AN106" s="1">
        <v>45671</v>
      </c>
      <c r="AO106" s="2">
        <v>0.46740740740740738</v>
      </c>
      <c r="AP106">
        <v>1</v>
      </c>
      <c r="AQ106">
        <v>3</v>
      </c>
      <c r="AR106">
        <v>3</v>
      </c>
      <c r="AS106">
        <v>14</v>
      </c>
      <c r="AT106">
        <v>14</v>
      </c>
      <c r="AU106">
        <v>45671.463888888888</v>
      </c>
    </row>
    <row r="107" spans="1:47" x14ac:dyDescent="0.3">
      <c r="A107" s="77" t="s">
        <v>557</v>
      </c>
      <c r="B107" s="77" t="s">
        <v>92</v>
      </c>
      <c r="C107">
        <v>45670</v>
      </c>
      <c r="D107">
        <v>0.50347222222222221</v>
      </c>
      <c r="E107">
        <v>2025</v>
      </c>
      <c r="F107" t="s">
        <v>64</v>
      </c>
      <c r="G107" t="s">
        <v>91</v>
      </c>
      <c r="H107">
        <v>0.5</v>
      </c>
      <c r="I107" t="s">
        <v>104</v>
      </c>
      <c r="J107" s="77" t="s">
        <v>93</v>
      </c>
      <c r="K107" s="77" t="s">
        <v>94</v>
      </c>
      <c r="L107" s="77" t="s">
        <v>95</v>
      </c>
      <c r="M107" t="s">
        <v>272</v>
      </c>
      <c r="N107" s="77" t="s">
        <v>96</v>
      </c>
      <c r="O107" s="77" t="s">
        <v>97</v>
      </c>
      <c r="P107">
        <v>8</v>
      </c>
      <c r="Q107" s="77" t="s">
        <v>537</v>
      </c>
      <c r="T107" s="77"/>
      <c r="U107" s="77"/>
      <c r="V107" s="77"/>
      <c r="W107" s="77"/>
      <c r="AB107" s="77" t="s">
        <v>510</v>
      </c>
      <c r="AC107" s="77" t="s">
        <v>58</v>
      </c>
      <c r="AD107" s="77" t="s">
        <v>99</v>
      </c>
      <c r="AE107" s="77" t="s">
        <v>100</v>
      </c>
      <c r="AF107" s="77" t="s">
        <v>101</v>
      </c>
      <c r="AG107" s="77" t="s">
        <v>102</v>
      </c>
      <c r="AH107" s="77" t="s">
        <v>103</v>
      </c>
      <c r="AI107">
        <v>9</v>
      </c>
      <c r="AJ107" s="1">
        <v>45670</v>
      </c>
      <c r="AK107" s="2">
        <v>0.50347222222222221</v>
      </c>
      <c r="AL107" s="1"/>
      <c r="AM107" s="2"/>
      <c r="AN107" s="1">
        <v>45670</v>
      </c>
      <c r="AO107" s="2">
        <v>0.50537037037037036</v>
      </c>
      <c r="AP107">
        <v>1</v>
      </c>
      <c r="AQ107">
        <v>3</v>
      </c>
      <c r="AR107">
        <v>3</v>
      </c>
      <c r="AS107">
        <v>13</v>
      </c>
      <c r="AT107">
        <v>13</v>
      </c>
      <c r="AU107">
        <v>45670.503472222219</v>
      </c>
    </row>
    <row r="108" spans="1:47" x14ac:dyDescent="0.3">
      <c r="A108" s="77" t="s">
        <v>557</v>
      </c>
      <c r="B108" s="77" t="s">
        <v>67</v>
      </c>
      <c r="C108">
        <v>45664</v>
      </c>
      <c r="D108">
        <v>0.58333333333333337</v>
      </c>
      <c r="E108">
        <v>2025</v>
      </c>
      <c r="F108" t="s">
        <v>64</v>
      </c>
      <c r="G108" t="s">
        <v>79</v>
      </c>
      <c r="H108">
        <v>0.58333333333333337</v>
      </c>
      <c r="I108" t="s">
        <v>78</v>
      </c>
      <c r="J108" s="77" t="s">
        <v>68</v>
      </c>
      <c r="K108" s="77" t="s">
        <v>69</v>
      </c>
      <c r="L108" s="77" t="s">
        <v>49</v>
      </c>
      <c r="M108" t="s">
        <v>269</v>
      </c>
      <c r="N108" s="77" t="s">
        <v>70</v>
      </c>
      <c r="O108" s="77" t="s">
        <v>71</v>
      </c>
      <c r="P108">
        <v>7</v>
      </c>
      <c r="Q108" s="77" t="s">
        <v>538</v>
      </c>
      <c r="T108" s="77"/>
      <c r="U108" s="77"/>
      <c r="V108" s="77"/>
      <c r="W108" s="77"/>
      <c r="AB108" s="77" t="s">
        <v>539</v>
      </c>
      <c r="AC108" s="77" t="s">
        <v>58</v>
      </c>
      <c r="AD108" s="77" t="s">
        <v>74</v>
      </c>
      <c r="AE108" s="77" t="s">
        <v>75</v>
      </c>
      <c r="AF108" s="77" t="s">
        <v>76</v>
      </c>
      <c r="AG108" s="77" t="s">
        <v>62</v>
      </c>
      <c r="AH108" s="77" t="s">
        <v>77</v>
      </c>
      <c r="AI108">
        <v>9</v>
      </c>
      <c r="AJ108" s="1">
        <v>45664</v>
      </c>
      <c r="AK108" s="2">
        <v>0.58333333333333337</v>
      </c>
      <c r="AL108" s="1"/>
      <c r="AM108" s="2"/>
      <c r="AN108" s="1">
        <v>45667</v>
      </c>
      <c r="AO108" s="2">
        <v>0.59781249999999997</v>
      </c>
      <c r="AP108">
        <v>1</v>
      </c>
      <c r="AQ108">
        <v>2</v>
      </c>
      <c r="AR108">
        <v>2</v>
      </c>
      <c r="AS108">
        <v>7</v>
      </c>
      <c r="AT108">
        <v>7</v>
      </c>
      <c r="AU108">
        <v>45664.583333333336</v>
      </c>
    </row>
    <row r="109" spans="1:47" x14ac:dyDescent="0.3">
      <c r="A109" s="77" t="s">
        <v>557</v>
      </c>
      <c r="B109" s="77" t="s">
        <v>80</v>
      </c>
      <c r="C109">
        <v>45663</v>
      </c>
      <c r="D109">
        <v>0.64583333333333337</v>
      </c>
      <c r="E109">
        <v>2025</v>
      </c>
      <c r="F109" t="s">
        <v>64</v>
      </c>
      <c r="G109" t="s">
        <v>91</v>
      </c>
      <c r="H109">
        <v>0.625</v>
      </c>
      <c r="I109" t="s">
        <v>81</v>
      </c>
      <c r="J109" s="77" t="s">
        <v>81</v>
      </c>
      <c r="K109" s="77" t="s">
        <v>49</v>
      </c>
      <c r="L109" s="77" t="s">
        <v>49</v>
      </c>
      <c r="M109" t="s">
        <v>270</v>
      </c>
      <c r="N109" s="77" t="s">
        <v>82</v>
      </c>
      <c r="O109" s="77"/>
      <c r="P109">
        <v>7</v>
      </c>
      <c r="Q109" s="77" t="s">
        <v>540</v>
      </c>
      <c r="T109" s="77" t="s">
        <v>84</v>
      </c>
      <c r="U109" s="77" t="s">
        <v>517</v>
      </c>
      <c r="V109" s="77" t="s">
        <v>85</v>
      </c>
      <c r="W109" s="77" t="s">
        <v>56</v>
      </c>
      <c r="AB109" s="77" t="s">
        <v>499</v>
      </c>
      <c r="AC109" s="77" t="s">
        <v>58</v>
      </c>
      <c r="AD109" s="77" t="s">
        <v>87</v>
      </c>
      <c r="AE109" s="77" t="s">
        <v>88</v>
      </c>
      <c r="AF109" s="77" t="s">
        <v>89</v>
      </c>
      <c r="AG109" s="77" t="s">
        <v>62</v>
      </c>
      <c r="AH109" s="77" t="s">
        <v>90</v>
      </c>
      <c r="AI109">
        <v>9</v>
      </c>
      <c r="AJ109" s="1">
        <v>45663</v>
      </c>
      <c r="AK109" s="2">
        <v>0.64583333333333337</v>
      </c>
      <c r="AL109" s="1">
        <v>45667</v>
      </c>
      <c r="AM109" s="2"/>
      <c r="AN109" s="1">
        <v>45667</v>
      </c>
      <c r="AO109" s="2">
        <v>0.82629629629629631</v>
      </c>
      <c r="AP109">
        <v>1</v>
      </c>
      <c r="AQ109">
        <v>2</v>
      </c>
      <c r="AR109">
        <v>2</v>
      </c>
      <c r="AS109">
        <v>6</v>
      </c>
      <c r="AT109">
        <v>6</v>
      </c>
      <c r="AU109">
        <v>45663.645833333336</v>
      </c>
    </row>
    <row r="110" spans="1:47" x14ac:dyDescent="0.3">
      <c r="A110" s="77" t="s">
        <v>557</v>
      </c>
      <c r="B110" s="77" t="s">
        <v>47</v>
      </c>
      <c r="C110">
        <v>45660</v>
      </c>
      <c r="D110">
        <v>0.89583333333333337</v>
      </c>
      <c r="E110">
        <v>2025</v>
      </c>
      <c r="F110" t="s">
        <v>64</v>
      </c>
      <c r="G110" t="s">
        <v>65</v>
      </c>
      <c r="H110">
        <v>0.875</v>
      </c>
      <c r="I110" t="s">
        <v>48</v>
      </c>
      <c r="J110" s="77" t="s">
        <v>48</v>
      </c>
      <c r="K110" s="77" t="s">
        <v>49</v>
      </c>
      <c r="L110" s="77" t="s">
        <v>49</v>
      </c>
      <c r="M110" t="s">
        <v>279</v>
      </c>
      <c r="N110" s="77" t="s">
        <v>50</v>
      </c>
      <c r="O110" s="77" t="s">
        <v>51</v>
      </c>
      <c r="P110">
        <v>9</v>
      </c>
      <c r="Q110" s="77" t="s">
        <v>541</v>
      </c>
      <c r="T110" s="77" t="s">
        <v>542</v>
      </c>
      <c r="U110" s="77" t="s">
        <v>517</v>
      </c>
      <c r="V110" s="77" t="s">
        <v>55</v>
      </c>
      <c r="W110" s="77" t="s">
        <v>56</v>
      </c>
      <c r="AB110" s="77" t="s">
        <v>510</v>
      </c>
      <c r="AC110" s="77" t="s">
        <v>58</v>
      </c>
      <c r="AD110" s="77" t="s">
        <v>59</v>
      </c>
      <c r="AE110" s="77" t="s">
        <v>60</v>
      </c>
      <c r="AF110" s="77" t="s">
        <v>61</v>
      </c>
      <c r="AG110" s="77" t="s">
        <v>62</v>
      </c>
      <c r="AH110" s="77" t="s">
        <v>63</v>
      </c>
      <c r="AI110">
        <v>9</v>
      </c>
      <c r="AJ110" s="1">
        <v>45660</v>
      </c>
      <c r="AK110" s="2">
        <v>0.89583333333333337</v>
      </c>
      <c r="AL110" s="1">
        <v>45661</v>
      </c>
      <c r="AM110" s="2">
        <v>0.2673611111111111</v>
      </c>
      <c r="AN110" s="1">
        <v>45661</v>
      </c>
      <c r="AO110" s="2">
        <v>0.45774305555555556</v>
      </c>
      <c r="AP110">
        <v>1</v>
      </c>
      <c r="AQ110">
        <v>1</v>
      </c>
      <c r="AR110">
        <v>1</v>
      </c>
      <c r="AS110">
        <v>3</v>
      </c>
      <c r="AT110">
        <v>3</v>
      </c>
      <c r="AU110">
        <v>45660.895833333336</v>
      </c>
    </row>
    <row r="111" spans="1:47" x14ac:dyDescent="0.3">
      <c r="A111" s="77" t="s">
        <v>557</v>
      </c>
      <c r="B111" s="77" t="s">
        <v>565</v>
      </c>
      <c r="C111">
        <v>42906</v>
      </c>
      <c r="D111">
        <v>0.53615740740740736</v>
      </c>
      <c r="E111">
        <v>2017</v>
      </c>
      <c r="F111" t="s">
        <v>566</v>
      </c>
      <c r="G111" t="s">
        <v>79</v>
      </c>
      <c r="H111">
        <v>0.5</v>
      </c>
      <c r="I111" t="s">
        <v>157</v>
      </c>
      <c r="J111" s="77" t="s">
        <v>157</v>
      </c>
      <c r="K111" s="77" t="s">
        <v>49</v>
      </c>
      <c r="L111" s="77" t="s">
        <v>49</v>
      </c>
      <c r="M111" t="s">
        <v>567</v>
      </c>
      <c r="N111" s="77" t="s">
        <v>568</v>
      </c>
      <c r="O111" s="77" t="s">
        <v>182</v>
      </c>
      <c r="P111">
        <v>8</v>
      </c>
      <c r="Q111" s="77" t="s">
        <v>569</v>
      </c>
      <c r="T111" s="77"/>
      <c r="U111" s="77"/>
      <c r="V111" s="77"/>
      <c r="W111" s="77"/>
      <c r="AB111" s="77" t="s">
        <v>499</v>
      </c>
      <c r="AC111" s="77" t="s">
        <v>58</v>
      </c>
      <c r="AD111" s="77" t="s">
        <v>570</v>
      </c>
      <c r="AE111" s="77" t="s">
        <v>88</v>
      </c>
      <c r="AF111" s="77" t="s">
        <v>101</v>
      </c>
      <c r="AG111" s="77" t="s">
        <v>571</v>
      </c>
      <c r="AH111" s="77" t="s">
        <v>572</v>
      </c>
      <c r="AI111">
        <v>9</v>
      </c>
      <c r="AJ111" s="1">
        <v>42906</v>
      </c>
      <c r="AK111" s="2">
        <v>0.53615740740740736</v>
      </c>
      <c r="AL111" s="1">
        <v>45555</v>
      </c>
      <c r="AM111" s="2"/>
      <c r="AN111" s="1">
        <v>45708</v>
      </c>
      <c r="AO111" s="2">
        <v>0.53615740740740736</v>
      </c>
      <c r="AP111">
        <v>2</v>
      </c>
      <c r="AQ111">
        <v>25</v>
      </c>
      <c r="AR111">
        <v>4</v>
      </c>
      <c r="AS111">
        <v>20</v>
      </c>
      <c r="AT111">
        <v>171</v>
      </c>
      <c r="AU111">
        <v>42906.536111111112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37F87-0D8C-4C4D-9AA5-B7F8D9226C81}">
  <sheetPr codeName="Sheet5">
    <tabColor rgb="FFCE58C6"/>
  </sheetPr>
  <dimension ref="A1:BE3"/>
  <sheetViews>
    <sheetView topLeftCell="AS1" workbookViewId="0">
      <selection activeCell="AT2" sqref="AT2"/>
    </sheetView>
  </sheetViews>
  <sheetFormatPr defaultRowHeight="14.4" x14ac:dyDescent="0.3"/>
  <cols>
    <col min="1" max="1" width="20.88671875" bestFit="1" customWidth="1"/>
    <col min="2" max="2" width="15.44140625" bestFit="1" customWidth="1"/>
    <col min="3" max="3" width="9.109375" bestFit="1" customWidth="1"/>
    <col min="4" max="4" width="19.88671875" bestFit="1" customWidth="1"/>
    <col min="5" max="5" width="13.109375" bestFit="1" customWidth="1"/>
    <col min="6" max="6" width="20.109375" bestFit="1" customWidth="1"/>
    <col min="7" max="7" width="22.5546875" bestFit="1" customWidth="1"/>
    <col min="8" max="8" width="16.33203125" bestFit="1" customWidth="1"/>
    <col min="9" max="9" width="17.44140625" bestFit="1" customWidth="1"/>
    <col min="10" max="10" width="8.109375" bestFit="1" customWidth="1"/>
    <col min="11" max="11" width="19.44140625" bestFit="1" customWidth="1"/>
    <col min="12" max="12" width="15.88671875" bestFit="1" customWidth="1"/>
    <col min="13" max="13" width="22.33203125" bestFit="1" customWidth="1"/>
    <col min="14" max="14" width="25.88671875" bestFit="1" customWidth="1"/>
    <col min="15" max="16" width="23.33203125" bestFit="1" customWidth="1"/>
    <col min="17" max="17" width="48.5546875" bestFit="1" customWidth="1"/>
    <col min="18" max="18" width="18.88671875" bestFit="1" customWidth="1"/>
    <col min="19" max="19" width="16.44140625" bestFit="1" customWidth="1"/>
    <col min="20" max="20" width="44.5546875" bestFit="1" customWidth="1"/>
    <col min="21" max="21" width="8.88671875" bestFit="1" customWidth="1"/>
    <col min="22" max="22" width="9.6640625" bestFit="1" customWidth="1"/>
    <col min="23" max="23" width="81.109375" bestFit="1" customWidth="1"/>
    <col min="24" max="24" width="26.6640625" bestFit="1" customWidth="1"/>
    <col min="25" max="25" width="28.88671875" bestFit="1" customWidth="1"/>
    <col min="26" max="27" width="11.44140625" bestFit="1" customWidth="1"/>
    <col min="28" max="28" width="21" bestFit="1" customWidth="1"/>
    <col min="29" max="29" width="11.6640625" bestFit="1" customWidth="1"/>
    <col min="30" max="30" width="12.88671875" bestFit="1" customWidth="1"/>
    <col min="31" max="31" width="17.5546875" bestFit="1" customWidth="1"/>
    <col min="32" max="32" width="21" bestFit="1" customWidth="1"/>
    <col min="33" max="33" width="17.5546875" bestFit="1" customWidth="1"/>
    <col min="34" max="34" width="11.6640625" bestFit="1" customWidth="1"/>
    <col min="35" max="35" width="12.88671875" bestFit="1" customWidth="1"/>
    <col min="36" max="36" width="19.33203125" bestFit="1" customWidth="1"/>
    <col min="37" max="37" width="21.88671875" bestFit="1" customWidth="1"/>
    <col min="38" max="38" width="31.88671875" bestFit="1" customWidth="1"/>
    <col min="39" max="39" width="11.33203125" bestFit="1" customWidth="1"/>
    <col min="40" max="40" width="23.109375" bestFit="1" customWidth="1"/>
    <col min="41" max="41" width="31.88671875" bestFit="1" customWidth="1"/>
    <col min="42" max="42" width="29.5546875" bestFit="1" customWidth="1"/>
    <col min="43" max="43" width="19.109375" bestFit="1" customWidth="1"/>
    <col min="44" max="44" width="29.33203125" bestFit="1" customWidth="1"/>
    <col min="45" max="45" width="81.109375" bestFit="1" customWidth="1"/>
    <col min="46" max="46" width="22.6640625" bestFit="1" customWidth="1"/>
    <col min="47" max="47" width="20.5546875" bestFit="1" customWidth="1"/>
    <col min="48" max="48" width="20.88671875" bestFit="1" customWidth="1"/>
    <col min="49" max="49" width="33.33203125" bestFit="1" customWidth="1"/>
    <col min="50" max="50" width="33.5546875" bestFit="1" customWidth="1"/>
    <col min="51" max="51" width="18.5546875" bestFit="1" customWidth="1"/>
    <col min="52" max="52" width="18.88671875" bestFit="1" customWidth="1"/>
    <col min="53" max="53" width="10.44140625" bestFit="1" customWidth="1"/>
    <col min="54" max="54" width="27.5546875" bestFit="1" customWidth="1"/>
    <col min="55" max="55" width="8.5546875" bestFit="1" customWidth="1"/>
    <col min="56" max="56" width="12.5546875" style="16" bestFit="1" customWidth="1"/>
    <col min="57" max="57" width="10.109375" bestFit="1" customWidth="1"/>
    <col min="58" max="58" width="11.6640625" bestFit="1" customWidth="1"/>
    <col min="59" max="59" width="25.6640625" bestFit="1" customWidth="1"/>
    <col min="60" max="60" width="9.88671875" customWidth="1"/>
    <col min="61" max="61" width="13.6640625" bestFit="1" customWidth="1"/>
    <col min="62" max="62" width="7.6640625" bestFit="1" customWidth="1"/>
  </cols>
  <sheetData>
    <row r="1" spans="1:57" ht="18" x14ac:dyDescent="0.35">
      <c r="A1" s="10" t="s">
        <v>0</v>
      </c>
      <c r="B1" s="11" t="s">
        <v>33</v>
      </c>
      <c r="C1" s="10" t="s">
        <v>34</v>
      </c>
      <c r="D1" s="10" t="s">
        <v>35</v>
      </c>
      <c r="E1" s="12" t="s">
        <v>36</v>
      </c>
      <c r="F1" s="12" t="s">
        <v>37</v>
      </c>
      <c r="G1" s="12" t="s">
        <v>38</v>
      </c>
      <c r="H1" s="10" t="s">
        <v>39</v>
      </c>
      <c r="I1" s="13" t="s">
        <v>40</v>
      </c>
      <c r="J1" s="12" t="s">
        <v>41</v>
      </c>
      <c r="K1" s="14" t="s">
        <v>43</v>
      </c>
      <c r="L1" s="14" t="s">
        <v>42</v>
      </c>
      <c r="M1" t="s">
        <v>308</v>
      </c>
      <c r="N1" s="10" t="s">
        <v>7</v>
      </c>
      <c r="O1" s="10" t="s">
        <v>8</v>
      </c>
      <c r="P1" s="10" t="s">
        <v>9</v>
      </c>
      <c r="Q1" s="10" t="s">
        <v>32</v>
      </c>
      <c r="R1" t="s">
        <v>286</v>
      </c>
      <c r="S1" t="s">
        <v>261</v>
      </c>
      <c r="T1" s="10" t="s">
        <v>10</v>
      </c>
      <c r="U1" s="10" t="s">
        <v>11</v>
      </c>
      <c r="V1" s="10" t="s">
        <v>12</v>
      </c>
      <c r="W1" s="10" t="s">
        <v>13</v>
      </c>
      <c r="X1" s="10" t="s">
        <v>14</v>
      </c>
      <c r="Y1" s="10" t="s">
        <v>15</v>
      </c>
      <c r="Z1" t="s">
        <v>314</v>
      </c>
      <c r="AA1" t="s">
        <v>315</v>
      </c>
      <c r="AB1" s="10" t="s">
        <v>16</v>
      </c>
      <c r="AC1" s="10" t="s">
        <v>17</v>
      </c>
      <c r="AD1" s="10" t="s">
        <v>18</v>
      </c>
      <c r="AE1" s="10" t="s">
        <v>19</v>
      </c>
      <c r="AF1" s="10" t="s">
        <v>20</v>
      </c>
      <c r="AG1" s="10" t="s">
        <v>21</v>
      </c>
      <c r="AH1" s="10" t="s">
        <v>22</v>
      </c>
      <c r="AI1" s="10" t="s">
        <v>23</v>
      </c>
      <c r="AJ1" s="10" t="s">
        <v>24</v>
      </c>
      <c r="AK1" s="10" t="s">
        <v>25</v>
      </c>
      <c r="AL1" s="10" t="s">
        <v>26</v>
      </c>
      <c r="AM1" s="10" t="s">
        <v>27</v>
      </c>
      <c r="AN1" s="10" t="s">
        <v>28</v>
      </c>
      <c r="AO1" s="10" t="s">
        <v>29</v>
      </c>
      <c r="AP1" s="10" t="s">
        <v>30</v>
      </c>
      <c r="AQ1" s="10" t="s">
        <v>31</v>
      </c>
      <c r="AR1" s="15" t="s">
        <v>44</v>
      </c>
      <c r="AS1" s="10" t="s">
        <v>45</v>
      </c>
      <c r="AT1" t="s">
        <v>285</v>
      </c>
      <c r="AU1" s="11" t="s">
        <v>1</v>
      </c>
      <c r="AV1" s="14" t="s">
        <v>2</v>
      </c>
      <c r="AW1" s="10" t="s">
        <v>3</v>
      </c>
      <c r="AX1" s="10" t="s">
        <v>4</v>
      </c>
      <c r="AY1" s="10" t="s">
        <v>5</v>
      </c>
      <c r="AZ1" s="10" t="s">
        <v>6</v>
      </c>
      <c r="BA1" t="s">
        <v>371</v>
      </c>
      <c r="BB1" t="s">
        <v>373</v>
      </c>
      <c r="BC1" t="s">
        <v>309</v>
      </c>
      <c r="BD1" s="16" t="s">
        <v>459</v>
      </c>
      <c r="BE1" s="10" t="s">
        <v>251</v>
      </c>
    </row>
    <row r="2" spans="1:57" ht="15.6" x14ac:dyDescent="0.3">
      <c r="A2" s="28" t="s">
        <v>67</v>
      </c>
      <c r="B2" s="29">
        <v>45664</v>
      </c>
      <c r="C2" s="28">
        <v>2025</v>
      </c>
      <c r="D2" s="28" t="s">
        <v>64</v>
      </c>
      <c r="E2" s="30">
        <v>1</v>
      </c>
      <c r="F2" s="30">
        <v>2</v>
      </c>
      <c r="G2" s="30">
        <v>2</v>
      </c>
      <c r="H2" s="28" t="s">
        <v>79</v>
      </c>
      <c r="I2" s="31">
        <v>7</v>
      </c>
      <c r="J2" s="30">
        <v>7</v>
      </c>
      <c r="K2" s="32">
        <v>0.58333333333333337</v>
      </c>
      <c r="L2" s="35">
        <v>0.58333333333333337</v>
      </c>
      <c r="M2" t="s">
        <v>68</v>
      </c>
      <c r="N2" s="28" t="s">
        <v>68</v>
      </c>
      <c r="O2" s="28" t="s">
        <v>69</v>
      </c>
      <c r="P2" s="28" t="s">
        <v>49</v>
      </c>
      <c r="Q2" s="28" t="s">
        <v>78</v>
      </c>
      <c r="R2" t="s">
        <v>294</v>
      </c>
      <c r="S2" t="s">
        <v>269</v>
      </c>
      <c r="T2" s="28" t="s">
        <v>70</v>
      </c>
      <c r="U2" s="28" t="s">
        <v>71</v>
      </c>
      <c r="V2" s="28">
        <v>7</v>
      </c>
      <c r="W2" s="28" t="s">
        <v>72</v>
      </c>
      <c r="X2" s="28"/>
      <c r="Y2" s="28"/>
      <c r="AB2" s="28"/>
      <c r="AC2" s="28"/>
      <c r="AD2" s="28"/>
      <c r="AE2" s="28"/>
      <c r="AF2" s="28"/>
      <c r="AG2" s="28"/>
      <c r="AH2" s="28"/>
      <c r="AI2" s="28"/>
      <c r="AJ2" s="28" t="s">
        <v>73</v>
      </c>
      <c r="AK2" s="28" t="s">
        <v>58</v>
      </c>
      <c r="AL2" s="28" t="s">
        <v>74</v>
      </c>
      <c r="AM2" s="28" t="s">
        <v>75</v>
      </c>
      <c r="AN2" s="28" t="s">
        <v>76</v>
      </c>
      <c r="AO2" s="28" t="s">
        <v>62</v>
      </c>
      <c r="AP2" s="28" t="s">
        <v>77</v>
      </c>
      <c r="AQ2" s="28">
        <v>9</v>
      </c>
      <c r="AR2" s="33">
        <v>45664.583333333336</v>
      </c>
      <c r="AS2" s="28" t="s">
        <v>72</v>
      </c>
      <c r="AT2">
        <v>135</v>
      </c>
      <c r="AU2" s="29">
        <v>45664</v>
      </c>
      <c r="AV2" s="32">
        <v>0.58333333333333337</v>
      </c>
      <c r="AW2" s="34"/>
      <c r="AX2" s="35"/>
      <c r="AY2" s="34">
        <v>45667</v>
      </c>
      <c r="AZ2" s="35">
        <v>0.59781249999999997</v>
      </c>
      <c r="BA2" t="s">
        <v>372</v>
      </c>
      <c r="BB2" t="s">
        <v>375</v>
      </c>
      <c r="BC2" t="s">
        <v>386</v>
      </c>
      <c r="BD2" s="16">
        <v>45664</v>
      </c>
      <c r="BE2" s="28" t="s">
        <v>252</v>
      </c>
    </row>
    <row r="3" spans="1:57" ht="15.6" x14ac:dyDescent="0.3">
      <c r="A3" s="28" t="s">
        <v>156</v>
      </c>
      <c r="B3" s="29">
        <v>45680</v>
      </c>
      <c r="C3" s="28">
        <v>2025</v>
      </c>
      <c r="D3" s="28" t="s">
        <v>64</v>
      </c>
      <c r="E3" s="30">
        <v>1</v>
      </c>
      <c r="F3" s="30">
        <v>4</v>
      </c>
      <c r="G3" s="30">
        <v>4</v>
      </c>
      <c r="H3" s="28" t="s">
        <v>131</v>
      </c>
      <c r="I3" s="31">
        <v>23</v>
      </c>
      <c r="J3" s="30">
        <v>23</v>
      </c>
      <c r="K3" s="32">
        <v>0.625</v>
      </c>
      <c r="L3" s="35">
        <v>0.625</v>
      </c>
      <c r="M3" t="s">
        <v>157</v>
      </c>
      <c r="N3" s="28" t="s">
        <v>157</v>
      </c>
      <c r="O3" s="28" t="s">
        <v>69</v>
      </c>
      <c r="P3" s="28" t="s">
        <v>49</v>
      </c>
      <c r="Q3" s="28" t="s">
        <v>163</v>
      </c>
      <c r="R3" t="s">
        <v>307</v>
      </c>
      <c r="S3" t="s">
        <v>274</v>
      </c>
      <c r="T3" s="28" t="s">
        <v>158</v>
      </c>
      <c r="U3" s="28" t="s">
        <v>97</v>
      </c>
      <c r="V3" s="28">
        <v>8</v>
      </c>
      <c r="W3" s="28" t="s">
        <v>159</v>
      </c>
      <c r="X3" s="28"/>
      <c r="Y3" s="28"/>
      <c r="AB3" s="28"/>
      <c r="AC3" s="28"/>
      <c r="AD3" s="28"/>
      <c r="AE3" s="28"/>
      <c r="AF3" s="28"/>
      <c r="AG3" s="28"/>
      <c r="AH3" s="28"/>
      <c r="AI3" s="28"/>
      <c r="AJ3" s="28" t="s">
        <v>160</v>
      </c>
      <c r="AK3" s="28" t="s">
        <v>58</v>
      </c>
      <c r="AL3" s="28" t="s">
        <v>101</v>
      </c>
      <c r="AM3" s="28" t="s">
        <v>161</v>
      </c>
      <c r="AN3" s="28" t="s">
        <v>76</v>
      </c>
      <c r="AO3" s="28" t="s">
        <v>162</v>
      </c>
      <c r="AP3" s="28"/>
      <c r="AQ3" s="28">
        <v>9</v>
      </c>
      <c r="AR3" s="33">
        <v>45680.625</v>
      </c>
      <c r="AS3" s="28" t="s">
        <v>159</v>
      </c>
      <c r="AT3">
        <v>176</v>
      </c>
      <c r="AU3" s="29">
        <v>45680</v>
      </c>
      <c r="AV3" s="32">
        <v>0.625</v>
      </c>
      <c r="AW3" s="34"/>
      <c r="AX3" s="35"/>
      <c r="AY3" s="34">
        <v>45680</v>
      </c>
      <c r="AZ3" s="35">
        <v>0.66545138888888888</v>
      </c>
      <c r="BA3" t="s">
        <v>372</v>
      </c>
      <c r="BB3" t="s">
        <v>375</v>
      </c>
      <c r="BC3" t="s">
        <v>381</v>
      </c>
      <c r="BD3" s="16">
        <v>45685</v>
      </c>
      <c r="BE3" s="28" t="s">
        <v>252</v>
      </c>
    </row>
  </sheetData>
  <phoneticPr fontId="7" type="noConversion"/>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34DDB-78F6-4E97-AE3A-FEBE162CDE10}">
  <sheetPr codeName="Sheet6">
    <tabColor theme="9" tint="-0.249977111117893"/>
  </sheetPr>
  <dimension ref="A1:BD10"/>
  <sheetViews>
    <sheetView topLeftCell="AW1" zoomScale="85" zoomScaleNormal="85" workbookViewId="0">
      <selection activeCell="BD1" sqref="BD1:BD1048576"/>
    </sheetView>
  </sheetViews>
  <sheetFormatPr defaultColWidth="9.109375" defaultRowHeight="14.4" x14ac:dyDescent="0.3"/>
  <cols>
    <col min="1" max="1" width="21.109375" style="4" bestFit="1" customWidth="1"/>
    <col min="2" max="2" width="16" style="4" bestFit="1" customWidth="1"/>
    <col min="3" max="3" width="9.6640625" style="4" bestFit="1" customWidth="1"/>
    <col min="4" max="4" width="20" style="4" bestFit="1" customWidth="1"/>
    <col min="5" max="5" width="13.6640625" style="4" bestFit="1" customWidth="1"/>
    <col min="6" max="6" width="20.33203125" style="4" bestFit="1" customWidth="1"/>
    <col min="7" max="7" width="22.6640625" style="4" bestFit="1" customWidth="1"/>
    <col min="8" max="8" width="17" style="4" bestFit="1" customWidth="1"/>
    <col min="9" max="9" width="18" style="4" bestFit="1" customWidth="1"/>
    <col min="10" max="10" width="8.88671875" style="4" bestFit="1" customWidth="1"/>
    <col min="11" max="11" width="20" style="4" bestFit="1" customWidth="1"/>
    <col min="12" max="12" width="16" style="4" bestFit="1" customWidth="1"/>
    <col min="13" max="13" width="20.109375" style="4" bestFit="1" customWidth="1"/>
    <col min="14" max="14" width="26.44140625" style="4" bestFit="1" customWidth="1"/>
    <col min="15" max="16" width="23.5546875" style="4" bestFit="1" customWidth="1"/>
    <col min="17" max="17" width="63.33203125" style="4" bestFit="1" customWidth="1"/>
    <col min="18" max="18" width="23.6640625" style="4" bestFit="1" customWidth="1"/>
    <col min="19" max="19" width="38.33203125" style="4" bestFit="1" customWidth="1"/>
    <col min="20" max="20" width="67.6640625" style="4" bestFit="1" customWidth="1"/>
    <col min="21" max="21" width="9.33203125" style="4" bestFit="1" customWidth="1"/>
    <col min="22" max="22" width="10.33203125" style="4" bestFit="1" customWidth="1"/>
    <col min="23" max="23" width="81.109375" style="4" bestFit="1" customWidth="1"/>
    <col min="24" max="24" width="27" style="4" bestFit="1" customWidth="1"/>
    <col min="25" max="25" width="29.33203125" style="4" bestFit="1" customWidth="1"/>
    <col min="26" max="26" width="21.6640625" style="4" bestFit="1" customWidth="1"/>
    <col min="27" max="27" width="11.6640625" style="4" bestFit="1" customWidth="1"/>
    <col min="28" max="28" width="21.33203125" style="4" bestFit="1" customWidth="1"/>
    <col min="29" max="29" width="12.44140625" style="4" bestFit="1" customWidth="1"/>
    <col min="30" max="30" width="13.33203125" style="4" bestFit="1" customWidth="1"/>
    <col min="31" max="31" width="18.109375" style="4" bestFit="1" customWidth="1"/>
    <col min="32" max="32" width="21.33203125" style="4" bestFit="1" customWidth="1"/>
    <col min="33" max="33" width="18.109375" style="4" bestFit="1" customWidth="1"/>
    <col min="34" max="34" width="12.44140625" style="4" bestFit="1" customWidth="1"/>
    <col min="35" max="35" width="13.33203125" style="4" bestFit="1" customWidth="1"/>
    <col min="36" max="36" width="19.5546875" style="4" bestFit="1" customWidth="1"/>
    <col min="37" max="37" width="22.33203125" style="4" bestFit="1" customWidth="1"/>
    <col min="38" max="38" width="28.6640625" style="4" bestFit="1" customWidth="1"/>
    <col min="39" max="39" width="11.88671875" style="4" bestFit="1" customWidth="1"/>
    <col min="40" max="40" width="29.33203125" style="4" bestFit="1" customWidth="1"/>
    <col min="41" max="41" width="33.109375" style="4" bestFit="1" customWidth="1"/>
    <col min="42" max="42" width="37" style="4" bestFit="1" customWidth="1"/>
    <col min="43" max="43" width="19.33203125" style="4" bestFit="1" customWidth="1"/>
    <col min="44" max="44" width="29.44140625" style="4" bestFit="1" customWidth="1"/>
    <col min="45" max="45" width="81.109375" style="4" bestFit="1" customWidth="1"/>
    <col min="46" max="46" width="22.6640625" style="4" bestFit="1" customWidth="1"/>
    <col min="47" max="48" width="21" style="4" bestFit="1" customWidth="1"/>
    <col min="49" max="49" width="33.44140625" style="4" bestFit="1" customWidth="1"/>
    <col min="50" max="50" width="33.5546875" style="4" bestFit="1" customWidth="1"/>
    <col min="51" max="52" width="19" style="4" bestFit="1" customWidth="1"/>
    <col min="53" max="53" width="10.6640625" style="4" bestFit="1" customWidth="1"/>
    <col min="54" max="54" width="27.88671875" style="4" bestFit="1" customWidth="1"/>
    <col min="55" max="55" width="8.6640625" style="4" bestFit="1" customWidth="1"/>
    <col min="56" max="56" width="13.109375" style="46" bestFit="1" customWidth="1"/>
    <col min="57" max="57" width="14.44140625" style="4" bestFit="1" customWidth="1"/>
    <col min="58" max="16384" width="9.109375" style="4"/>
  </cols>
  <sheetData>
    <row r="1" spans="1:56" ht="18" x14ac:dyDescent="0.35">
      <c r="A1" s="10" t="s">
        <v>0</v>
      </c>
      <c r="B1" s="11" t="s">
        <v>33</v>
      </c>
      <c r="C1" s="10" t="s">
        <v>34</v>
      </c>
      <c r="D1" s="10" t="s">
        <v>35</v>
      </c>
      <c r="E1" s="12" t="s">
        <v>36</v>
      </c>
      <c r="F1" s="12" t="s">
        <v>37</v>
      </c>
      <c r="G1" s="12" t="s">
        <v>38</v>
      </c>
      <c r="H1" s="10" t="s">
        <v>39</v>
      </c>
      <c r="I1" s="13" t="s">
        <v>40</v>
      </c>
      <c r="J1" s="12" t="s">
        <v>41</v>
      </c>
      <c r="K1" s="14" t="s">
        <v>43</v>
      </c>
      <c r="L1" s="14" t="s">
        <v>42</v>
      </c>
      <c r="M1" t="s">
        <v>308</v>
      </c>
      <c r="N1" s="10" t="s">
        <v>7</v>
      </c>
      <c r="O1" s="10" t="s">
        <v>8</v>
      </c>
      <c r="P1" s="10" t="s">
        <v>9</v>
      </c>
      <c r="Q1" s="10" t="s">
        <v>32</v>
      </c>
      <c r="R1" t="s">
        <v>286</v>
      </c>
      <c r="S1" t="s">
        <v>261</v>
      </c>
      <c r="T1" s="10" t="s">
        <v>10</v>
      </c>
      <c r="U1" s="10" t="s">
        <v>11</v>
      </c>
      <c r="V1" s="10" t="s">
        <v>12</v>
      </c>
      <c r="W1" s="10" t="s">
        <v>13</v>
      </c>
      <c r="X1" s="10" t="s">
        <v>14</v>
      </c>
      <c r="Y1" s="10" t="s">
        <v>15</v>
      </c>
      <c r="Z1" t="s">
        <v>314</v>
      </c>
      <c r="AA1" t="s">
        <v>315</v>
      </c>
      <c r="AB1" s="10" t="s">
        <v>16</v>
      </c>
      <c r="AC1" s="10" t="s">
        <v>17</v>
      </c>
      <c r="AD1" s="10" t="s">
        <v>18</v>
      </c>
      <c r="AE1" s="10" t="s">
        <v>19</v>
      </c>
      <c r="AF1" s="10" t="s">
        <v>20</v>
      </c>
      <c r="AG1" s="10" t="s">
        <v>21</v>
      </c>
      <c r="AH1" s="10" t="s">
        <v>22</v>
      </c>
      <c r="AI1" s="10" t="s">
        <v>23</v>
      </c>
      <c r="AJ1" s="10" t="s">
        <v>24</v>
      </c>
      <c r="AK1" s="10" t="s">
        <v>25</v>
      </c>
      <c r="AL1" s="10" t="s">
        <v>26</v>
      </c>
      <c r="AM1" s="10" t="s">
        <v>27</v>
      </c>
      <c r="AN1" s="10" t="s">
        <v>28</v>
      </c>
      <c r="AO1" s="10" t="s">
        <v>29</v>
      </c>
      <c r="AP1" s="10" t="s">
        <v>30</v>
      </c>
      <c r="AQ1" s="10" t="s">
        <v>31</v>
      </c>
      <c r="AR1" s="15" t="s">
        <v>44</v>
      </c>
      <c r="AS1" s="10" t="s">
        <v>45</v>
      </c>
      <c r="AT1" t="s">
        <v>285</v>
      </c>
      <c r="AU1" s="11" t="s">
        <v>1</v>
      </c>
      <c r="AV1" s="14" t="s">
        <v>2</v>
      </c>
      <c r="AW1" s="10" t="s">
        <v>3</v>
      </c>
      <c r="AX1" s="10" t="s">
        <v>4</v>
      </c>
      <c r="AY1" s="10" t="s">
        <v>5</v>
      </c>
      <c r="AZ1" s="10" t="s">
        <v>6</v>
      </c>
      <c r="BA1" t="s">
        <v>371</v>
      </c>
      <c r="BB1" t="s">
        <v>373</v>
      </c>
      <c r="BC1" t="s">
        <v>309</v>
      </c>
      <c r="BD1" s="16" t="s">
        <v>459</v>
      </c>
    </row>
    <row r="2" spans="1:56" ht="15.6" x14ac:dyDescent="0.3">
      <c r="A2" s="28" t="s">
        <v>343</v>
      </c>
      <c r="B2" s="29">
        <v>45673</v>
      </c>
      <c r="C2" s="28">
        <v>2025</v>
      </c>
      <c r="D2" s="28" t="s">
        <v>64</v>
      </c>
      <c r="E2" s="30">
        <v>1</v>
      </c>
      <c r="F2" s="30">
        <v>3</v>
      </c>
      <c r="G2" s="30">
        <v>3</v>
      </c>
      <c r="H2" s="28" t="s">
        <v>131</v>
      </c>
      <c r="I2" s="31">
        <v>16</v>
      </c>
      <c r="J2" s="30">
        <v>16</v>
      </c>
      <c r="K2" s="32">
        <v>0.83333333333333337</v>
      </c>
      <c r="L2" s="35">
        <v>0.83333333333333337</v>
      </c>
      <c r="M2" t="s">
        <v>126</v>
      </c>
      <c r="N2" s="28" t="s">
        <v>344</v>
      </c>
      <c r="O2" s="28" t="s">
        <v>126</v>
      </c>
      <c r="P2" s="28" t="s">
        <v>333</v>
      </c>
      <c r="Q2" s="28" t="s">
        <v>345</v>
      </c>
      <c r="R2" t="s">
        <v>346</v>
      </c>
      <c r="S2" t="s">
        <v>347</v>
      </c>
      <c r="T2" s="28" t="s">
        <v>348</v>
      </c>
      <c r="U2" s="28" t="s">
        <v>239</v>
      </c>
      <c r="V2" s="28">
        <v>5</v>
      </c>
      <c r="W2" s="28" t="s">
        <v>349</v>
      </c>
      <c r="X2" s="28"/>
      <c r="Y2" s="28"/>
      <c r="Z2"/>
      <c r="AA2"/>
      <c r="AB2" s="28"/>
      <c r="AC2" s="28"/>
      <c r="AD2" s="28"/>
      <c r="AE2" s="28"/>
      <c r="AF2" s="28"/>
      <c r="AG2" s="28"/>
      <c r="AH2" s="28"/>
      <c r="AI2" s="28"/>
      <c r="AJ2" s="28" t="s">
        <v>168</v>
      </c>
      <c r="AK2" s="28" t="s">
        <v>58</v>
      </c>
      <c r="AL2" s="28" t="s">
        <v>250</v>
      </c>
      <c r="AM2" s="28" t="s">
        <v>60</v>
      </c>
      <c r="AN2" s="28"/>
      <c r="AO2" s="28"/>
      <c r="AP2" s="28" t="s">
        <v>130</v>
      </c>
      <c r="AQ2" s="28">
        <v>9</v>
      </c>
      <c r="AR2" s="33">
        <v>45673.833333333336</v>
      </c>
      <c r="AS2" s="28" t="s">
        <v>349</v>
      </c>
      <c r="AT2">
        <v>152</v>
      </c>
      <c r="AU2" s="29">
        <v>45673</v>
      </c>
      <c r="AV2" s="32">
        <v>0.83333333333333337</v>
      </c>
      <c r="AW2" s="34"/>
      <c r="AX2" s="35"/>
      <c r="AY2" s="34">
        <v>45673</v>
      </c>
      <c r="AZ2" s="35">
        <v>9.0057870370370371E-2</v>
      </c>
      <c r="BA2" t="s">
        <v>372</v>
      </c>
      <c r="BB2" t="s">
        <v>376</v>
      </c>
      <c r="BC2" t="s">
        <v>380</v>
      </c>
      <c r="BD2" s="16">
        <v>45678</v>
      </c>
    </row>
    <row r="3" spans="1:56" ht="15.6" x14ac:dyDescent="0.3">
      <c r="A3" s="28" t="s">
        <v>148</v>
      </c>
      <c r="B3" s="29">
        <v>45679</v>
      </c>
      <c r="C3" s="28">
        <v>2025</v>
      </c>
      <c r="D3" s="28" t="s">
        <v>64</v>
      </c>
      <c r="E3" s="30">
        <v>1</v>
      </c>
      <c r="F3" s="30">
        <v>4</v>
      </c>
      <c r="G3" s="30">
        <v>4</v>
      </c>
      <c r="H3" s="28" t="s">
        <v>124</v>
      </c>
      <c r="I3" s="31">
        <v>22</v>
      </c>
      <c r="J3" s="30">
        <v>22</v>
      </c>
      <c r="K3" s="32">
        <v>0.33333333333333331</v>
      </c>
      <c r="L3" s="35">
        <v>0.33333333333333331</v>
      </c>
      <c r="M3" t="s">
        <v>48</v>
      </c>
      <c r="N3" s="28" t="s">
        <v>48</v>
      </c>
      <c r="O3" s="28" t="s">
        <v>49</v>
      </c>
      <c r="P3" s="28" t="s">
        <v>49</v>
      </c>
      <c r="Q3" s="28" t="s">
        <v>48</v>
      </c>
      <c r="R3" t="s">
        <v>301</v>
      </c>
      <c r="S3" t="s">
        <v>262</v>
      </c>
      <c r="T3" s="28" t="s">
        <v>149</v>
      </c>
      <c r="U3" s="28" t="s">
        <v>150</v>
      </c>
      <c r="V3" s="28">
        <v>5</v>
      </c>
      <c r="W3" s="28" t="s">
        <v>151</v>
      </c>
      <c r="X3" s="28"/>
      <c r="Y3" s="28"/>
      <c r="Z3" t="s">
        <v>324</v>
      </c>
      <c r="AA3"/>
      <c r="AB3" s="28" t="s">
        <v>152</v>
      </c>
      <c r="AC3" s="28" t="s">
        <v>153</v>
      </c>
      <c r="AD3" s="28" t="s">
        <v>154</v>
      </c>
      <c r="AE3" s="28" t="s">
        <v>56</v>
      </c>
      <c r="AF3" s="28"/>
      <c r="AG3" s="28"/>
      <c r="AH3" s="28"/>
      <c r="AI3" s="28"/>
      <c r="AJ3" s="28" t="s">
        <v>114</v>
      </c>
      <c r="AK3" s="28" t="s">
        <v>58</v>
      </c>
      <c r="AL3" s="28" t="s">
        <v>147</v>
      </c>
      <c r="AM3" s="28" t="s">
        <v>60</v>
      </c>
      <c r="AN3" s="28" t="s">
        <v>155</v>
      </c>
      <c r="AO3" s="28" t="s">
        <v>62</v>
      </c>
      <c r="AP3" s="28" t="s">
        <v>63</v>
      </c>
      <c r="AQ3" s="28">
        <v>9</v>
      </c>
      <c r="AR3" s="33">
        <v>45679.333333333336</v>
      </c>
      <c r="AS3" s="28" t="s">
        <v>151</v>
      </c>
      <c r="AT3">
        <v>443</v>
      </c>
      <c r="AU3" s="29">
        <v>45679</v>
      </c>
      <c r="AV3" s="32">
        <v>0.33333333333333331</v>
      </c>
      <c r="AW3" s="34">
        <v>45679</v>
      </c>
      <c r="AX3" s="35">
        <v>0.80069444444444449</v>
      </c>
      <c r="AY3" s="34">
        <v>45679</v>
      </c>
      <c r="AZ3" s="35">
        <v>0.80203703703703699</v>
      </c>
      <c r="BA3" t="s">
        <v>372</v>
      </c>
      <c r="BB3" t="s">
        <v>374</v>
      </c>
      <c r="BC3" t="s">
        <v>381</v>
      </c>
      <c r="BD3" s="16">
        <v>45685</v>
      </c>
    </row>
    <row r="4" spans="1:56" ht="15.6" x14ac:dyDescent="0.3">
      <c r="A4" s="28" t="s">
        <v>164</v>
      </c>
      <c r="B4" s="29">
        <v>45682</v>
      </c>
      <c r="C4" s="28">
        <v>2025</v>
      </c>
      <c r="D4" s="28" t="s">
        <v>64</v>
      </c>
      <c r="E4" s="30">
        <v>1</v>
      </c>
      <c r="F4" s="30">
        <v>4</v>
      </c>
      <c r="G4" s="30">
        <v>4</v>
      </c>
      <c r="H4" s="28" t="s">
        <v>170</v>
      </c>
      <c r="I4" s="31">
        <v>25</v>
      </c>
      <c r="J4" s="30">
        <v>25</v>
      </c>
      <c r="K4" s="32">
        <v>0.45833333333333331</v>
      </c>
      <c r="L4" s="35">
        <v>0.45833333333333331</v>
      </c>
      <c r="M4" t="s">
        <v>126</v>
      </c>
      <c r="N4" s="28" t="s">
        <v>126</v>
      </c>
      <c r="O4" s="28" t="s">
        <v>49</v>
      </c>
      <c r="P4" s="28" t="s">
        <v>49</v>
      </c>
      <c r="Q4" s="28" t="s">
        <v>126</v>
      </c>
      <c r="R4" t="s">
        <v>288</v>
      </c>
      <c r="S4" t="s">
        <v>263</v>
      </c>
      <c r="T4" s="28" t="s">
        <v>165</v>
      </c>
      <c r="U4" s="28" t="s">
        <v>166</v>
      </c>
      <c r="V4" s="28">
        <v>5</v>
      </c>
      <c r="W4" s="28" t="s">
        <v>167</v>
      </c>
      <c r="X4" s="28"/>
      <c r="Y4" s="28"/>
      <c r="Z4"/>
      <c r="AA4"/>
      <c r="AB4" s="28"/>
      <c r="AC4" s="28"/>
      <c r="AD4" s="28"/>
      <c r="AE4" s="28"/>
      <c r="AF4" s="28"/>
      <c r="AG4" s="28"/>
      <c r="AH4" s="28"/>
      <c r="AI4" s="28"/>
      <c r="AJ4" s="28" t="s">
        <v>168</v>
      </c>
      <c r="AK4" s="28" t="s">
        <v>58</v>
      </c>
      <c r="AL4" s="28" t="s">
        <v>169</v>
      </c>
      <c r="AM4" s="28" t="s">
        <v>139</v>
      </c>
      <c r="AN4" s="28" t="s">
        <v>89</v>
      </c>
      <c r="AO4" s="28" t="s">
        <v>102</v>
      </c>
      <c r="AP4" s="28" t="s">
        <v>130</v>
      </c>
      <c r="AQ4" s="28">
        <v>9</v>
      </c>
      <c r="AR4" s="33">
        <v>45682.458333333336</v>
      </c>
      <c r="AS4" s="28" t="s">
        <v>167</v>
      </c>
      <c r="AT4">
        <v>60</v>
      </c>
      <c r="AU4" s="29">
        <v>45682</v>
      </c>
      <c r="AV4" s="32">
        <v>0.45833333333333331</v>
      </c>
      <c r="AW4" s="34">
        <v>45682</v>
      </c>
      <c r="AX4" s="35">
        <v>0.58333333333333337</v>
      </c>
      <c r="AY4" s="34">
        <v>45682</v>
      </c>
      <c r="AZ4" s="35">
        <v>0.58054398148148145</v>
      </c>
      <c r="BA4" t="s">
        <v>372</v>
      </c>
      <c r="BB4" t="s">
        <v>374</v>
      </c>
      <c r="BC4" t="s">
        <v>381</v>
      </c>
      <c r="BD4" s="16">
        <v>45685</v>
      </c>
    </row>
    <row r="5" spans="1:56" ht="15.6" x14ac:dyDescent="0.3">
      <c r="A5" s="28" t="s">
        <v>189</v>
      </c>
      <c r="B5" s="29">
        <v>45685</v>
      </c>
      <c r="C5" s="28">
        <v>2025</v>
      </c>
      <c r="D5" s="28" t="s">
        <v>64</v>
      </c>
      <c r="E5" s="30">
        <v>1</v>
      </c>
      <c r="F5" s="30">
        <v>5</v>
      </c>
      <c r="G5" s="30">
        <v>5</v>
      </c>
      <c r="H5" s="28" t="s">
        <v>79</v>
      </c>
      <c r="I5" s="31">
        <v>28</v>
      </c>
      <c r="J5" s="30">
        <v>28</v>
      </c>
      <c r="K5" s="32">
        <v>0.625</v>
      </c>
      <c r="L5" s="35">
        <v>0.625</v>
      </c>
      <c r="M5" t="s">
        <v>48</v>
      </c>
      <c r="N5" s="28" t="s">
        <v>48</v>
      </c>
      <c r="O5" s="28" t="s">
        <v>172</v>
      </c>
      <c r="P5" s="28" t="s">
        <v>49</v>
      </c>
      <c r="Q5" s="28" t="s">
        <v>197</v>
      </c>
      <c r="R5" t="s">
        <v>302</v>
      </c>
      <c r="S5" t="s">
        <v>264</v>
      </c>
      <c r="T5" s="28" t="s">
        <v>190</v>
      </c>
      <c r="U5" s="28" t="s">
        <v>191</v>
      </c>
      <c r="V5" s="28">
        <v>6</v>
      </c>
      <c r="W5" s="28" t="s">
        <v>192</v>
      </c>
      <c r="X5" s="28"/>
      <c r="Y5" s="28"/>
      <c r="Z5" t="s">
        <v>325</v>
      </c>
      <c r="AA5"/>
      <c r="AB5" s="28" t="s">
        <v>193</v>
      </c>
      <c r="AC5" s="28" t="s">
        <v>194</v>
      </c>
      <c r="AD5" s="28" t="s">
        <v>195</v>
      </c>
      <c r="AE5" s="28" t="s">
        <v>56</v>
      </c>
      <c r="AF5" s="28"/>
      <c r="AG5" s="28"/>
      <c r="AH5" s="28"/>
      <c r="AI5" s="28"/>
      <c r="AJ5" s="28" t="s">
        <v>114</v>
      </c>
      <c r="AK5" s="28" t="s">
        <v>58</v>
      </c>
      <c r="AL5" s="28" t="s">
        <v>147</v>
      </c>
      <c r="AM5" s="28" t="s">
        <v>60</v>
      </c>
      <c r="AN5" s="28" t="s">
        <v>89</v>
      </c>
      <c r="AO5" s="28" t="s">
        <v>196</v>
      </c>
      <c r="AP5" s="28" t="s">
        <v>63</v>
      </c>
      <c r="AQ5" s="28">
        <v>9</v>
      </c>
      <c r="AR5" s="33">
        <v>45685.625</v>
      </c>
      <c r="AS5" s="28" t="s">
        <v>192</v>
      </c>
      <c r="AT5">
        <v>119</v>
      </c>
      <c r="AU5" s="29">
        <v>45685</v>
      </c>
      <c r="AV5" s="32">
        <v>0.625</v>
      </c>
      <c r="AW5" s="34">
        <v>45686</v>
      </c>
      <c r="AX5" s="35">
        <v>0.91736111111111107</v>
      </c>
      <c r="AY5" s="34">
        <v>45686</v>
      </c>
      <c r="AZ5" s="35">
        <v>0.91833333333333333</v>
      </c>
      <c r="BA5" t="s">
        <v>372</v>
      </c>
      <c r="BB5" t="s">
        <v>375</v>
      </c>
      <c r="BC5" t="s">
        <v>382</v>
      </c>
      <c r="BD5" s="16">
        <v>45685</v>
      </c>
    </row>
    <row r="6" spans="1:56" ht="15.6" x14ac:dyDescent="0.3">
      <c r="A6" s="28" t="s">
        <v>246</v>
      </c>
      <c r="B6" s="29">
        <v>45688</v>
      </c>
      <c r="C6" s="28">
        <v>2025</v>
      </c>
      <c r="D6" s="28" t="s">
        <v>64</v>
      </c>
      <c r="E6" s="30">
        <v>1</v>
      </c>
      <c r="F6" s="30">
        <v>5</v>
      </c>
      <c r="G6" s="30">
        <v>5</v>
      </c>
      <c r="H6" s="28" t="s">
        <v>65</v>
      </c>
      <c r="I6" s="31">
        <v>31</v>
      </c>
      <c r="J6" s="30">
        <v>31</v>
      </c>
      <c r="K6" s="32">
        <v>0.5</v>
      </c>
      <c r="L6" s="35">
        <v>0.5</v>
      </c>
      <c r="M6" t="s">
        <v>48</v>
      </c>
      <c r="N6" s="28" t="s">
        <v>48</v>
      </c>
      <c r="O6" s="28" t="s">
        <v>49</v>
      </c>
      <c r="P6" s="28" t="s">
        <v>49</v>
      </c>
      <c r="Q6" s="28" t="s">
        <v>48</v>
      </c>
      <c r="R6" t="s">
        <v>306</v>
      </c>
      <c r="S6" t="s">
        <v>268</v>
      </c>
      <c r="T6" s="28" t="s">
        <v>247</v>
      </c>
      <c r="U6" s="28" t="s">
        <v>150</v>
      </c>
      <c r="V6" s="28">
        <v>5</v>
      </c>
      <c r="W6" s="28" t="s">
        <v>248</v>
      </c>
      <c r="X6" s="28"/>
      <c r="Y6" s="28"/>
      <c r="Z6" t="s">
        <v>329</v>
      </c>
      <c r="AA6"/>
      <c r="AB6" s="28" t="s">
        <v>249</v>
      </c>
      <c r="AC6" s="28"/>
      <c r="AD6" s="28" t="s">
        <v>122</v>
      </c>
      <c r="AE6" s="28" t="s">
        <v>56</v>
      </c>
      <c r="AF6" s="28"/>
      <c r="AG6" s="28"/>
      <c r="AH6" s="28"/>
      <c r="AI6" s="28"/>
      <c r="AJ6" s="28" t="s">
        <v>114</v>
      </c>
      <c r="AK6" s="28" t="s">
        <v>58</v>
      </c>
      <c r="AL6" s="28" t="s">
        <v>250</v>
      </c>
      <c r="AM6" s="28" t="s">
        <v>60</v>
      </c>
      <c r="AN6" s="28" t="s">
        <v>187</v>
      </c>
      <c r="AO6" s="28" t="s">
        <v>102</v>
      </c>
      <c r="AP6" s="28" t="s">
        <v>63</v>
      </c>
      <c r="AQ6" s="28">
        <v>9</v>
      </c>
      <c r="AR6" s="33">
        <v>45688.5</v>
      </c>
      <c r="AS6" s="28" t="s">
        <v>248</v>
      </c>
      <c r="AT6">
        <v>535</v>
      </c>
      <c r="AU6" s="29">
        <v>45688</v>
      </c>
      <c r="AV6" s="32">
        <v>0.5</v>
      </c>
      <c r="AW6" s="34">
        <v>45695</v>
      </c>
      <c r="AX6" s="35">
        <v>0.54166666666666663</v>
      </c>
      <c r="AY6" s="34">
        <v>45696</v>
      </c>
      <c r="AZ6" s="35">
        <v>0.3903240740740741</v>
      </c>
      <c r="BA6" t="s">
        <v>372</v>
      </c>
      <c r="BB6" t="s">
        <v>375</v>
      </c>
      <c r="BC6" t="s">
        <v>382</v>
      </c>
      <c r="BD6" s="16">
        <v>45692</v>
      </c>
    </row>
    <row r="7" spans="1:56" ht="15.6" x14ac:dyDescent="0.3">
      <c r="A7" s="28" t="s">
        <v>203</v>
      </c>
      <c r="B7" s="29">
        <v>45689</v>
      </c>
      <c r="C7" s="28">
        <v>2025</v>
      </c>
      <c r="D7" s="28" t="s">
        <v>210</v>
      </c>
      <c r="E7" s="30">
        <v>1</v>
      </c>
      <c r="F7" s="30">
        <v>5</v>
      </c>
      <c r="G7" s="30">
        <v>1</v>
      </c>
      <c r="H7" s="28" t="s">
        <v>170</v>
      </c>
      <c r="I7" s="31">
        <v>32</v>
      </c>
      <c r="J7" s="30">
        <v>1</v>
      </c>
      <c r="K7" s="32">
        <v>4.1666666666666664E-2</v>
      </c>
      <c r="L7" s="35">
        <v>4.1666666666666664E-2</v>
      </c>
      <c r="M7" t="s">
        <v>48</v>
      </c>
      <c r="N7" s="28" t="s">
        <v>48</v>
      </c>
      <c r="O7" s="28" t="s">
        <v>49</v>
      </c>
      <c r="P7" s="28" t="s">
        <v>49</v>
      </c>
      <c r="Q7" s="28" t="s">
        <v>48</v>
      </c>
      <c r="R7" t="s">
        <v>303</v>
      </c>
      <c r="S7" t="s">
        <v>265</v>
      </c>
      <c r="T7" s="28" t="s">
        <v>204</v>
      </c>
      <c r="U7" s="28" t="s">
        <v>205</v>
      </c>
      <c r="V7" s="28">
        <v>6</v>
      </c>
      <c r="W7" s="28" t="s">
        <v>206</v>
      </c>
      <c r="X7" s="28"/>
      <c r="Y7" s="28"/>
      <c r="Z7" t="s">
        <v>326</v>
      </c>
      <c r="AA7"/>
      <c r="AB7" s="28" t="s">
        <v>207</v>
      </c>
      <c r="AC7" s="28" t="s">
        <v>208</v>
      </c>
      <c r="AD7" s="28" t="s">
        <v>209</v>
      </c>
      <c r="AE7" s="28" t="s">
        <v>56</v>
      </c>
      <c r="AF7" s="28"/>
      <c r="AG7" s="28"/>
      <c r="AH7" s="28"/>
      <c r="AI7" s="28"/>
      <c r="AJ7" s="28" t="s">
        <v>114</v>
      </c>
      <c r="AK7" s="28" t="s">
        <v>58</v>
      </c>
      <c r="AL7" s="28" t="s">
        <v>147</v>
      </c>
      <c r="AM7" s="28" t="s">
        <v>60</v>
      </c>
      <c r="AN7" s="28" t="s">
        <v>155</v>
      </c>
      <c r="AO7" s="28" t="s">
        <v>62</v>
      </c>
      <c r="AP7" s="28" t="s">
        <v>63</v>
      </c>
      <c r="AQ7" s="28">
        <v>9</v>
      </c>
      <c r="AR7" s="33">
        <v>45689.041666666664</v>
      </c>
      <c r="AS7" s="28" t="s">
        <v>206</v>
      </c>
      <c r="AT7">
        <v>453</v>
      </c>
      <c r="AU7" s="29">
        <v>45689</v>
      </c>
      <c r="AV7" s="32">
        <v>4.1666666666666664E-2</v>
      </c>
      <c r="AW7" s="34"/>
      <c r="AX7" s="35">
        <v>0.10416666666666667</v>
      </c>
      <c r="AY7" s="34">
        <v>45689</v>
      </c>
      <c r="AZ7" s="35">
        <v>0.11982638888888889</v>
      </c>
      <c r="BA7" t="s">
        <v>372</v>
      </c>
      <c r="BB7" t="s">
        <v>377</v>
      </c>
      <c r="BC7" t="s">
        <v>382</v>
      </c>
      <c r="BD7" s="16">
        <v>45692</v>
      </c>
    </row>
    <row r="8" spans="1:56" ht="15.6" x14ac:dyDescent="0.3">
      <c r="A8" s="28" t="s">
        <v>211</v>
      </c>
      <c r="B8" s="29">
        <v>45690</v>
      </c>
      <c r="C8" s="28">
        <v>2025</v>
      </c>
      <c r="D8" s="28" t="s">
        <v>210</v>
      </c>
      <c r="E8" s="30">
        <v>1</v>
      </c>
      <c r="F8" s="30">
        <v>6</v>
      </c>
      <c r="G8" s="30">
        <v>2</v>
      </c>
      <c r="H8" s="28" t="s">
        <v>188</v>
      </c>
      <c r="I8" s="31">
        <v>33</v>
      </c>
      <c r="J8" s="30">
        <v>2</v>
      </c>
      <c r="K8" s="32">
        <v>0.70833333333333337</v>
      </c>
      <c r="L8" s="35">
        <v>0.72569444444444442</v>
      </c>
      <c r="M8" t="s">
        <v>95</v>
      </c>
      <c r="N8" s="28" t="s">
        <v>212</v>
      </c>
      <c r="O8" s="28" t="s">
        <v>95</v>
      </c>
      <c r="P8" s="28" t="s">
        <v>49</v>
      </c>
      <c r="Q8" s="28" t="s">
        <v>216</v>
      </c>
      <c r="R8" t="s">
        <v>304</v>
      </c>
      <c r="S8" t="s">
        <v>266</v>
      </c>
      <c r="T8" s="28" t="s">
        <v>213</v>
      </c>
      <c r="U8" s="28" t="s">
        <v>166</v>
      </c>
      <c r="V8" s="28">
        <v>5</v>
      </c>
      <c r="W8" s="28" t="s">
        <v>214</v>
      </c>
      <c r="X8" s="28"/>
      <c r="Y8" s="28"/>
      <c r="Z8"/>
      <c r="AA8"/>
      <c r="AB8" s="28"/>
      <c r="AC8" s="28"/>
      <c r="AD8" s="28"/>
      <c r="AE8" s="28"/>
      <c r="AF8" s="28"/>
      <c r="AG8" s="28"/>
      <c r="AH8" s="28"/>
      <c r="AI8" s="28"/>
      <c r="AJ8" s="28" t="s">
        <v>86</v>
      </c>
      <c r="AK8" s="28" t="s">
        <v>58</v>
      </c>
      <c r="AL8" s="28" t="s">
        <v>186</v>
      </c>
      <c r="AM8" s="28" t="s">
        <v>88</v>
      </c>
      <c r="AN8" s="28" t="s">
        <v>215</v>
      </c>
      <c r="AO8" s="28" t="s">
        <v>178</v>
      </c>
      <c r="AP8" s="28"/>
      <c r="AQ8" s="28">
        <v>9</v>
      </c>
      <c r="AR8" s="33">
        <v>45690.725694444445</v>
      </c>
      <c r="AS8" s="28" t="s">
        <v>214</v>
      </c>
      <c r="AT8">
        <v>144</v>
      </c>
      <c r="AU8" s="29">
        <v>45690</v>
      </c>
      <c r="AV8" s="32">
        <v>0.72569444444444442</v>
      </c>
      <c r="AW8" s="34">
        <v>45690</v>
      </c>
      <c r="AX8" s="35">
        <v>0.75</v>
      </c>
      <c r="AY8" s="34">
        <v>45691</v>
      </c>
      <c r="AZ8" s="35">
        <v>0.50143518518518515</v>
      </c>
      <c r="BA8" t="s">
        <v>372</v>
      </c>
      <c r="BB8" t="s">
        <v>378</v>
      </c>
      <c r="BC8" t="s">
        <v>382</v>
      </c>
      <c r="BD8" s="16">
        <v>45692</v>
      </c>
    </row>
    <row r="9" spans="1:56" ht="15.6" x14ac:dyDescent="0.3">
      <c r="A9" s="28" t="s">
        <v>237</v>
      </c>
      <c r="B9" s="29">
        <v>45695</v>
      </c>
      <c r="C9" s="28">
        <v>2025</v>
      </c>
      <c r="D9" s="28" t="s">
        <v>210</v>
      </c>
      <c r="E9" s="30">
        <v>1</v>
      </c>
      <c r="F9" s="30">
        <v>6</v>
      </c>
      <c r="G9" s="30">
        <v>2</v>
      </c>
      <c r="H9" s="28" t="s">
        <v>65</v>
      </c>
      <c r="I9" s="31">
        <v>38</v>
      </c>
      <c r="J9" s="30">
        <v>7</v>
      </c>
      <c r="K9" s="32">
        <v>0.25</v>
      </c>
      <c r="L9" s="35">
        <v>0.27430555555555558</v>
      </c>
      <c r="M9" t="s">
        <v>48</v>
      </c>
      <c r="N9" s="28" t="s">
        <v>48</v>
      </c>
      <c r="O9" s="28" t="s">
        <v>49</v>
      </c>
      <c r="P9" s="28" t="s">
        <v>49</v>
      </c>
      <c r="Q9" s="28" t="s">
        <v>48</v>
      </c>
      <c r="R9" t="s">
        <v>304</v>
      </c>
      <c r="S9" t="s">
        <v>267</v>
      </c>
      <c r="T9" s="28" t="s">
        <v>238</v>
      </c>
      <c r="U9" s="28" t="s">
        <v>239</v>
      </c>
      <c r="V9" s="28">
        <v>5</v>
      </c>
      <c r="W9" s="28" t="s">
        <v>240</v>
      </c>
      <c r="X9" s="28"/>
      <c r="Y9" s="28"/>
      <c r="Z9" t="s">
        <v>328</v>
      </c>
      <c r="AA9"/>
      <c r="AB9" s="28" t="s">
        <v>241</v>
      </c>
      <c r="AC9" s="28" t="s">
        <v>242</v>
      </c>
      <c r="AD9" s="28" t="s">
        <v>243</v>
      </c>
      <c r="AE9" s="28" t="s">
        <v>56</v>
      </c>
      <c r="AF9" s="28"/>
      <c r="AG9" s="28"/>
      <c r="AH9" s="28"/>
      <c r="AI9" s="28"/>
      <c r="AJ9" s="28" t="s">
        <v>114</v>
      </c>
      <c r="AK9" s="28" t="s">
        <v>58</v>
      </c>
      <c r="AL9" s="28" t="s">
        <v>244</v>
      </c>
      <c r="AM9" s="28" t="s">
        <v>245</v>
      </c>
      <c r="AN9" s="28" t="s">
        <v>215</v>
      </c>
      <c r="AO9" s="28" t="s">
        <v>178</v>
      </c>
      <c r="AP9" s="28" t="s">
        <v>63</v>
      </c>
      <c r="AQ9" s="28">
        <v>9</v>
      </c>
      <c r="AR9" s="33">
        <v>45695.274305555555</v>
      </c>
      <c r="AS9" s="28" t="s">
        <v>240</v>
      </c>
      <c r="AT9">
        <v>170</v>
      </c>
      <c r="AU9" s="29">
        <v>45695</v>
      </c>
      <c r="AV9" s="32">
        <v>0.27430555555555558</v>
      </c>
      <c r="AW9" s="34">
        <v>45695</v>
      </c>
      <c r="AX9" s="35">
        <v>0.28472222222222221</v>
      </c>
      <c r="AY9" s="34">
        <v>45695</v>
      </c>
      <c r="AZ9" s="35">
        <v>0.30738425925925927</v>
      </c>
      <c r="BA9" t="s">
        <v>372</v>
      </c>
      <c r="BB9" t="s">
        <v>379</v>
      </c>
      <c r="BC9" t="s">
        <v>383</v>
      </c>
      <c r="BD9" s="16">
        <v>45699</v>
      </c>
    </row>
    <row r="10" spans="1:56" ht="15.6" x14ac:dyDescent="0.3">
      <c r="A10" s="37" t="s">
        <v>350</v>
      </c>
      <c r="B10" s="38">
        <v>45701</v>
      </c>
      <c r="C10" s="37">
        <v>2025</v>
      </c>
      <c r="D10" s="37" t="s">
        <v>210</v>
      </c>
      <c r="E10" s="39">
        <v>1</v>
      </c>
      <c r="F10" s="39">
        <v>7</v>
      </c>
      <c r="G10" s="39">
        <v>3</v>
      </c>
      <c r="H10" s="37" t="s">
        <v>131</v>
      </c>
      <c r="I10" s="40">
        <v>44</v>
      </c>
      <c r="J10" s="39">
        <v>13</v>
      </c>
      <c r="K10" s="41">
        <v>0.66666666666666663</v>
      </c>
      <c r="L10" s="45">
        <v>0.66666666666666663</v>
      </c>
      <c r="M10" s="42" t="s">
        <v>81</v>
      </c>
      <c r="N10" s="37" t="s">
        <v>81</v>
      </c>
      <c r="O10" s="37" t="s">
        <v>49</v>
      </c>
      <c r="P10" s="37" t="s">
        <v>49</v>
      </c>
      <c r="Q10" s="37" t="s">
        <v>81</v>
      </c>
      <c r="R10" s="42"/>
      <c r="S10" s="42" t="s">
        <v>351</v>
      </c>
      <c r="T10" s="37" t="s">
        <v>352</v>
      </c>
      <c r="U10" s="37" t="s">
        <v>353</v>
      </c>
      <c r="V10" s="37">
        <v>6</v>
      </c>
      <c r="W10" s="37" t="s">
        <v>354</v>
      </c>
      <c r="X10" s="37"/>
      <c r="Y10" s="37"/>
      <c r="Z10" s="42" t="s">
        <v>355</v>
      </c>
      <c r="AA10" s="42"/>
      <c r="AB10" s="37" t="s">
        <v>356</v>
      </c>
      <c r="AC10" s="37" t="s">
        <v>208</v>
      </c>
      <c r="AD10" s="37" t="s">
        <v>357</v>
      </c>
      <c r="AE10" s="37" t="s">
        <v>56</v>
      </c>
      <c r="AF10" s="37"/>
      <c r="AG10" s="37"/>
      <c r="AH10" s="37"/>
      <c r="AI10" s="37"/>
      <c r="AJ10" s="37" t="s">
        <v>114</v>
      </c>
      <c r="AK10" s="37" t="s">
        <v>58</v>
      </c>
      <c r="AL10" s="37" t="s">
        <v>358</v>
      </c>
      <c r="AM10" s="37" t="s">
        <v>245</v>
      </c>
      <c r="AN10" s="37" t="s">
        <v>177</v>
      </c>
      <c r="AO10" s="37" t="s">
        <v>359</v>
      </c>
      <c r="AP10" s="37" t="s">
        <v>90</v>
      </c>
      <c r="AQ10" s="37">
        <v>9</v>
      </c>
      <c r="AR10" s="43">
        <v>45701.666666666664</v>
      </c>
      <c r="AS10" s="37" t="s">
        <v>354</v>
      </c>
      <c r="AT10" s="42"/>
      <c r="AU10" s="38">
        <v>45701</v>
      </c>
      <c r="AV10" s="41">
        <v>0.66666666666666663</v>
      </c>
      <c r="AW10" s="44"/>
      <c r="AX10" s="45"/>
      <c r="AY10" s="44">
        <v>45702</v>
      </c>
      <c r="AZ10" s="45">
        <v>0.29906250000000001</v>
      </c>
      <c r="BA10" t="s">
        <v>372</v>
      </c>
      <c r="BB10" t="s">
        <v>378</v>
      </c>
      <c r="BC10" t="s">
        <v>385</v>
      </c>
      <c r="BD10" s="16">
        <v>45706</v>
      </c>
    </row>
  </sheetData>
  <phoneticPr fontId="7" type="noConversion"/>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67EEA-03BF-4087-88BE-9C2E0C7C8BB2}">
  <sheetPr codeName="Sheet7">
    <tabColor theme="9" tint="-0.249977111117893"/>
  </sheetPr>
  <dimension ref="A1:N18"/>
  <sheetViews>
    <sheetView zoomScaleNormal="100" workbookViewId="0">
      <selection activeCell="K1" sqref="K1:N8"/>
    </sheetView>
  </sheetViews>
  <sheetFormatPr defaultColWidth="9.109375" defaultRowHeight="15.6" x14ac:dyDescent="0.3"/>
  <cols>
    <col min="1" max="1" width="31" style="5" bestFit="1" customWidth="1"/>
    <col min="2" max="2" width="25" style="5" bestFit="1" customWidth="1"/>
    <col min="3" max="3" width="9.109375" style="5"/>
    <col min="4" max="4" width="27.109375" style="5" bestFit="1" customWidth="1"/>
    <col min="5" max="5" width="25" style="5" bestFit="1" customWidth="1"/>
    <col min="6" max="6" width="9.109375" style="5"/>
    <col min="7" max="7" width="27" style="5" bestFit="1" customWidth="1"/>
    <col min="8" max="8" width="25" style="5" bestFit="1" customWidth="1"/>
    <col min="9" max="10" width="9.109375" style="5"/>
    <col min="11" max="11" width="12.5546875" style="5" customWidth="1"/>
    <col min="12" max="12" width="40.109375" style="5" customWidth="1"/>
    <col min="13" max="13" width="31.6640625" style="5" customWidth="1"/>
    <col min="14" max="14" width="13.109375" style="5" customWidth="1"/>
    <col min="15" max="16384" width="9.109375" style="5"/>
  </cols>
  <sheetData>
    <row r="1" spans="1:14" ht="21" x14ac:dyDescent="0.4">
      <c r="A1" s="76" t="s">
        <v>257</v>
      </c>
      <c r="B1" s="76"/>
      <c r="C1" s="25"/>
      <c r="D1" s="76" t="s">
        <v>258</v>
      </c>
      <c r="E1" s="76"/>
      <c r="F1" s="25"/>
      <c r="G1" s="76" t="s">
        <v>259</v>
      </c>
      <c r="H1" s="76"/>
      <c r="K1" s="6" t="s">
        <v>33</v>
      </c>
      <c r="L1" s="28" t="s">
        <v>13</v>
      </c>
      <c r="M1" s="28" t="s">
        <v>314</v>
      </c>
      <c r="N1" s="5" t="s">
        <v>315</v>
      </c>
    </row>
    <row r="2" spans="1:14" hidden="1" x14ac:dyDescent="0.3">
      <c r="A2" s="65" t="s">
        <v>33</v>
      </c>
      <c r="B2" s="47" t="s">
        <v>254</v>
      </c>
      <c r="D2" s="65" t="s">
        <v>33</v>
      </c>
      <c r="E2" s="47" t="s">
        <v>260</v>
      </c>
      <c r="G2" s="65" t="s">
        <v>33</v>
      </c>
      <c r="H2" s="66">
        <v>45695</v>
      </c>
      <c r="K2" s="6">
        <v>45679</v>
      </c>
      <c r="L2" s="5" t="s">
        <v>151</v>
      </c>
      <c r="M2" s="5" t="s">
        <v>324</v>
      </c>
      <c r="N2" s="5">
        <v>0</v>
      </c>
    </row>
    <row r="3" spans="1:14" hidden="1" x14ac:dyDescent="0.3">
      <c r="K3" s="6">
        <v>45682</v>
      </c>
      <c r="L3" s="5" t="s">
        <v>167</v>
      </c>
      <c r="M3" s="5">
        <v>0</v>
      </c>
      <c r="N3" s="5">
        <v>0</v>
      </c>
    </row>
    <row r="4" spans="1:14" hidden="1" x14ac:dyDescent="0.3">
      <c r="A4" s="65" t="s">
        <v>255</v>
      </c>
      <c r="B4" s="47" t="s">
        <v>253</v>
      </c>
      <c r="D4" s="65" t="s">
        <v>255</v>
      </c>
      <c r="E4" s="47" t="s">
        <v>253</v>
      </c>
      <c r="G4" s="65" t="s">
        <v>255</v>
      </c>
      <c r="H4" s="47" t="s">
        <v>253</v>
      </c>
      <c r="K4" s="6">
        <v>45685</v>
      </c>
      <c r="L4" s="5" t="s">
        <v>192</v>
      </c>
      <c r="M4" s="5" t="s">
        <v>325</v>
      </c>
      <c r="N4" s="5">
        <v>0</v>
      </c>
    </row>
    <row r="5" spans="1:14" hidden="1" x14ac:dyDescent="0.3">
      <c r="A5" s="67" t="s">
        <v>126</v>
      </c>
      <c r="B5" s="47"/>
      <c r="D5" s="67" t="s">
        <v>48</v>
      </c>
      <c r="E5" s="47"/>
      <c r="G5" s="67" t="s">
        <v>48</v>
      </c>
      <c r="H5" s="47"/>
      <c r="K5" s="6">
        <v>45688</v>
      </c>
      <c r="L5" s="5" t="s">
        <v>248</v>
      </c>
      <c r="M5" s="5" t="s">
        <v>329</v>
      </c>
      <c r="N5" s="5">
        <v>0</v>
      </c>
    </row>
    <row r="6" spans="1:14" hidden="1" x14ac:dyDescent="0.3">
      <c r="A6" s="68" t="s">
        <v>288</v>
      </c>
      <c r="B6" s="47">
        <v>1</v>
      </c>
      <c r="D6" s="68" t="s">
        <v>302</v>
      </c>
      <c r="E6" s="47">
        <v>1</v>
      </c>
      <c r="G6" s="68" t="s">
        <v>304</v>
      </c>
      <c r="H6" s="47">
        <v>1</v>
      </c>
      <c r="K6" s="6">
        <v>45689</v>
      </c>
      <c r="L6" s="5" t="s">
        <v>206</v>
      </c>
      <c r="M6" s="5" t="s">
        <v>326</v>
      </c>
      <c r="N6" s="5">
        <v>0</v>
      </c>
    </row>
    <row r="7" spans="1:14" hidden="1" x14ac:dyDescent="0.3">
      <c r="A7" s="68" t="s">
        <v>346</v>
      </c>
      <c r="B7" s="47">
        <v>1</v>
      </c>
      <c r="D7" s="68" t="s">
        <v>304</v>
      </c>
      <c r="E7" s="47">
        <v>1</v>
      </c>
      <c r="G7" s="67" t="s">
        <v>256</v>
      </c>
      <c r="H7" s="47">
        <v>1</v>
      </c>
      <c r="K7" s="6">
        <v>45690</v>
      </c>
      <c r="L7" s="5" t="s">
        <v>214</v>
      </c>
      <c r="M7" s="5">
        <v>0</v>
      </c>
      <c r="N7" s="5">
        <v>0</v>
      </c>
    </row>
    <row r="8" spans="1:14" x14ac:dyDescent="0.3">
      <c r="A8" s="67" t="s">
        <v>48</v>
      </c>
      <c r="B8" s="47"/>
      <c r="D8" s="68" t="s">
        <v>306</v>
      </c>
      <c r="E8" s="47">
        <v>1</v>
      </c>
      <c r="G8"/>
      <c r="H8"/>
      <c r="K8" s="6">
        <v>45695</v>
      </c>
      <c r="L8" s="5" t="s">
        <v>240</v>
      </c>
      <c r="M8" s="5" t="s">
        <v>328</v>
      </c>
      <c r="N8" s="5">
        <v>0</v>
      </c>
    </row>
    <row r="9" spans="1:14" x14ac:dyDescent="0.3">
      <c r="A9" s="68" t="s">
        <v>302</v>
      </c>
      <c r="B9" s="47">
        <v>1</v>
      </c>
      <c r="D9" s="68" t="s">
        <v>303</v>
      </c>
      <c r="E9" s="47">
        <v>1</v>
      </c>
      <c r="G9"/>
      <c r="H9"/>
    </row>
    <row r="10" spans="1:14" x14ac:dyDescent="0.3">
      <c r="A10" s="68" t="s">
        <v>304</v>
      </c>
      <c r="B10" s="47">
        <v>1</v>
      </c>
      <c r="D10" s="67" t="s">
        <v>95</v>
      </c>
      <c r="E10" s="47"/>
      <c r="G10"/>
      <c r="H10"/>
    </row>
    <row r="11" spans="1:14" x14ac:dyDescent="0.3">
      <c r="A11" s="68" t="s">
        <v>301</v>
      </c>
      <c r="B11" s="47">
        <v>1</v>
      </c>
      <c r="D11" s="68" t="s">
        <v>304</v>
      </c>
      <c r="E11" s="47">
        <v>1</v>
      </c>
      <c r="G11"/>
      <c r="H11"/>
    </row>
    <row r="12" spans="1:14" x14ac:dyDescent="0.3">
      <c r="A12" s="68" t="s">
        <v>306</v>
      </c>
      <c r="B12" s="47">
        <v>1</v>
      </c>
      <c r="D12" s="67" t="s">
        <v>256</v>
      </c>
      <c r="E12" s="47">
        <v>5</v>
      </c>
      <c r="G12"/>
      <c r="H12"/>
    </row>
    <row r="13" spans="1:14" x14ac:dyDescent="0.3">
      <c r="A13" s="68" t="s">
        <v>303</v>
      </c>
      <c r="B13" s="47">
        <v>1</v>
      </c>
      <c r="D13"/>
      <c r="E13"/>
      <c r="G13"/>
      <c r="H13"/>
    </row>
    <row r="14" spans="1:14" x14ac:dyDescent="0.3">
      <c r="A14" s="67" t="s">
        <v>95</v>
      </c>
      <c r="B14" s="47"/>
      <c r="D14"/>
      <c r="E14"/>
      <c r="G14"/>
      <c r="H14"/>
    </row>
    <row r="15" spans="1:14" x14ac:dyDescent="0.3">
      <c r="A15" s="68" t="s">
        <v>304</v>
      </c>
      <c r="B15" s="47">
        <v>1</v>
      </c>
      <c r="D15"/>
      <c r="E15"/>
      <c r="G15"/>
      <c r="H15"/>
    </row>
    <row r="16" spans="1:14" x14ac:dyDescent="0.3">
      <c r="A16" s="67" t="s">
        <v>81</v>
      </c>
      <c r="B16" s="47"/>
    </row>
    <row r="17" spans="1:2" x14ac:dyDescent="0.3">
      <c r="A17" s="68" t="s">
        <v>370</v>
      </c>
      <c r="B17" s="47">
        <v>1</v>
      </c>
    </row>
    <row r="18" spans="1:2" x14ac:dyDescent="0.3">
      <c r="A18" s="67" t="s">
        <v>256</v>
      </c>
      <c r="B18" s="47">
        <v>9</v>
      </c>
    </row>
  </sheetData>
  <mergeCells count="3">
    <mergeCell ref="A1:B1"/>
    <mergeCell ref="D1:E1"/>
    <mergeCell ref="G1:H1"/>
  </mergeCells>
  <pageMargins left="0.7" right="0.7" top="0.75" bottom="0.75" header="0.3" footer="0.3"/>
  <pageSetup orientation="portrait" r:id="rId4"/>
  <drawing r:id="rId5"/>
  <tableParts count="1">
    <tablePart r:id="rId6"/>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A7728-AE8A-4160-8099-A41D65674F36}">
  <sheetPr codeName="Sheet8">
    <tabColor rgb="FF00B050"/>
  </sheetPr>
  <dimension ref="A1:BD6"/>
  <sheetViews>
    <sheetView topLeftCell="AW1" workbookViewId="0">
      <selection activeCell="BD1" sqref="BD1:BD1048576"/>
    </sheetView>
  </sheetViews>
  <sheetFormatPr defaultRowHeight="14.4" x14ac:dyDescent="0.3"/>
  <cols>
    <col min="1" max="1" width="20.88671875" bestFit="1" customWidth="1"/>
    <col min="2" max="2" width="15.44140625" bestFit="1" customWidth="1"/>
    <col min="3" max="3" width="9.109375" bestFit="1" customWidth="1"/>
    <col min="4" max="4" width="19.88671875" bestFit="1" customWidth="1"/>
    <col min="5" max="5" width="13.109375" bestFit="1" customWidth="1"/>
    <col min="6" max="6" width="20.109375" bestFit="1" customWidth="1"/>
    <col min="7" max="7" width="22.5546875" bestFit="1" customWidth="1"/>
    <col min="8" max="8" width="16.33203125" bestFit="1" customWidth="1"/>
    <col min="9" max="9" width="17.44140625" bestFit="1" customWidth="1"/>
    <col min="10" max="10" width="8.109375" bestFit="1" customWidth="1"/>
    <col min="11" max="11" width="19.44140625" bestFit="1" customWidth="1"/>
    <col min="12" max="12" width="15.88671875" bestFit="1" customWidth="1"/>
    <col min="13" max="13" width="22.33203125" bestFit="1" customWidth="1"/>
    <col min="14" max="14" width="25.88671875" bestFit="1" customWidth="1"/>
    <col min="15" max="15" width="26.44140625" bestFit="1" customWidth="1"/>
    <col min="16" max="16" width="23.33203125" bestFit="1" customWidth="1"/>
    <col min="17" max="17" width="48.5546875" bestFit="1" customWidth="1"/>
    <col min="18" max="18" width="20" bestFit="1" customWidth="1"/>
    <col min="19" max="19" width="18.6640625" bestFit="1" customWidth="1"/>
    <col min="20" max="20" width="46.109375" bestFit="1" customWidth="1"/>
    <col min="21" max="21" width="8.88671875" bestFit="1" customWidth="1"/>
    <col min="22" max="22" width="9.6640625" bestFit="1" customWidth="1"/>
    <col min="23" max="23" width="81.109375" bestFit="1" customWidth="1"/>
    <col min="24" max="24" width="26.6640625" bestFit="1" customWidth="1"/>
    <col min="25" max="25" width="28.88671875" bestFit="1" customWidth="1"/>
    <col min="26" max="26" width="23" bestFit="1" customWidth="1"/>
    <col min="27" max="27" width="11.44140625" bestFit="1" customWidth="1"/>
    <col min="28" max="28" width="21" bestFit="1" customWidth="1"/>
    <col min="29" max="29" width="11.6640625" bestFit="1" customWidth="1"/>
    <col min="30" max="30" width="12.88671875" bestFit="1" customWidth="1"/>
    <col min="31" max="31" width="17.5546875" bestFit="1" customWidth="1"/>
    <col min="32" max="32" width="21" bestFit="1" customWidth="1"/>
    <col min="33" max="33" width="17.5546875" bestFit="1" customWidth="1"/>
    <col min="34" max="34" width="11.6640625" bestFit="1" customWidth="1"/>
    <col min="35" max="35" width="12.88671875" bestFit="1" customWidth="1"/>
    <col min="36" max="36" width="19.33203125" bestFit="1" customWidth="1"/>
    <col min="37" max="37" width="21.88671875" bestFit="1" customWidth="1"/>
    <col min="38" max="38" width="31.88671875" bestFit="1" customWidth="1"/>
    <col min="39" max="39" width="11.33203125" bestFit="1" customWidth="1"/>
    <col min="40" max="40" width="28.33203125" bestFit="1" customWidth="1"/>
    <col min="41" max="41" width="31.88671875" bestFit="1" customWidth="1"/>
    <col min="42" max="42" width="36.109375" bestFit="1" customWidth="1"/>
    <col min="43" max="43" width="19.109375" bestFit="1" customWidth="1"/>
    <col min="44" max="44" width="29.33203125" bestFit="1" customWidth="1"/>
    <col min="45" max="45" width="81.109375" bestFit="1" customWidth="1"/>
    <col min="46" max="46" width="22.6640625" bestFit="1" customWidth="1"/>
    <col min="47" max="47" width="20.5546875" bestFit="1" customWidth="1"/>
    <col min="48" max="48" width="20.88671875" bestFit="1" customWidth="1"/>
    <col min="49" max="49" width="33.33203125" bestFit="1" customWidth="1"/>
    <col min="50" max="50" width="33.5546875" bestFit="1" customWidth="1"/>
    <col min="51" max="51" width="18.5546875" bestFit="1" customWidth="1"/>
    <col min="52" max="52" width="18.88671875" bestFit="1" customWidth="1"/>
    <col min="53" max="53" width="10.44140625" bestFit="1" customWidth="1"/>
    <col min="54" max="54" width="27.5546875" bestFit="1" customWidth="1"/>
    <col min="55" max="55" width="8.5546875" bestFit="1" customWidth="1"/>
    <col min="56" max="56" width="12.5546875" style="16" bestFit="1" customWidth="1"/>
    <col min="57" max="57" width="14.44140625" bestFit="1" customWidth="1"/>
  </cols>
  <sheetData>
    <row r="1" spans="1:56" ht="18" x14ac:dyDescent="0.35">
      <c r="A1" s="10" t="s">
        <v>0</v>
      </c>
      <c r="B1" s="11" t="s">
        <v>33</v>
      </c>
      <c r="C1" s="10" t="s">
        <v>34</v>
      </c>
      <c r="D1" s="10" t="s">
        <v>35</v>
      </c>
      <c r="E1" s="12" t="s">
        <v>36</v>
      </c>
      <c r="F1" s="12" t="s">
        <v>37</v>
      </c>
      <c r="G1" s="12" t="s">
        <v>38</v>
      </c>
      <c r="H1" s="10" t="s">
        <v>39</v>
      </c>
      <c r="I1" s="13" t="s">
        <v>40</v>
      </c>
      <c r="J1" s="12" t="s">
        <v>41</v>
      </c>
      <c r="K1" s="14" t="s">
        <v>43</v>
      </c>
      <c r="L1" s="14" t="s">
        <v>42</v>
      </c>
      <c r="M1" t="s">
        <v>308</v>
      </c>
      <c r="N1" s="10" t="s">
        <v>7</v>
      </c>
      <c r="O1" s="10" t="s">
        <v>8</v>
      </c>
      <c r="P1" s="10" t="s">
        <v>9</v>
      </c>
      <c r="Q1" s="10" t="s">
        <v>32</v>
      </c>
      <c r="R1" t="s">
        <v>286</v>
      </c>
      <c r="S1" t="s">
        <v>261</v>
      </c>
      <c r="T1" s="10" t="s">
        <v>10</v>
      </c>
      <c r="U1" s="10" t="s">
        <v>11</v>
      </c>
      <c r="V1" s="10" t="s">
        <v>12</v>
      </c>
      <c r="W1" s="10" t="s">
        <v>13</v>
      </c>
      <c r="X1" s="10" t="s">
        <v>14</v>
      </c>
      <c r="Y1" s="10" t="s">
        <v>15</v>
      </c>
      <c r="Z1" t="s">
        <v>314</v>
      </c>
      <c r="AA1" t="s">
        <v>315</v>
      </c>
      <c r="AB1" s="10" t="s">
        <v>16</v>
      </c>
      <c r="AC1" s="10" t="s">
        <v>17</v>
      </c>
      <c r="AD1" s="10" t="s">
        <v>18</v>
      </c>
      <c r="AE1" s="10" t="s">
        <v>19</v>
      </c>
      <c r="AF1" s="10" t="s">
        <v>20</v>
      </c>
      <c r="AG1" s="10" t="s">
        <v>21</v>
      </c>
      <c r="AH1" s="10" t="s">
        <v>22</v>
      </c>
      <c r="AI1" s="10" t="s">
        <v>23</v>
      </c>
      <c r="AJ1" s="10" t="s">
        <v>24</v>
      </c>
      <c r="AK1" s="10" t="s">
        <v>25</v>
      </c>
      <c r="AL1" s="10" t="s">
        <v>26</v>
      </c>
      <c r="AM1" s="10" t="s">
        <v>27</v>
      </c>
      <c r="AN1" s="10" t="s">
        <v>28</v>
      </c>
      <c r="AO1" s="10" t="s">
        <v>29</v>
      </c>
      <c r="AP1" s="10" t="s">
        <v>30</v>
      </c>
      <c r="AQ1" s="10" t="s">
        <v>31</v>
      </c>
      <c r="AR1" s="15" t="s">
        <v>44</v>
      </c>
      <c r="AS1" s="10" t="s">
        <v>45</v>
      </c>
      <c r="AT1" t="s">
        <v>285</v>
      </c>
      <c r="AU1" s="11" t="s">
        <v>1</v>
      </c>
      <c r="AV1" s="14" t="s">
        <v>2</v>
      </c>
      <c r="AW1" s="10" t="s">
        <v>3</v>
      </c>
      <c r="AX1" s="10" t="s">
        <v>4</v>
      </c>
      <c r="AY1" s="10" t="s">
        <v>5</v>
      </c>
      <c r="AZ1" s="10" t="s">
        <v>6</v>
      </c>
      <c r="BA1" t="s">
        <v>371</v>
      </c>
      <c r="BB1" t="s">
        <v>373</v>
      </c>
      <c r="BC1" t="s">
        <v>309</v>
      </c>
      <c r="BD1" s="16" t="s">
        <v>459</v>
      </c>
    </row>
    <row r="2" spans="1:56" ht="15.6" x14ac:dyDescent="0.3">
      <c r="A2" s="47" t="s">
        <v>80</v>
      </c>
      <c r="B2" s="48">
        <v>45663</v>
      </c>
      <c r="C2" s="47">
        <v>2025</v>
      </c>
      <c r="D2" s="47" t="s">
        <v>64</v>
      </c>
      <c r="E2" s="49">
        <v>1</v>
      </c>
      <c r="F2" s="49">
        <v>2</v>
      </c>
      <c r="G2" s="49">
        <v>2</v>
      </c>
      <c r="H2" s="47" t="s">
        <v>91</v>
      </c>
      <c r="I2" s="50">
        <v>6</v>
      </c>
      <c r="J2" s="49">
        <v>6</v>
      </c>
      <c r="K2" s="51">
        <v>0.625</v>
      </c>
      <c r="L2" s="35">
        <v>0.64583333333333337</v>
      </c>
      <c r="M2" t="s">
        <v>81</v>
      </c>
      <c r="N2" s="47" t="s">
        <v>81</v>
      </c>
      <c r="O2" s="47" t="s">
        <v>49</v>
      </c>
      <c r="P2" s="47" t="s">
        <v>49</v>
      </c>
      <c r="Q2" s="47" t="s">
        <v>81</v>
      </c>
      <c r="R2" t="s">
        <v>291</v>
      </c>
      <c r="S2" t="s">
        <v>270</v>
      </c>
      <c r="T2" s="47" t="s">
        <v>82</v>
      </c>
      <c r="U2" s="47"/>
      <c r="V2" s="47">
        <v>7</v>
      </c>
      <c r="W2" s="47" t="s">
        <v>83</v>
      </c>
      <c r="X2" s="47"/>
      <c r="Y2" s="47"/>
      <c r="Z2" t="s">
        <v>318</v>
      </c>
      <c r="AB2" s="47" t="s">
        <v>84</v>
      </c>
      <c r="AC2" s="47" t="s">
        <v>54</v>
      </c>
      <c r="AD2" s="47" t="s">
        <v>85</v>
      </c>
      <c r="AE2" s="47" t="s">
        <v>56</v>
      </c>
      <c r="AF2" s="47"/>
      <c r="AG2" s="47"/>
      <c r="AH2" s="47"/>
      <c r="AI2" s="47"/>
      <c r="AJ2" s="47" t="s">
        <v>86</v>
      </c>
      <c r="AK2" s="47" t="s">
        <v>58</v>
      </c>
      <c r="AL2" s="47" t="s">
        <v>87</v>
      </c>
      <c r="AM2" s="47" t="s">
        <v>88</v>
      </c>
      <c r="AN2" s="47" t="s">
        <v>89</v>
      </c>
      <c r="AO2" s="47" t="s">
        <v>62</v>
      </c>
      <c r="AP2" s="47" t="s">
        <v>90</v>
      </c>
      <c r="AQ2" s="47">
        <v>9</v>
      </c>
      <c r="AR2" s="52">
        <v>45663.645833333336</v>
      </c>
      <c r="AS2" s="47" t="s">
        <v>83</v>
      </c>
      <c r="AT2">
        <v>90</v>
      </c>
      <c r="AU2" s="48">
        <v>45663</v>
      </c>
      <c r="AV2" s="51">
        <v>0.64583333333333337</v>
      </c>
      <c r="AW2" s="53">
        <v>45667</v>
      </c>
      <c r="AX2" s="54"/>
      <c r="AY2" s="53">
        <v>45667</v>
      </c>
      <c r="AZ2" s="54">
        <v>0.82629629629629631</v>
      </c>
      <c r="BA2" t="s">
        <v>372</v>
      </c>
      <c r="BB2" t="s">
        <v>375</v>
      </c>
      <c r="BC2" t="s">
        <v>384</v>
      </c>
      <c r="BD2" s="16">
        <v>45664</v>
      </c>
    </row>
    <row r="3" spans="1:56" ht="15.6" x14ac:dyDescent="0.3">
      <c r="A3" s="47" t="s">
        <v>67</v>
      </c>
      <c r="B3" s="48">
        <v>45664</v>
      </c>
      <c r="C3" s="47">
        <v>2025</v>
      </c>
      <c r="D3" s="47" t="s">
        <v>64</v>
      </c>
      <c r="E3" s="49">
        <v>1</v>
      </c>
      <c r="F3" s="49">
        <v>2</v>
      </c>
      <c r="G3" s="49">
        <v>2</v>
      </c>
      <c r="H3" s="47" t="s">
        <v>79</v>
      </c>
      <c r="I3" s="50">
        <v>7</v>
      </c>
      <c r="J3" s="49">
        <v>7</v>
      </c>
      <c r="K3" s="51">
        <v>0.58333333333333337</v>
      </c>
      <c r="L3" s="35">
        <v>0.58333333333333337</v>
      </c>
      <c r="M3" t="s">
        <v>68</v>
      </c>
      <c r="N3" s="47" t="s">
        <v>68</v>
      </c>
      <c r="O3" s="47" t="s">
        <v>69</v>
      </c>
      <c r="P3" s="47" t="s">
        <v>49</v>
      </c>
      <c r="Q3" s="47" t="s">
        <v>78</v>
      </c>
      <c r="R3" t="s">
        <v>294</v>
      </c>
      <c r="S3" t="s">
        <v>269</v>
      </c>
      <c r="T3" s="47" t="s">
        <v>70</v>
      </c>
      <c r="U3" s="47" t="s">
        <v>71</v>
      </c>
      <c r="V3" s="47">
        <v>7</v>
      </c>
      <c r="W3" s="47" t="s">
        <v>72</v>
      </c>
      <c r="X3" s="47"/>
      <c r="Y3" s="47"/>
      <c r="AB3" s="47"/>
      <c r="AC3" s="47"/>
      <c r="AD3" s="47"/>
      <c r="AE3" s="47"/>
      <c r="AF3" s="47"/>
      <c r="AG3" s="47"/>
      <c r="AH3" s="47"/>
      <c r="AI3" s="47"/>
      <c r="AJ3" s="47" t="s">
        <v>73</v>
      </c>
      <c r="AK3" s="47" t="s">
        <v>58</v>
      </c>
      <c r="AL3" s="47" t="s">
        <v>74</v>
      </c>
      <c r="AM3" s="47" t="s">
        <v>75</v>
      </c>
      <c r="AN3" s="47" t="s">
        <v>76</v>
      </c>
      <c r="AO3" s="47" t="s">
        <v>62</v>
      </c>
      <c r="AP3" s="47" t="s">
        <v>77</v>
      </c>
      <c r="AQ3" s="47">
        <v>9</v>
      </c>
      <c r="AR3" s="52">
        <v>45664.583333333336</v>
      </c>
      <c r="AS3" s="47" t="s">
        <v>72</v>
      </c>
      <c r="AT3">
        <v>135</v>
      </c>
      <c r="AU3" s="48">
        <v>45664</v>
      </c>
      <c r="AV3" s="51">
        <v>0.58333333333333337</v>
      </c>
      <c r="AW3" s="53"/>
      <c r="AX3" s="54"/>
      <c r="AY3" s="53">
        <v>45667</v>
      </c>
      <c r="AZ3" s="54">
        <v>0.59781249999999997</v>
      </c>
      <c r="BA3" t="s">
        <v>372</v>
      </c>
      <c r="BB3" t="s">
        <v>375</v>
      </c>
      <c r="BC3" t="s">
        <v>386</v>
      </c>
      <c r="BD3" s="16">
        <v>45664</v>
      </c>
    </row>
    <row r="4" spans="1:56" ht="15.6" x14ac:dyDescent="0.3">
      <c r="A4" s="47" t="s">
        <v>125</v>
      </c>
      <c r="B4" s="48">
        <v>45673</v>
      </c>
      <c r="C4" s="47">
        <v>2025</v>
      </c>
      <c r="D4" s="47" t="s">
        <v>64</v>
      </c>
      <c r="E4" s="49">
        <v>1</v>
      </c>
      <c r="F4" s="49">
        <v>3</v>
      </c>
      <c r="G4" s="49">
        <v>3</v>
      </c>
      <c r="H4" s="47" t="s">
        <v>131</v>
      </c>
      <c r="I4" s="50">
        <v>16</v>
      </c>
      <c r="J4" s="49">
        <v>16</v>
      </c>
      <c r="K4" s="51">
        <v>0.5</v>
      </c>
      <c r="L4" s="35">
        <v>0.5</v>
      </c>
      <c r="M4" t="s">
        <v>126</v>
      </c>
      <c r="N4" s="47" t="s">
        <v>126</v>
      </c>
      <c r="O4" s="47" t="s">
        <v>49</v>
      </c>
      <c r="P4" s="47" t="s">
        <v>49</v>
      </c>
      <c r="Q4" s="47" t="s">
        <v>126</v>
      </c>
      <c r="R4" t="s">
        <v>287</v>
      </c>
      <c r="S4" t="s">
        <v>271</v>
      </c>
      <c r="T4" s="47" t="s">
        <v>127</v>
      </c>
      <c r="U4" s="47" t="s">
        <v>71</v>
      </c>
      <c r="V4" s="47">
        <v>7</v>
      </c>
      <c r="W4" s="47" t="s">
        <v>128</v>
      </c>
      <c r="X4" s="47"/>
      <c r="Y4" s="47"/>
      <c r="AB4" s="47"/>
      <c r="AC4" s="47"/>
      <c r="AD4" s="47"/>
      <c r="AE4" s="47"/>
      <c r="AF4" s="47"/>
      <c r="AG4" s="47"/>
      <c r="AH4" s="47"/>
      <c r="AI4" s="47"/>
      <c r="AJ4" s="47" t="s">
        <v>86</v>
      </c>
      <c r="AK4" s="47" t="s">
        <v>58</v>
      </c>
      <c r="AL4" s="47" t="s">
        <v>129</v>
      </c>
      <c r="AM4" s="47" t="s">
        <v>88</v>
      </c>
      <c r="AN4" s="47" t="s">
        <v>89</v>
      </c>
      <c r="AO4" s="47" t="s">
        <v>62</v>
      </c>
      <c r="AP4" s="47" t="s">
        <v>130</v>
      </c>
      <c r="AQ4" s="47">
        <v>9</v>
      </c>
      <c r="AR4" s="52">
        <v>45673.5</v>
      </c>
      <c r="AS4" s="47" t="s">
        <v>128</v>
      </c>
      <c r="AT4">
        <v>30</v>
      </c>
      <c r="AU4" s="48">
        <v>45673</v>
      </c>
      <c r="AV4" s="51">
        <v>0.5</v>
      </c>
      <c r="AW4" s="53">
        <v>45673</v>
      </c>
      <c r="AX4" s="54">
        <v>0.75</v>
      </c>
      <c r="AY4" s="53">
        <v>45673</v>
      </c>
      <c r="AZ4" s="54">
        <v>0.81587962962962968</v>
      </c>
      <c r="BA4" t="s">
        <v>372</v>
      </c>
      <c r="BB4" t="s">
        <v>375</v>
      </c>
      <c r="BC4" t="s">
        <v>380</v>
      </c>
      <c r="BD4" s="16">
        <v>45678</v>
      </c>
    </row>
    <row r="5" spans="1:56" ht="15.6" x14ac:dyDescent="0.3">
      <c r="A5" s="47" t="s">
        <v>468</v>
      </c>
      <c r="B5" s="48">
        <v>45705</v>
      </c>
      <c r="C5" s="47">
        <v>2025</v>
      </c>
      <c r="D5" s="47" t="s">
        <v>210</v>
      </c>
      <c r="E5" s="49">
        <v>1</v>
      </c>
      <c r="F5" s="49">
        <v>8</v>
      </c>
      <c r="G5" s="49">
        <v>4</v>
      </c>
      <c r="H5" s="47" t="s">
        <v>91</v>
      </c>
      <c r="I5" s="50">
        <v>48</v>
      </c>
      <c r="J5" s="49">
        <v>17</v>
      </c>
      <c r="K5" s="51">
        <v>0.33333333333333331</v>
      </c>
      <c r="L5" s="35">
        <v>0.34877314814814814</v>
      </c>
      <c r="M5" t="s">
        <v>48</v>
      </c>
      <c r="N5" s="47" t="s">
        <v>48</v>
      </c>
      <c r="O5" s="47" t="s">
        <v>469</v>
      </c>
      <c r="P5" s="47" t="s">
        <v>49</v>
      </c>
      <c r="Q5" s="47" t="s">
        <v>470</v>
      </c>
      <c r="R5" t="s">
        <v>471</v>
      </c>
      <c r="S5" t="s">
        <v>472</v>
      </c>
      <c r="T5" s="47" t="s">
        <v>473</v>
      </c>
      <c r="U5" s="47" t="s">
        <v>71</v>
      </c>
      <c r="V5" s="47">
        <v>7</v>
      </c>
      <c r="W5" s="47" t="s">
        <v>474</v>
      </c>
      <c r="X5" s="47"/>
      <c r="Y5" s="47"/>
      <c r="Z5" t="s">
        <v>475</v>
      </c>
      <c r="AB5" s="47" t="s">
        <v>476</v>
      </c>
      <c r="AC5" s="47" t="s">
        <v>54</v>
      </c>
      <c r="AD5" s="47" t="s">
        <v>55</v>
      </c>
      <c r="AE5" s="47" t="s">
        <v>56</v>
      </c>
      <c r="AF5" s="47"/>
      <c r="AG5" s="47"/>
      <c r="AH5" s="47"/>
      <c r="AI5" s="47"/>
      <c r="AJ5" s="47" t="s">
        <v>86</v>
      </c>
      <c r="AK5" s="47" t="s">
        <v>58</v>
      </c>
      <c r="AL5" s="47" t="s">
        <v>87</v>
      </c>
      <c r="AM5" s="47" t="s">
        <v>88</v>
      </c>
      <c r="AN5" s="47" t="s">
        <v>155</v>
      </c>
      <c r="AO5" s="47" t="s">
        <v>62</v>
      </c>
      <c r="AP5" s="47"/>
      <c r="AQ5" s="47">
        <v>9</v>
      </c>
      <c r="AR5" s="52">
        <v>45705.348611111112</v>
      </c>
      <c r="AS5" s="47" t="s">
        <v>474</v>
      </c>
      <c r="AT5">
        <v>100</v>
      </c>
      <c r="AU5" s="48">
        <v>45705</v>
      </c>
      <c r="AV5" s="51">
        <v>0.34877314814814814</v>
      </c>
      <c r="AW5" s="53"/>
      <c r="AX5" s="54"/>
      <c r="AY5" s="53">
        <v>45705</v>
      </c>
      <c r="AZ5" s="54">
        <v>0.34877314814814814</v>
      </c>
      <c r="BA5" t="s">
        <v>372</v>
      </c>
      <c r="BB5" t="s">
        <v>374</v>
      </c>
      <c r="BC5" t="s">
        <v>385</v>
      </c>
      <c r="BD5" s="16">
        <v>45706</v>
      </c>
    </row>
    <row r="6" spans="1:56" ht="15.6" x14ac:dyDescent="0.3">
      <c r="A6" s="47" t="s">
        <v>460</v>
      </c>
      <c r="B6" s="48">
        <v>45705</v>
      </c>
      <c r="C6" s="47">
        <v>2025</v>
      </c>
      <c r="D6" s="47" t="s">
        <v>210</v>
      </c>
      <c r="E6" s="49">
        <v>1</v>
      </c>
      <c r="F6" s="49">
        <v>8</v>
      </c>
      <c r="G6" s="49">
        <v>4</v>
      </c>
      <c r="H6" s="47" t="s">
        <v>91</v>
      </c>
      <c r="I6" s="50">
        <v>48</v>
      </c>
      <c r="J6" s="49">
        <v>17</v>
      </c>
      <c r="K6" s="51">
        <v>0.375</v>
      </c>
      <c r="L6" s="35">
        <v>0.39716435185185184</v>
      </c>
      <c r="M6" t="s">
        <v>48</v>
      </c>
      <c r="N6" s="47" t="s">
        <v>48</v>
      </c>
      <c r="O6" s="47" t="s">
        <v>49</v>
      </c>
      <c r="P6" s="47" t="s">
        <v>49</v>
      </c>
      <c r="Q6" s="47" t="s">
        <v>48</v>
      </c>
      <c r="R6" t="s">
        <v>291</v>
      </c>
      <c r="S6" t="s">
        <v>461</v>
      </c>
      <c r="T6" s="47" t="s">
        <v>462</v>
      </c>
      <c r="U6" s="47" t="s">
        <v>463</v>
      </c>
      <c r="V6" s="47">
        <v>7</v>
      </c>
      <c r="W6" s="47" t="s">
        <v>464</v>
      </c>
      <c r="X6" s="47"/>
      <c r="Y6" s="47"/>
      <c r="Z6" t="s">
        <v>465</v>
      </c>
      <c r="AB6" s="47" t="s">
        <v>466</v>
      </c>
      <c r="AC6" s="47" t="s">
        <v>54</v>
      </c>
      <c r="AD6" s="47" t="s">
        <v>55</v>
      </c>
      <c r="AE6" s="47" t="s">
        <v>56</v>
      </c>
      <c r="AF6" s="47"/>
      <c r="AG6" s="47"/>
      <c r="AH6" s="47"/>
      <c r="AI6" s="47"/>
      <c r="AJ6" s="47" t="s">
        <v>86</v>
      </c>
      <c r="AK6" s="47" t="s">
        <v>58</v>
      </c>
      <c r="AL6" s="47" t="s">
        <v>467</v>
      </c>
      <c r="AM6" s="47" t="s">
        <v>88</v>
      </c>
      <c r="AN6" s="47" t="s">
        <v>155</v>
      </c>
      <c r="AO6" s="47" t="s">
        <v>102</v>
      </c>
      <c r="AP6" s="47"/>
      <c r="AQ6" s="47">
        <v>9</v>
      </c>
      <c r="AR6" s="52">
        <v>45705.396527777775</v>
      </c>
      <c r="AS6" s="47" t="s">
        <v>464</v>
      </c>
      <c r="AT6">
        <v>30</v>
      </c>
      <c r="AU6" s="48">
        <v>45705</v>
      </c>
      <c r="AV6" s="51">
        <v>0.39716435185185184</v>
      </c>
      <c r="AW6" s="53"/>
      <c r="AX6" s="54"/>
      <c r="AY6" s="53">
        <v>45705</v>
      </c>
      <c r="AZ6" s="54">
        <v>0.39716435185185184</v>
      </c>
      <c r="BA6" t="s">
        <v>372</v>
      </c>
      <c r="BB6" t="s">
        <v>374</v>
      </c>
      <c r="BC6" t="s">
        <v>385</v>
      </c>
      <c r="BD6" s="16">
        <v>45706</v>
      </c>
    </row>
  </sheetData>
  <phoneticPr fontId="7" type="noConversion"/>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59E373-9083-4EC7-9F79-EA079F4B6A99}">
  <sheetPr codeName="Sheet9">
    <tabColor rgb="FF00B050"/>
  </sheetPr>
  <dimension ref="A1:H18"/>
  <sheetViews>
    <sheetView topLeftCell="A33" workbookViewId="0">
      <selection activeCell="Y35" sqref="Y35"/>
    </sheetView>
  </sheetViews>
  <sheetFormatPr defaultRowHeight="14.4" x14ac:dyDescent="0.3"/>
  <cols>
    <col min="1" max="1" width="67.6640625" bestFit="1" customWidth="1"/>
    <col min="2" max="2" width="25" bestFit="1" customWidth="1"/>
    <col min="4" max="4" width="33.109375" bestFit="1" customWidth="1"/>
    <col min="5" max="5" width="25" bestFit="1" customWidth="1"/>
    <col min="7" max="7" width="67.6640625" bestFit="1" customWidth="1"/>
    <col min="8" max="8" width="25" bestFit="1" customWidth="1"/>
  </cols>
  <sheetData>
    <row r="1" spans="1:8" ht="21" x14ac:dyDescent="0.4">
      <c r="A1" s="76" t="s">
        <v>257</v>
      </c>
      <c r="B1" s="76"/>
      <c r="D1" s="76" t="s">
        <v>258</v>
      </c>
      <c r="E1" s="76"/>
      <c r="G1" s="76" t="s">
        <v>259</v>
      </c>
      <c r="H1" s="76"/>
    </row>
    <row r="2" spans="1:8" ht="15.6" x14ac:dyDescent="0.3">
      <c r="A2" s="65" t="s">
        <v>33</v>
      </c>
      <c r="B2" s="47" t="s">
        <v>254</v>
      </c>
      <c r="D2" s="65" t="s">
        <v>33</v>
      </c>
      <c r="E2" s="66">
        <v>45691</v>
      </c>
      <c r="G2" s="65" t="s">
        <v>33</v>
      </c>
      <c r="H2" s="47" t="s">
        <v>254</v>
      </c>
    </row>
    <row r="3" spans="1:8" ht="15.6" x14ac:dyDescent="0.3">
      <c r="A3" s="5"/>
      <c r="B3" s="5"/>
      <c r="D3" s="5"/>
      <c r="E3" s="5"/>
      <c r="G3" s="5"/>
      <c r="H3" s="5"/>
    </row>
    <row r="4" spans="1:8" ht="15.6" x14ac:dyDescent="0.3">
      <c r="A4" s="65" t="s">
        <v>255</v>
      </c>
      <c r="B4" s="47" t="s">
        <v>253</v>
      </c>
      <c r="D4" s="65" t="s">
        <v>255</v>
      </c>
      <c r="E4" s="47" t="s">
        <v>253</v>
      </c>
      <c r="G4" s="65" t="s">
        <v>255</v>
      </c>
      <c r="H4" s="47" t="s">
        <v>253</v>
      </c>
    </row>
    <row r="5" spans="1:8" ht="15.6" x14ac:dyDescent="0.3">
      <c r="A5" s="67" t="s">
        <v>81</v>
      </c>
      <c r="B5" s="47"/>
      <c r="D5" s="67" t="s">
        <v>95</v>
      </c>
      <c r="E5" s="47"/>
      <c r="G5" s="67" t="s">
        <v>81</v>
      </c>
      <c r="H5" s="47"/>
    </row>
    <row r="6" spans="1:8" ht="15.6" x14ac:dyDescent="0.3">
      <c r="A6" s="68" t="s">
        <v>293</v>
      </c>
      <c r="B6" s="47">
        <v>1</v>
      </c>
      <c r="D6" s="68" t="s">
        <v>297</v>
      </c>
      <c r="E6" s="47">
        <v>1</v>
      </c>
      <c r="G6" s="68" t="s">
        <v>293</v>
      </c>
      <c r="H6" s="47">
        <v>1</v>
      </c>
    </row>
    <row r="7" spans="1:8" ht="15.6" x14ac:dyDescent="0.3">
      <c r="A7" s="67" t="s">
        <v>48</v>
      </c>
      <c r="B7" s="47"/>
      <c r="D7" s="67" t="s">
        <v>256</v>
      </c>
      <c r="E7" s="47">
        <v>1</v>
      </c>
      <c r="G7" s="67" t="s">
        <v>48</v>
      </c>
      <c r="H7" s="47"/>
    </row>
    <row r="8" spans="1:8" ht="15.6" x14ac:dyDescent="0.3">
      <c r="A8" s="68" t="s">
        <v>295</v>
      </c>
      <c r="B8" s="47">
        <v>1</v>
      </c>
      <c r="G8" s="68" t="s">
        <v>295</v>
      </c>
      <c r="H8" s="47">
        <v>1</v>
      </c>
    </row>
    <row r="9" spans="1:8" ht="15.6" x14ac:dyDescent="0.3">
      <c r="A9" s="68" t="s">
        <v>300</v>
      </c>
      <c r="B9" s="47">
        <v>1</v>
      </c>
      <c r="G9" s="68" t="s">
        <v>300</v>
      </c>
      <c r="H9" s="47">
        <v>1</v>
      </c>
    </row>
    <row r="10" spans="1:8" ht="15.6" x14ac:dyDescent="0.3">
      <c r="A10" s="67" t="s">
        <v>95</v>
      </c>
      <c r="B10" s="47"/>
      <c r="G10" s="67" t="s">
        <v>95</v>
      </c>
      <c r="H10" s="47"/>
    </row>
    <row r="11" spans="1:8" ht="15.6" x14ac:dyDescent="0.3">
      <c r="A11" s="68" t="s">
        <v>297</v>
      </c>
      <c r="B11" s="47">
        <v>2</v>
      </c>
      <c r="G11" s="68" t="s">
        <v>297</v>
      </c>
      <c r="H11" s="47">
        <v>2</v>
      </c>
    </row>
    <row r="12" spans="1:8" ht="15.6" x14ac:dyDescent="0.3">
      <c r="A12" s="68" t="s">
        <v>299</v>
      </c>
      <c r="B12" s="47">
        <v>1</v>
      </c>
      <c r="G12" s="68" t="s">
        <v>299</v>
      </c>
      <c r="H12" s="47">
        <v>1</v>
      </c>
    </row>
    <row r="13" spans="1:8" ht="15.6" x14ac:dyDescent="0.3">
      <c r="A13" s="68" t="s">
        <v>364</v>
      </c>
      <c r="B13" s="47">
        <v>1</v>
      </c>
      <c r="G13" s="68" t="s">
        <v>364</v>
      </c>
      <c r="H13" s="47">
        <v>1</v>
      </c>
    </row>
    <row r="14" spans="1:8" ht="15.6" x14ac:dyDescent="0.3">
      <c r="A14" s="67" t="s">
        <v>126</v>
      </c>
      <c r="B14" s="47"/>
      <c r="G14" s="67" t="s">
        <v>126</v>
      </c>
      <c r="H14" s="47"/>
    </row>
    <row r="15" spans="1:8" ht="15.6" x14ac:dyDescent="0.3">
      <c r="A15" s="68" t="s">
        <v>336</v>
      </c>
      <c r="B15" s="47">
        <v>1</v>
      </c>
      <c r="G15" s="68" t="s">
        <v>336</v>
      </c>
      <c r="H15" s="47">
        <v>1</v>
      </c>
    </row>
    <row r="16" spans="1:8" ht="15.6" x14ac:dyDescent="0.3">
      <c r="A16" s="67" t="s">
        <v>230</v>
      </c>
      <c r="B16" s="47"/>
      <c r="G16" s="67" t="s">
        <v>230</v>
      </c>
      <c r="H16" s="47"/>
    </row>
    <row r="17" spans="1:8" ht="15.6" x14ac:dyDescent="0.3">
      <c r="A17" s="68" t="s">
        <v>293</v>
      </c>
      <c r="B17" s="47">
        <v>1</v>
      </c>
      <c r="G17" s="68" t="s">
        <v>293</v>
      </c>
      <c r="H17" s="47">
        <v>1</v>
      </c>
    </row>
    <row r="18" spans="1:8" ht="15.6" x14ac:dyDescent="0.3">
      <c r="A18" s="67" t="s">
        <v>256</v>
      </c>
      <c r="B18" s="47">
        <v>9</v>
      </c>
      <c r="G18" s="67" t="s">
        <v>256</v>
      </c>
      <c r="H18" s="47">
        <v>9</v>
      </c>
    </row>
  </sheetData>
  <mergeCells count="3">
    <mergeCell ref="A1:B1"/>
    <mergeCell ref="D1:E1"/>
    <mergeCell ref="G1:H1"/>
  </mergeCells>
  <pageMargins left="0.7" right="0.7" top="0.75" bottom="0.75" header="0.3" footer="0.3"/>
  <pageSetup orientation="portrait" r:id="rId4"/>
  <drawing r:id="rId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9D2DB-2E79-45ED-BBB2-A4B91E514FB9}">
  <sheetPr codeName="Sheet10">
    <tabColor rgb="FF002060"/>
  </sheetPr>
  <dimension ref="A1:BD8"/>
  <sheetViews>
    <sheetView topLeftCell="AW1" workbookViewId="0">
      <selection activeCell="BD1" sqref="BD1:BD1048576"/>
    </sheetView>
  </sheetViews>
  <sheetFormatPr defaultRowHeight="14.4" x14ac:dyDescent="0.3"/>
  <cols>
    <col min="1" max="1" width="20.88671875" bestFit="1" customWidth="1"/>
    <col min="2" max="2" width="15.44140625" bestFit="1" customWidth="1"/>
    <col min="3" max="3" width="9.109375" bestFit="1" customWidth="1"/>
    <col min="4" max="4" width="19.88671875" bestFit="1" customWidth="1"/>
    <col min="5" max="5" width="13.109375" bestFit="1" customWidth="1"/>
    <col min="6" max="6" width="20.109375" bestFit="1" customWidth="1"/>
    <col min="7" max="7" width="22.5546875" bestFit="1" customWidth="1"/>
    <col min="8" max="8" width="16.33203125" bestFit="1" customWidth="1"/>
    <col min="9" max="9" width="17.44140625" bestFit="1" customWidth="1"/>
    <col min="10" max="10" width="8.109375" bestFit="1" customWidth="1"/>
    <col min="11" max="11" width="19.44140625" bestFit="1" customWidth="1"/>
    <col min="12" max="12" width="15.88671875" bestFit="1" customWidth="1"/>
    <col min="13" max="13" width="20.6640625" bestFit="1" customWidth="1"/>
    <col min="14" max="14" width="23.6640625" bestFit="1" customWidth="1"/>
    <col min="15" max="16" width="23.33203125" bestFit="1" customWidth="1"/>
    <col min="17" max="17" width="40" bestFit="1" customWidth="1"/>
    <col min="18" max="18" width="31.88671875" bestFit="1" customWidth="1"/>
    <col min="19" max="19" width="27" bestFit="1" customWidth="1"/>
    <col min="20" max="20" width="55.6640625" bestFit="1" customWidth="1"/>
    <col min="21" max="21" width="8.88671875" bestFit="1" customWidth="1"/>
    <col min="22" max="22" width="9.6640625" bestFit="1" customWidth="1"/>
    <col min="23" max="23" width="81.109375" bestFit="1" customWidth="1"/>
    <col min="24" max="24" width="26.6640625" bestFit="1" customWidth="1"/>
    <col min="25" max="25" width="28.88671875" bestFit="1" customWidth="1"/>
    <col min="26" max="26" width="29" bestFit="1" customWidth="1"/>
    <col min="27" max="27" width="11.44140625" bestFit="1" customWidth="1"/>
    <col min="28" max="28" width="21" bestFit="1" customWidth="1"/>
    <col min="29" max="29" width="11.6640625" bestFit="1" customWidth="1"/>
    <col min="30" max="30" width="14.109375" bestFit="1" customWidth="1"/>
    <col min="31" max="31" width="17.5546875" bestFit="1" customWidth="1"/>
    <col min="32" max="32" width="21" bestFit="1" customWidth="1"/>
    <col min="33" max="33" width="17.5546875" bestFit="1" customWidth="1"/>
    <col min="34" max="34" width="11.6640625" bestFit="1" customWidth="1"/>
    <col min="35" max="35" width="12.88671875" bestFit="1" customWidth="1"/>
    <col min="36" max="36" width="19.33203125" bestFit="1" customWidth="1"/>
    <col min="37" max="37" width="21.88671875" bestFit="1" customWidth="1"/>
    <col min="38" max="38" width="29.109375" bestFit="1" customWidth="1"/>
    <col min="39" max="39" width="11.33203125" bestFit="1" customWidth="1"/>
    <col min="40" max="40" width="28.33203125" bestFit="1" customWidth="1"/>
    <col min="41" max="41" width="31.88671875" bestFit="1" customWidth="1"/>
    <col min="42" max="42" width="36.109375" bestFit="1" customWidth="1"/>
    <col min="43" max="43" width="19.109375" bestFit="1" customWidth="1"/>
    <col min="44" max="44" width="29.33203125" bestFit="1" customWidth="1"/>
    <col min="45" max="45" width="81.109375" bestFit="1" customWidth="1"/>
    <col min="46" max="46" width="22.6640625" bestFit="1" customWidth="1"/>
    <col min="47" max="47" width="20.5546875" bestFit="1" customWidth="1"/>
    <col min="48" max="48" width="20.88671875" bestFit="1" customWidth="1"/>
    <col min="49" max="49" width="33.33203125" bestFit="1" customWidth="1"/>
    <col min="50" max="50" width="33.5546875" bestFit="1" customWidth="1"/>
    <col min="51" max="51" width="18.5546875" bestFit="1" customWidth="1"/>
    <col min="52" max="52" width="18.88671875" bestFit="1" customWidth="1"/>
    <col min="53" max="53" width="10.44140625" bestFit="1" customWidth="1"/>
    <col min="54" max="54" width="27.5546875" bestFit="1" customWidth="1"/>
    <col min="55" max="55" width="8.5546875" bestFit="1" customWidth="1"/>
    <col min="56" max="56" width="12.5546875" style="16" bestFit="1" customWidth="1"/>
    <col min="57" max="57" width="14.44140625" bestFit="1" customWidth="1"/>
  </cols>
  <sheetData>
    <row r="1" spans="1:56" ht="18" x14ac:dyDescent="0.35">
      <c r="A1" s="10" t="s">
        <v>0</v>
      </c>
      <c r="B1" s="11" t="s">
        <v>33</v>
      </c>
      <c r="C1" s="10" t="s">
        <v>34</v>
      </c>
      <c r="D1" s="10" t="s">
        <v>35</v>
      </c>
      <c r="E1" s="12" t="s">
        <v>36</v>
      </c>
      <c r="F1" s="12" t="s">
        <v>37</v>
      </c>
      <c r="G1" s="12" t="s">
        <v>38</v>
      </c>
      <c r="H1" s="10" t="s">
        <v>39</v>
      </c>
      <c r="I1" s="13" t="s">
        <v>40</v>
      </c>
      <c r="J1" s="12" t="s">
        <v>41</v>
      </c>
      <c r="K1" s="14" t="s">
        <v>43</v>
      </c>
      <c r="L1" s="14" t="s">
        <v>42</v>
      </c>
      <c r="M1" t="s">
        <v>308</v>
      </c>
      <c r="N1" s="10" t="s">
        <v>7</v>
      </c>
      <c r="O1" s="10" t="s">
        <v>8</v>
      </c>
      <c r="P1" s="10" t="s">
        <v>9</v>
      </c>
      <c r="Q1" s="10" t="s">
        <v>32</v>
      </c>
      <c r="R1" t="s">
        <v>286</v>
      </c>
      <c r="S1" t="s">
        <v>261</v>
      </c>
      <c r="T1" s="10" t="s">
        <v>10</v>
      </c>
      <c r="U1" s="10" t="s">
        <v>11</v>
      </c>
      <c r="V1" s="10" t="s">
        <v>12</v>
      </c>
      <c r="W1" s="10" t="s">
        <v>13</v>
      </c>
      <c r="X1" s="10" t="s">
        <v>14</v>
      </c>
      <c r="Y1" s="10" t="s">
        <v>15</v>
      </c>
      <c r="Z1" t="s">
        <v>314</v>
      </c>
      <c r="AA1" t="s">
        <v>315</v>
      </c>
      <c r="AB1" s="10" t="s">
        <v>16</v>
      </c>
      <c r="AC1" s="10" t="s">
        <v>17</v>
      </c>
      <c r="AD1" s="10" t="s">
        <v>18</v>
      </c>
      <c r="AE1" s="10" t="s">
        <v>19</v>
      </c>
      <c r="AF1" s="10" t="s">
        <v>20</v>
      </c>
      <c r="AG1" s="10" t="s">
        <v>21</v>
      </c>
      <c r="AH1" s="10" t="s">
        <v>22</v>
      </c>
      <c r="AI1" s="10" t="s">
        <v>23</v>
      </c>
      <c r="AJ1" s="10" t="s">
        <v>24</v>
      </c>
      <c r="AK1" s="10" t="s">
        <v>25</v>
      </c>
      <c r="AL1" s="10" t="s">
        <v>26</v>
      </c>
      <c r="AM1" s="10" t="s">
        <v>27</v>
      </c>
      <c r="AN1" s="10" t="s">
        <v>28</v>
      </c>
      <c r="AO1" s="10" t="s">
        <v>29</v>
      </c>
      <c r="AP1" s="10" t="s">
        <v>30</v>
      </c>
      <c r="AQ1" s="10" t="s">
        <v>31</v>
      </c>
      <c r="AR1" s="15" t="s">
        <v>44</v>
      </c>
      <c r="AS1" s="10" t="s">
        <v>45</v>
      </c>
      <c r="AT1" t="s">
        <v>285</v>
      </c>
      <c r="AU1" s="11" t="s">
        <v>1</v>
      </c>
      <c r="AV1" s="14" t="s">
        <v>2</v>
      </c>
      <c r="AW1" s="10" t="s">
        <v>3</v>
      </c>
      <c r="AX1" s="10" t="s">
        <v>4</v>
      </c>
      <c r="AY1" s="10" t="s">
        <v>5</v>
      </c>
      <c r="AZ1" s="10" t="s">
        <v>6</v>
      </c>
      <c r="BA1" t="s">
        <v>371</v>
      </c>
      <c r="BB1" t="s">
        <v>373</v>
      </c>
      <c r="BC1" t="s">
        <v>309</v>
      </c>
      <c r="BD1" s="16" t="s">
        <v>459</v>
      </c>
    </row>
    <row r="2" spans="1:56" ht="15.6" x14ac:dyDescent="0.3">
      <c r="A2" s="28" t="s">
        <v>92</v>
      </c>
      <c r="B2" s="29">
        <v>45670</v>
      </c>
      <c r="C2" s="28">
        <v>2025</v>
      </c>
      <c r="D2" s="28" t="s">
        <v>64</v>
      </c>
      <c r="E2" s="30">
        <v>1</v>
      </c>
      <c r="F2" s="30">
        <v>3</v>
      </c>
      <c r="G2" s="30">
        <v>3</v>
      </c>
      <c r="H2" s="28" t="s">
        <v>91</v>
      </c>
      <c r="I2" s="31">
        <v>13</v>
      </c>
      <c r="J2" s="30">
        <v>13</v>
      </c>
      <c r="K2" s="32">
        <v>0.5</v>
      </c>
      <c r="L2" s="35">
        <v>0.50347222222222221</v>
      </c>
      <c r="M2" t="s">
        <v>95</v>
      </c>
      <c r="N2" s="28" t="s">
        <v>93</v>
      </c>
      <c r="O2" s="28" t="s">
        <v>94</v>
      </c>
      <c r="P2" s="28" t="s">
        <v>95</v>
      </c>
      <c r="Q2" s="28" t="s">
        <v>104</v>
      </c>
      <c r="R2" t="s">
        <v>296</v>
      </c>
      <c r="S2" t="s">
        <v>272</v>
      </c>
      <c r="T2" s="28" t="s">
        <v>96</v>
      </c>
      <c r="U2" s="28" t="s">
        <v>97</v>
      </c>
      <c r="V2" s="28">
        <v>8</v>
      </c>
      <c r="W2" s="28" t="s">
        <v>98</v>
      </c>
      <c r="X2" s="28"/>
      <c r="Y2" s="28"/>
      <c r="AB2" s="28"/>
      <c r="AC2" s="28"/>
      <c r="AD2" s="28"/>
      <c r="AE2" s="28"/>
      <c r="AF2" s="28"/>
      <c r="AG2" s="28"/>
      <c r="AH2" s="28"/>
      <c r="AI2" s="28"/>
      <c r="AJ2" s="28" t="s">
        <v>57</v>
      </c>
      <c r="AK2" s="28" t="s">
        <v>58</v>
      </c>
      <c r="AL2" s="28" t="s">
        <v>99</v>
      </c>
      <c r="AM2" s="28" t="s">
        <v>100</v>
      </c>
      <c r="AN2" s="28" t="s">
        <v>101</v>
      </c>
      <c r="AO2" s="28" t="s">
        <v>102</v>
      </c>
      <c r="AP2" s="28" t="s">
        <v>103</v>
      </c>
      <c r="AQ2" s="28">
        <v>9</v>
      </c>
      <c r="AR2" s="33">
        <v>45670.503472222219</v>
      </c>
      <c r="AS2" s="28" t="s">
        <v>98</v>
      </c>
      <c r="AT2">
        <v>204</v>
      </c>
      <c r="AU2" s="29">
        <v>45670</v>
      </c>
      <c r="AV2" s="32">
        <v>0.50347222222222221</v>
      </c>
      <c r="AW2" s="34"/>
      <c r="AX2" s="35"/>
      <c r="AY2" s="34">
        <v>45670</v>
      </c>
      <c r="AZ2" s="35">
        <v>0.50537037037037036</v>
      </c>
      <c r="BA2" t="s">
        <v>372</v>
      </c>
      <c r="BB2" t="s">
        <v>375</v>
      </c>
      <c r="BC2" t="s">
        <v>386</v>
      </c>
      <c r="BD2" s="16">
        <v>45671</v>
      </c>
    </row>
    <row r="3" spans="1:56" ht="15.6" x14ac:dyDescent="0.3">
      <c r="A3" s="28" t="s">
        <v>118</v>
      </c>
      <c r="B3" s="29">
        <v>45672</v>
      </c>
      <c r="C3" s="28">
        <v>2025</v>
      </c>
      <c r="D3" s="28" t="s">
        <v>64</v>
      </c>
      <c r="E3" s="30">
        <v>1</v>
      </c>
      <c r="F3" s="30">
        <v>3</v>
      </c>
      <c r="G3" s="30">
        <v>3</v>
      </c>
      <c r="H3" s="28" t="s">
        <v>124</v>
      </c>
      <c r="I3" s="31">
        <v>15</v>
      </c>
      <c r="J3" s="30">
        <v>15</v>
      </c>
      <c r="K3" s="32">
        <v>0.5</v>
      </c>
      <c r="L3" s="35">
        <v>0.53988425925925931</v>
      </c>
      <c r="M3" t="s">
        <v>48</v>
      </c>
      <c r="N3" s="28" t="s">
        <v>48</v>
      </c>
      <c r="O3" s="28" t="s">
        <v>49</v>
      </c>
      <c r="P3" s="28" t="s">
        <v>49</v>
      </c>
      <c r="Q3" s="28" t="s">
        <v>48</v>
      </c>
      <c r="R3" t="s">
        <v>298</v>
      </c>
      <c r="S3" t="s">
        <v>273</v>
      </c>
      <c r="T3" s="28" t="s">
        <v>119</v>
      </c>
      <c r="U3" s="28" t="s">
        <v>97</v>
      </c>
      <c r="V3" s="28">
        <v>8</v>
      </c>
      <c r="W3" s="28" t="s">
        <v>120</v>
      </c>
      <c r="X3" s="28"/>
      <c r="Y3" s="28"/>
      <c r="Z3" t="s">
        <v>322</v>
      </c>
      <c r="AB3" s="28" t="s">
        <v>121</v>
      </c>
      <c r="AC3" s="28" t="s">
        <v>54</v>
      </c>
      <c r="AD3" s="28" t="s">
        <v>122</v>
      </c>
      <c r="AE3" s="28" t="s">
        <v>56</v>
      </c>
      <c r="AF3" s="28"/>
      <c r="AG3" s="28"/>
      <c r="AH3" s="28"/>
      <c r="AI3" s="28"/>
      <c r="AJ3" s="28" t="s">
        <v>114</v>
      </c>
      <c r="AK3" s="28" t="s">
        <v>58</v>
      </c>
      <c r="AL3" s="28" t="s">
        <v>123</v>
      </c>
      <c r="AM3" s="28" t="s">
        <v>100</v>
      </c>
      <c r="AN3" s="28" t="s">
        <v>89</v>
      </c>
      <c r="AO3" s="28" t="s">
        <v>62</v>
      </c>
      <c r="AP3" s="28" t="s">
        <v>63</v>
      </c>
      <c r="AQ3" s="28">
        <v>9</v>
      </c>
      <c r="AR3" s="33">
        <v>45672.539583333331</v>
      </c>
      <c r="AS3" s="28" t="s">
        <v>120</v>
      </c>
      <c r="AT3">
        <v>244</v>
      </c>
      <c r="AU3" s="29">
        <v>45672</v>
      </c>
      <c r="AV3" s="32">
        <v>0.53988425925925931</v>
      </c>
      <c r="AW3" s="34"/>
      <c r="AX3" s="35"/>
      <c r="AY3" s="34">
        <v>45672</v>
      </c>
      <c r="AZ3" s="35">
        <v>0.53988425925925931</v>
      </c>
      <c r="BA3" t="s">
        <v>372</v>
      </c>
      <c r="BB3" t="s">
        <v>375</v>
      </c>
      <c r="BC3" t="s">
        <v>380</v>
      </c>
      <c r="BD3" s="16">
        <v>45678</v>
      </c>
    </row>
    <row r="4" spans="1:56" ht="15.6" x14ac:dyDescent="0.3">
      <c r="A4" s="28" t="s">
        <v>156</v>
      </c>
      <c r="B4" s="29">
        <v>45680</v>
      </c>
      <c r="C4" s="28">
        <v>2025</v>
      </c>
      <c r="D4" s="28" t="s">
        <v>64</v>
      </c>
      <c r="E4" s="30">
        <v>1</v>
      </c>
      <c r="F4" s="30">
        <v>4</v>
      </c>
      <c r="G4" s="30">
        <v>4</v>
      </c>
      <c r="H4" s="28" t="s">
        <v>131</v>
      </c>
      <c r="I4" s="31">
        <v>23</v>
      </c>
      <c r="J4" s="30">
        <v>23</v>
      </c>
      <c r="K4" s="32">
        <v>0.625</v>
      </c>
      <c r="L4" s="35">
        <v>0.625</v>
      </c>
      <c r="M4" t="s">
        <v>157</v>
      </c>
      <c r="N4" s="28" t="s">
        <v>157</v>
      </c>
      <c r="O4" s="28" t="s">
        <v>69</v>
      </c>
      <c r="P4" s="28" t="s">
        <v>49</v>
      </c>
      <c r="Q4" s="28" t="s">
        <v>163</v>
      </c>
      <c r="R4" t="s">
        <v>307</v>
      </c>
      <c r="S4" t="s">
        <v>274</v>
      </c>
      <c r="T4" s="28" t="s">
        <v>158</v>
      </c>
      <c r="U4" s="28" t="s">
        <v>97</v>
      </c>
      <c r="V4" s="28">
        <v>8</v>
      </c>
      <c r="W4" s="28" t="s">
        <v>159</v>
      </c>
      <c r="X4" s="28"/>
      <c r="Y4" s="28"/>
      <c r="AB4" s="28"/>
      <c r="AC4" s="28"/>
      <c r="AD4" s="28"/>
      <c r="AE4" s="28"/>
      <c r="AF4" s="28"/>
      <c r="AG4" s="28"/>
      <c r="AH4" s="28"/>
      <c r="AI4" s="28"/>
      <c r="AJ4" s="28" t="s">
        <v>160</v>
      </c>
      <c r="AK4" s="28" t="s">
        <v>58</v>
      </c>
      <c r="AL4" s="28" t="s">
        <v>101</v>
      </c>
      <c r="AM4" s="28" t="s">
        <v>161</v>
      </c>
      <c r="AN4" s="28" t="s">
        <v>76</v>
      </c>
      <c r="AO4" s="28" t="s">
        <v>162</v>
      </c>
      <c r="AP4" s="28"/>
      <c r="AQ4" s="28">
        <v>9</v>
      </c>
      <c r="AR4" s="33">
        <v>45680.625</v>
      </c>
      <c r="AS4" s="28" t="s">
        <v>159</v>
      </c>
      <c r="AT4">
        <v>176</v>
      </c>
      <c r="AU4" s="29">
        <v>45680</v>
      </c>
      <c r="AV4" s="32">
        <v>0.625</v>
      </c>
      <c r="AW4" s="34"/>
      <c r="AX4" s="35"/>
      <c r="AY4" s="34">
        <v>45680</v>
      </c>
      <c r="AZ4" s="35">
        <v>0.66545138888888888</v>
      </c>
      <c r="BA4" t="s">
        <v>372</v>
      </c>
      <c r="BB4" t="s">
        <v>375</v>
      </c>
      <c r="BC4" t="s">
        <v>381</v>
      </c>
      <c r="BD4" s="16">
        <v>45685</v>
      </c>
    </row>
    <row r="5" spans="1:56" ht="15.6" x14ac:dyDescent="0.3">
      <c r="A5" s="28" t="s">
        <v>171</v>
      </c>
      <c r="B5" s="29">
        <v>45682</v>
      </c>
      <c r="C5" s="28">
        <v>2025</v>
      </c>
      <c r="D5" s="28" t="s">
        <v>64</v>
      </c>
      <c r="E5" s="30">
        <v>1</v>
      </c>
      <c r="F5" s="30">
        <v>4</v>
      </c>
      <c r="G5" s="30">
        <v>4</v>
      </c>
      <c r="H5" s="28" t="s">
        <v>170</v>
      </c>
      <c r="I5" s="31">
        <v>25</v>
      </c>
      <c r="J5" s="30">
        <v>25</v>
      </c>
      <c r="K5" s="32">
        <v>0.75</v>
      </c>
      <c r="L5" s="35">
        <v>0.76875000000000004</v>
      </c>
      <c r="M5" t="s">
        <v>81</v>
      </c>
      <c r="N5" s="28" t="s">
        <v>81</v>
      </c>
      <c r="O5" s="28" t="s">
        <v>172</v>
      </c>
      <c r="P5" s="28" t="s">
        <v>49</v>
      </c>
      <c r="Q5" s="28" t="s">
        <v>179</v>
      </c>
      <c r="R5" t="s">
        <v>292</v>
      </c>
      <c r="S5" t="s">
        <v>275</v>
      </c>
      <c r="T5" s="28" t="s">
        <v>173</v>
      </c>
      <c r="U5" s="28" t="s">
        <v>97</v>
      </c>
      <c r="V5" s="28">
        <v>8</v>
      </c>
      <c r="W5" s="28" t="s">
        <v>174</v>
      </c>
      <c r="X5" s="28"/>
      <c r="Y5" s="28"/>
      <c r="Z5" t="s">
        <v>319</v>
      </c>
      <c r="AB5" s="28" t="s">
        <v>175</v>
      </c>
      <c r="AC5" s="28" t="s">
        <v>54</v>
      </c>
      <c r="AD5" s="28" t="s">
        <v>176</v>
      </c>
      <c r="AE5" s="28" t="s">
        <v>56</v>
      </c>
      <c r="AF5" s="28"/>
      <c r="AG5" s="28"/>
      <c r="AH5" s="28"/>
      <c r="AI5" s="28"/>
      <c r="AJ5" s="28" t="s">
        <v>168</v>
      </c>
      <c r="AK5" s="28" t="s">
        <v>58</v>
      </c>
      <c r="AL5" s="28" t="s">
        <v>138</v>
      </c>
      <c r="AM5" s="28" t="s">
        <v>139</v>
      </c>
      <c r="AN5" s="28" t="s">
        <v>177</v>
      </c>
      <c r="AO5" s="28" t="s">
        <v>178</v>
      </c>
      <c r="AP5" s="28" t="s">
        <v>90</v>
      </c>
      <c r="AQ5" s="28">
        <v>9</v>
      </c>
      <c r="AR5" s="33">
        <v>45682.768750000003</v>
      </c>
      <c r="AS5" s="28" t="s">
        <v>174</v>
      </c>
      <c r="AT5">
        <v>206</v>
      </c>
      <c r="AU5" s="29">
        <v>45682</v>
      </c>
      <c r="AV5" s="32">
        <v>0.76875000000000004</v>
      </c>
      <c r="AW5" s="34"/>
      <c r="AX5" s="35"/>
      <c r="AY5" s="34">
        <v>45683</v>
      </c>
      <c r="AZ5" s="35">
        <v>0.44056712962962963</v>
      </c>
      <c r="BA5" t="s">
        <v>372</v>
      </c>
      <c r="BB5" t="s">
        <v>378</v>
      </c>
      <c r="BC5" t="s">
        <v>381</v>
      </c>
      <c r="BD5" s="16">
        <v>45685</v>
      </c>
    </row>
    <row r="6" spans="1:56" ht="15.6" x14ac:dyDescent="0.3">
      <c r="A6" s="28" t="s">
        <v>198</v>
      </c>
      <c r="B6" s="29">
        <v>45688</v>
      </c>
      <c r="C6" s="28">
        <v>2025</v>
      </c>
      <c r="D6" s="28" t="s">
        <v>64</v>
      </c>
      <c r="E6" s="30">
        <v>1</v>
      </c>
      <c r="F6" s="30">
        <v>5</v>
      </c>
      <c r="G6" s="30">
        <v>5</v>
      </c>
      <c r="H6" s="28" t="s">
        <v>65</v>
      </c>
      <c r="I6" s="31">
        <v>31</v>
      </c>
      <c r="J6" s="30">
        <v>31</v>
      </c>
      <c r="K6" s="32">
        <v>0.45833333333333331</v>
      </c>
      <c r="L6" s="35">
        <v>0.49988425925925928</v>
      </c>
      <c r="M6" t="s">
        <v>126</v>
      </c>
      <c r="N6" s="28" t="s">
        <v>126</v>
      </c>
      <c r="O6" s="28" t="s">
        <v>49</v>
      </c>
      <c r="P6" s="28" t="s">
        <v>49</v>
      </c>
      <c r="Q6" s="28" t="s">
        <v>126</v>
      </c>
      <c r="R6" t="s">
        <v>289</v>
      </c>
      <c r="S6" t="s">
        <v>276</v>
      </c>
      <c r="T6" s="28" t="s">
        <v>199</v>
      </c>
      <c r="U6" s="28" t="s">
        <v>200</v>
      </c>
      <c r="V6" s="28">
        <v>8</v>
      </c>
      <c r="W6" s="28" t="s">
        <v>201</v>
      </c>
      <c r="X6" s="28"/>
      <c r="Y6" s="28"/>
      <c r="AB6" s="28"/>
      <c r="AC6" s="28"/>
      <c r="AD6" s="28"/>
      <c r="AE6" s="28"/>
      <c r="AF6" s="28"/>
      <c r="AG6" s="28"/>
      <c r="AH6" s="28"/>
      <c r="AI6" s="28"/>
      <c r="AJ6" s="28" t="s">
        <v>57</v>
      </c>
      <c r="AK6" s="28" t="s">
        <v>58</v>
      </c>
      <c r="AL6" s="28" t="s">
        <v>202</v>
      </c>
      <c r="AM6" s="28" t="s">
        <v>115</v>
      </c>
      <c r="AN6" s="28" t="s">
        <v>116</v>
      </c>
      <c r="AO6" s="28" t="s">
        <v>62</v>
      </c>
      <c r="AP6" s="28" t="s">
        <v>130</v>
      </c>
      <c r="AQ6" s="28">
        <v>9</v>
      </c>
      <c r="AR6" s="33">
        <v>45688.499305555553</v>
      </c>
      <c r="AS6" s="28" t="s">
        <v>201</v>
      </c>
      <c r="AT6">
        <v>292</v>
      </c>
      <c r="AU6" s="29">
        <v>45688</v>
      </c>
      <c r="AV6" s="32">
        <v>0.49988425925925928</v>
      </c>
      <c r="AW6" s="34"/>
      <c r="AX6" s="35"/>
      <c r="AY6" s="34">
        <v>45688</v>
      </c>
      <c r="AZ6" s="35">
        <v>0.49988425925925928</v>
      </c>
      <c r="BA6" t="s">
        <v>372</v>
      </c>
      <c r="BB6" t="s">
        <v>374</v>
      </c>
      <c r="BC6" t="s">
        <v>382</v>
      </c>
      <c r="BD6" s="16">
        <v>45692</v>
      </c>
    </row>
    <row r="7" spans="1:56" ht="15.6" x14ac:dyDescent="0.3">
      <c r="A7" s="28" t="s">
        <v>220</v>
      </c>
      <c r="B7" s="29">
        <v>45691</v>
      </c>
      <c r="C7" s="28">
        <v>2025</v>
      </c>
      <c r="D7" s="28" t="s">
        <v>210</v>
      </c>
      <c r="E7" s="30">
        <v>1</v>
      </c>
      <c r="F7" s="30">
        <v>6</v>
      </c>
      <c r="G7" s="30">
        <v>2</v>
      </c>
      <c r="H7" s="28" t="s">
        <v>91</v>
      </c>
      <c r="I7" s="31">
        <v>34</v>
      </c>
      <c r="J7" s="30">
        <v>3</v>
      </c>
      <c r="K7" s="32">
        <v>0.75</v>
      </c>
      <c r="L7" s="35">
        <v>0.77083333333333337</v>
      </c>
      <c r="M7" t="s">
        <v>48</v>
      </c>
      <c r="N7" s="28" t="s">
        <v>48</v>
      </c>
      <c r="O7" s="28" t="s">
        <v>49</v>
      </c>
      <c r="P7" s="28" t="s">
        <v>49</v>
      </c>
      <c r="Q7" s="28" t="s">
        <v>48</v>
      </c>
      <c r="R7" t="s">
        <v>305</v>
      </c>
      <c r="S7" t="s">
        <v>277</v>
      </c>
      <c r="T7" s="28" t="s">
        <v>221</v>
      </c>
      <c r="U7" s="28" t="s">
        <v>222</v>
      </c>
      <c r="V7" s="28">
        <v>8</v>
      </c>
      <c r="W7" s="28" t="s">
        <v>223</v>
      </c>
      <c r="X7" s="28"/>
      <c r="Y7" s="28"/>
      <c r="Z7" t="s">
        <v>327</v>
      </c>
      <c r="AB7" s="28" t="s">
        <v>224</v>
      </c>
      <c r="AC7" s="28" t="s">
        <v>225</v>
      </c>
      <c r="AD7" s="28" t="s">
        <v>226</v>
      </c>
      <c r="AE7" s="28" t="s">
        <v>227</v>
      </c>
      <c r="AF7" s="28"/>
      <c r="AG7" s="28"/>
      <c r="AH7" s="28"/>
      <c r="AI7" s="28"/>
      <c r="AJ7" s="28" t="s">
        <v>86</v>
      </c>
      <c r="AK7" s="28" t="s">
        <v>58</v>
      </c>
      <c r="AL7" s="28" t="s">
        <v>186</v>
      </c>
      <c r="AM7" s="28" t="s">
        <v>88</v>
      </c>
      <c r="AN7" s="28" t="s">
        <v>89</v>
      </c>
      <c r="AO7" s="28" t="s">
        <v>228</v>
      </c>
      <c r="AP7" s="28" t="s">
        <v>63</v>
      </c>
      <c r="AQ7" s="28">
        <v>9</v>
      </c>
      <c r="AR7" s="33">
        <v>45691.770833333336</v>
      </c>
      <c r="AS7" s="28" t="s">
        <v>223</v>
      </c>
      <c r="AT7">
        <v>55</v>
      </c>
      <c r="AU7" s="29">
        <v>45691</v>
      </c>
      <c r="AV7" s="32">
        <v>0.77083333333333337</v>
      </c>
      <c r="AW7" s="34">
        <v>45692</v>
      </c>
      <c r="AX7" s="35">
        <v>0.79166666666666663</v>
      </c>
      <c r="AY7" s="34">
        <v>45692</v>
      </c>
      <c r="AZ7" s="35">
        <v>0.53023148148148147</v>
      </c>
      <c r="BA7" t="s">
        <v>372</v>
      </c>
      <c r="BB7" t="s">
        <v>378</v>
      </c>
      <c r="BC7" t="s">
        <v>382</v>
      </c>
      <c r="BD7" s="16">
        <v>45692</v>
      </c>
    </row>
    <row r="8" spans="1:56" ht="15.6" x14ac:dyDescent="0.3">
      <c r="A8" s="28" t="s">
        <v>229</v>
      </c>
      <c r="B8" s="29">
        <v>45693</v>
      </c>
      <c r="C8" s="28">
        <v>2025</v>
      </c>
      <c r="D8" s="28" t="s">
        <v>210</v>
      </c>
      <c r="E8" s="30">
        <v>1</v>
      </c>
      <c r="F8" s="30">
        <v>6</v>
      </c>
      <c r="G8" s="30">
        <v>2</v>
      </c>
      <c r="H8" s="28" t="s">
        <v>124</v>
      </c>
      <c r="I8" s="31">
        <v>36</v>
      </c>
      <c r="J8" s="30">
        <v>5</v>
      </c>
      <c r="K8" s="32">
        <v>8.3333333333333329E-2</v>
      </c>
      <c r="L8" s="35">
        <v>0.12291666666666666</v>
      </c>
      <c r="M8" t="s">
        <v>230</v>
      </c>
      <c r="N8" s="28" t="s">
        <v>230</v>
      </c>
      <c r="O8" s="28" t="s">
        <v>231</v>
      </c>
      <c r="P8" s="28" t="s">
        <v>49</v>
      </c>
      <c r="Q8" s="28" t="s">
        <v>236</v>
      </c>
      <c r="R8" t="s">
        <v>290</v>
      </c>
      <c r="S8" t="s">
        <v>278</v>
      </c>
      <c r="T8" s="28" t="s">
        <v>232</v>
      </c>
      <c r="U8" s="28" t="s">
        <v>200</v>
      </c>
      <c r="V8" s="28">
        <v>8</v>
      </c>
      <c r="W8" s="28" t="s">
        <v>233</v>
      </c>
      <c r="X8" s="28"/>
      <c r="Y8" s="28"/>
      <c r="AB8" s="28"/>
      <c r="AC8" s="28"/>
      <c r="AD8" s="28"/>
      <c r="AE8" s="28"/>
      <c r="AF8" s="28"/>
      <c r="AG8" s="28"/>
      <c r="AH8" s="28"/>
      <c r="AI8" s="28"/>
      <c r="AJ8" s="28" t="s">
        <v>114</v>
      </c>
      <c r="AK8" s="28" t="s">
        <v>58</v>
      </c>
      <c r="AL8" s="28" t="s">
        <v>234</v>
      </c>
      <c r="AM8" s="28" t="s">
        <v>139</v>
      </c>
      <c r="AN8" s="28" t="s">
        <v>235</v>
      </c>
      <c r="AO8" s="28" t="s">
        <v>102</v>
      </c>
      <c r="AP8" s="28" t="s">
        <v>130</v>
      </c>
      <c r="AQ8" s="28">
        <v>9</v>
      </c>
      <c r="AR8" s="33">
        <v>45693.122916666667</v>
      </c>
      <c r="AS8" s="28" t="s">
        <v>233</v>
      </c>
      <c r="AT8">
        <v>441</v>
      </c>
      <c r="AU8" s="29">
        <v>45693</v>
      </c>
      <c r="AV8" s="32">
        <v>0.12291666666666666</v>
      </c>
      <c r="AW8" s="34"/>
      <c r="AX8" s="35"/>
      <c r="AY8" s="34">
        <v>45693</v>
      </c>
      <c r="AZ8" s="35">
        <v>0.1233912037037037</v>
      </c>
      <c r="BA8" t="s">
        <v>372</v>
      </c>
      <c r="BB8" t="s">
        <v>377</v>
      </c>
      <c r="BC8" t="s">
        <v>383</v>
      </c>
      <c r="BD8" s="16">
        <v>45699</v>
      </c>
    </row>
  </sheetData>
  <phoneticPr fontId="7" type="noConversion"/>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9B311-6036-409C-82EC-7A25C25AF374}">
  <sheetPr codeName="Sheet11">
    <tabColor rgb="FF002060"/>
  </sheetPr>
  <dimension ref="A1:P18"/>
  <sheetViews>
    <sheetView topLeftCell="A51" workbookViewId="0">
      <selection activeCell="J77" sqref="J77"/>
    </sheetView>
  </sheetViews>
  <sheetFormatPr defaultRowHeight="14.4" x14ac:dyDescent="0.3"/>
  <cols>
    <col min="1" max="1" width="35.5546875" bestFit="1" customWidth="1"/>
    <col min="2" max="2" width="21.109375" bestFit="1" customWidth="1"/>
    <col min="4" max="4" width="35.5546875" bestFit="1" customWidth="1"/>
    <col min="5" max="5" width="21.109375" bestFit="1" customWidth="1"/>
    <col min="7" max="7" width="22.5546875" bestFit="1" customWidth="1"/>
    <col min="8" max="8" width="21.109375" bestFit="1" customWidth="1"/>
    <col min="10" max="10" width="22.5546875" bestFit="1" customWidth="1"/>
    <col min="11" max="11" width="21.109375" bestFit="1" customWidth="1"/>
    <col min="13" max="13" width="30.5546875" customWidth="1"/>
    <col min="14" max="14" width="129.33203125" style="27" customWidth="1"/>
    <col min="15" max="15" width="25.88671875" customWidth="1"/>
    <col min="16" max="16" width="28.6640625" customWidth="1"/>
  </cols>
  <sheetData>
    <row r="1" spans="1:16" ht="21" x14ac:dyDescent="0.4">
      <c r="A1" s="76" t="s">
        <v>257</v>
      </c>
      <c r="B1" s="76"/>
      <c r="D1" s="76" t="s">
        <v>258</v>
      </c>
      <c r="E1" s="76"/>
      <c r="G1" s="76" t="s">
        <v>259</v>
      </c>
      <c r="H1" s="76"/>
      <c r="J1" s="76" t="s">
        <v>309</v>
      </c>
      <c r="K1" s="76"/>
      <c r="O1" t="s">
        <v>316</v>
      </c>
      <c r="P1" t="s">
        <v>317</v>
      </c>
    </row>
    <row r="2" spans="1:16" ht="15.6" x14ac:dyDescent="0.3">
      <c r="A2" s="21" t="s">
        <v>33</v>
      </c>
      <c r="B2" t="s">
        <v>254</v>
      </c>
      <c r="D2" s="21" t="s">
        <v>33</v>
      </c>
      <c r="E2" t="s">
        <v>260</v>
      </c>
      <c r="G2" s="21" t="s">
        <v>33</v>
      </c>
      <c r="H2" s="24">
        <v>45693</v>
      </c>
      <c r="J2" s="26" t="s">
        <v>310</v>
      </c>
      <c r="K2" s="5" t="s">
        <v>312</v>
      </c>
      <c r="M2" s="16" t="s">
        <v>33</v>
      </c>
      <c r="N2" s="27" t="s">
        <v>45</v>
      </c>
      <c r="O2" t="s">
        <v>314</v>
      </c>
      <c r="P2" t="s">
        <v>315</v>
      </c>
    </row>
    <row r="3" spans="1:16" ht="360" hidden="1" x14ac:dyDescent="0.3">
      <c r="A3" s="5"/>
      <c r="B3" s="5"/>
      <c r="D3" s="5"/>
      <c r="E3" s="5"/>
      <c r="G3" s="5"/>
      <c r="H3" s="5"/>
      <c r="J3" s="26" t="s">
        <v>311</v>
      </c>
      <c r="K3" s="5" t="s">
        <v>313</v>
      </c>
      <c r="M3" s="16">
        <v>45670</v>
      </c>
      <c r="N3" s="27" t="s">
        <v>98</v>
      </c>
      <c r="O3">
        <v>0</v>
      </c>
      <c r="P3">
        <v>0</v>
      </c>
    </row>
    <row r="4" spans="1:16" ht="158.4" hidden="1" x14ac:dyDescent="0.3">
      <c r="A4" s="21" t="s">
        <v>255</v>
      </c>
      <c r="B4" t="s">
        <v>253</v>
      </c>
      <c r="D4" s="21" t="s">
        <v>255</v>
      </c>
      <c r="E4" t="s">
        <v>253</v>
      </c>
      <c r="G4" s="21" t="s">
        <v>255</v>
      </c>
      <c r="H4" t="s">
        <v>253</v>
      </c>
      <c r="M4" s="16">
        <v>45672</v>
      </c>
      <c r="N4" s="27" t="s">
        <v>120</v>
      </c>
      <c r="O4" t="s">
        <v>322</v>
      </c>
      <c r="P4">
        <v>0</v>
      </c>
    </row>
    <row r="5" spans="1:16" ht="158.4" hidden="1" x14ac:dyDescent="0.3">
      <c r="A5" s="22" t="s">
        <v>81</v>
      </c>
      <c r="D5" s="22" t="s">
        <v>230</v>
      </c>
      <c r="G5" s="22" t="s">
        <v>230</v>
      </c>
      <c r="M5" s="16">
        <v>45680</v>
      </c>
      <c r="N5" s="27" t="s">
        <v>159</v>
      </c>
      <c r="O5">
        <v>0</v>
      </c>
      <c r="P5">
        <v>0</v>
      </c>
    </row>
    <row r="6" spans="1:16" ht="129.6" hidden="1" x14ac:dyDescent="0.3">
      <c r="A6" s="23" t="s">
        <v>292</v>
      </c>
      <c r="B6">
        <v>1</v>
      </c>
      <c r="D6" s="23" t="s">
        <v>290</v>
      </c>
      <c r="E6">
        <v>1</v>
      </c>
      <c r="G6" s="23" t="s">
        <v>290</v>
      </c>
      <c r="H6">
        <v>1</v>
      </c>
      <c r="M6" s="16">
        <v>45682</v>
      </c>
      <c r="N6" s="27" t="s">
        <v>174</v>
      </c>
      <c r="O6" t="s">
        <v>319</v>
      </c>
      <c r="P6">
        <v>0</v>
      </c>
    </row>
    <row r="7" spans="1:16" ht="172.8" hidden="1" x14ac:dyDescent="0.3">
      <c r="A7" s="22" t="s">
        <v>230</v>
      </c>
      <c r="D7" s="22" t="s">
        <v>126</v>
      </c>
      <c r="G7" s="22" t="s">
        <v>256</v>
      </c>
      <c r="H7">
        <v>1</v>
      </c>
      <c r="M7" s="16">
        <v>45688</v>
      </c>
      <c r="N7" s="27" t="s">
        <v>201</v>
      </c>
      <c r="O7">
        <v>0</v>
      </c>
      <c r="P7">
        <v>0</v>
      </c>
    </row>
    <row r="8" spans="1:16" ht="187.2" hidden="1" x14ac:dyDescent="0.3">
      <c r="A8" s="23" t="s">
        <v>290</v>
      </c>
      <c r="B8">
        <v>1</v>
      </c>
      <c r="D8" s="23" t="s">
        <v>289</v>
      </c>
      <c r="E8">
        <v>1</v>
      </c>
      <c r="M8" s="16">
        <v>45691</v>
      </c>
      <c r="N8" s="27" t="s">
        <v>223</v>
      </c>
      <c r="O8" t="s">
        <v>327</v>
      </c>
      <c r="P8">
        <v>0</v>
      </c>
    </row>
    <row r="9" spans="1:16" ht="244.8" x14ac:dyDescent="0.3">
      <c r="A9" s="22" t="s">
        <v>126</v>
      </c>
      <c r="D9" s="22" t="s">
        <v>48</v>
      </c>
      <c r="M9" s="16">
        <v>45693</v>
      </c>
      <c r="N9" s="27" t="s">
        <v>233</v>
      </c>
      <c r="O9">
        <v>0</v>
      </c>
      <c r="P9">
        <v>0</v>
      </c>
    </row>
    <row r="10" spans="1:16" x14ac:dyDescent="0.3">
      <c r="A10" s="23" t="s">
        <v>289</v>
      </c>
      <c r="B10">
        <v>1</v>
      </c>
      <c r="D10" s="23" t="s">
        <v>305</v>
      </c>
      <c r="E10">
        <v>1</v>
      </c>
    </row>
    <row r="11" spans="1:16" ht="15.6" x14ac:dyDescent="0.3">
      <c r="A11" s="22" t="s">
        <v>48</v>
      </c>
      <c r="D11" s="67" t="s">
        <v>256</v>
      </c>
      <c r="E11" s="47">
        <v>3</v>
      </c>
    </row>
    <row r="12" spans="1:16" x14ac:dyDescent="0.3">
      <c r="A12" s="23" t="s">
        <v>298</v>
      </c>
      <c r="B12">
        <v>1</v>
      </c>
    </row>
    <row r="13" spans="1:16" x14ac:dyDescent="0.3">
      <c r="A13" s="23" t="s">
        <v>305</v>
      </c>
      <c r="B13">
        <v>1</v>
      </c>
      <c r="J13" s="16"/>
    </row>
    <row r="14" spans="1:16" x14ac:dyDescent="0.3">
      <c r="A14" s="22" t="s">
        <v>95</v>
      </c>
    </row>
    <row r="15" spans="1:16" x14ac:dyDescent="0.3">
      <c r="A15" s="23" t="s">
        <v>296</v>
      </c>
      <c r="B15">
        <v>1</v>
      </c>
    </row>
    <row r="16" spans="1:16" x14ac:dyDescent="0.3">
      <c r="A16" s="22" t="s">
        <v>157</v>
      </c>
    </row>
    <row r="17" spans="1:2" x14ac:dyDescent="0.3">
      <c r="A17" s="23" t="s">
        <v>307</v>
      </c>
      <c r="B17">
        <v>1</v>
      </c>
    </row>
    <row r="18" spans="1:2" x14ac:dyDescent="0.3">
      <c r="A18" s="22" t="s">
        <v>256</v>
      </c>
      <c r="B18">
        <v>7</v>
      </c>
    </row>
  </sheetData>
  <mergeCells count="4">
    <mergeCell ref="J1:K1"/>
    <mergeCell ref="A1:B1"/>
    <mergeCell ref="D1:E1"/>
    <mergeCell ref="G1:H1"/>
  </mergeCells>
  <pageMargins left="0.7" right="0.7" top="0.75" bottom="0.75" header="0.3" footer="0.3"/>
  <pageSetup orientation="portrait" r:id="rId4"/>
  <drawing r:id="rId5"/>
  <tableParts count="1">
    <tablePart r:id="rId6"/>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8E2A8-2EE9-43CB-B2F3-50B54928C22E}">
  <sheetPr codeName="Sheet12">
    <tabColor rgb="FF0070C0"/>
  </sheetPr>
  <dimension ref="A1:BD10"/>
  <sheetViews>
    <sheetView topLeftCell="BD1" workbookViewId="0">
      <selection activeCell="BD1" sqref="BD1:BD1048576"/>
    </sheetView>
  </sheetViews>
  <sheetFormatPr defaultRowHeight="14.4" x14ac:dyDescent="0.3"/>
  <cols>
    <col min="1" max="1" width="20.88671875" bestFit="1" customWidth="1"/>
    <col min="2" max="2" width="15.44140625" bestFit="1" customWidth="1"/>
    <col min="3" max="3" width="9.109375" bestFit="1" customWidth="1"/>
    <col min="4" max="4" width="19.88671875" bestFit="1" customWidth="1"/>
    <col min="5" max="5" width="13.109375" bestFit="1" customWidth="1"/>
    <col min="6" max="6" width="20.109375" bestFit="1" customWidth="1"/>
    <col min="7" max="7" width="22.5546875" bestFit="1" customWidth="1"/>
    <col min="8" max="8" width="16.33203125" bestFit="1" customWidth="1"/>
    <col min="9" max="9" width="17.44140625" bestFit="1" customWidth="1"/>
    <col min="10" max="10" width="8.109375" bestFit="1" customWidth="1"/>
    <col min="11" max="11" width="19.44140625" bestFit="1" customWidth="1"/>
    <col min="12" max="12" width="15.88671875" bestFit="1" customWidth="1"/>
    <col min="13" max="13" width="20.6640625" bestFit="1" customWidth="1"/>
    <col min="14" max="14" width="23.6640625" bestFit="1" customWidth="1"/>
    <col min="15" max="15" width="25.109375" bestFit="1" customWidth="1"/>
    <col min="16" max="16" width="23.33203125" bestFit="1" customWidth="1"/>
    <col min="17" max="17" width="55.88671875" bestFit="1" customWidth="1"/>
    <col min="18" max="18" width="55.5546875" bestFit="1" customWidth="1"/>
    <col min="19" max="19" width="49.5546875" bestFit="1" customWidth="1"/>
    <col min="20" max="20" width="81.109375" bestFit="1" customWidth="1"/>
    <col min="21" max="21" width="8.88671875" bestFit="1" customWidth="1"/>
    <col min="22" max="22" width="9.6640625" bestFit="1" customWidth="1"/>
    <col min="23" max="23" width="81.109375" bestFit="1" customWidth="1"/>
    <col min="24" max="24" width="26.6640625" bestFit="1" customWidth="1"/>
    <col min="25" max="25" width="28.88671875" bestFit="1" customWidth="1"/>
    <col min="26" max="26" width="23.33203125" bestFit="1" customWidth="1"/>
    <col min="27" max="27" width="11.44140625" bestFit="1" customWidth="1"/>
    <col min="28" max="28" width="21" bestFit="1" customWidth="1"/>
    <col min="29" max="29" width="11.6640625" bestFit="1" customWidth="1"/>
    <col min="30" max="30" width="12.88671875" bestFit="1" customWidth="1"/>
    <col min="31" max="31" width="17.5546875" bestFit="1" customWidth="1"/>
    <col min="32" max="32" width="21" bestFit="1" customWidth="1"/>
    <col min="33" max="33" width="17.5546875" bestFit="1" customWidth="1"/>
    <col min="34" max="34" width="11.6640625" bestFit="1" customWidth="1"/>
    <col min="35" max="35" width="12.88671875" bestFit="1" customWidth="1"/>
    <col min="36" max="36" width="19.33203125" bestFit="1" customWidth="1"/>
    <col min="37" max="37" width="21.88671875" bestFit="1" customWidth="1"/>
    <col min="38" max="38" width="32.44140625" bestFit="1" customWidth="1"/>
    <col min="39" max="39" width="11.33203125" bestFit="1" customWidth="1"/>
    <col min="40" max="40" width="28" bestFit="1" customWidth="1"/>
    <col min="41" max="41" width="31.88671875" bestFit="1" customWidth="1"/>
    <col min="42" max="42" width="36.109375" bestFit="1" customWidth="1"/>
    <col min="43" max="43" width="19.109375" bestFit="1" customWidth="1"/>
    <col min="44" max="44" width="29.33203125" bestFit="1" customWidth="1"/>
    <col min="45" max="45" width="81.109375" bestFit="1" customWidth="1"/>
    <col min="46" max="46" width="22.6640625" bestFit="1" customWidth="1"/>
    <col min="47" max="47" width="20.5546875" bestFit="1" customWidth="1"/>
    <col min="48" max="48" width="20.88671875" bestFit="1" customWidth="1"/>
    <col min="49" max="49" width="33.33203125" bestFit="1" customWidth="1"/>
    <col min="50" max="50" width="33.5546875" bestFit="1" customWidth="1"/>
    <col min="51" max="51" width="18.5546875" bestFit="1" customWidth="1"/>
    <col min="52" max="52" width="18.88671875" bestFit="1" customWidth="1"/>
    <col min="53" max="53" width="10.44140625" bestFit="1" customWidth="1"/>
    <col min="54" max="54" width="27.5546875" bestFit="1" customWidth="1"/>
    <col min="55" max="55" width="8.5546875" bestFit="1" customWidth="1"/>
    <col min="56" max="56" width="12.5546875" style="16" bestFit="1" customWidth="1"/>
    <col min="57" max="57" width="14.44140625" bestFit="1" customWidth="1"/>
  </cols>
  <sheetData>
    <row r="1" spans="1:56" ht="18" x14ac:dyDescent="0.35">
      <c r="A1" s="10" t="s">
        <v>0</v>
      </c>
      <c r="B1" s="11" t="s">
        <v>33</v>
      </c>
      <c r="C1" s="10" t="s">
        <v>34</v>
      </c>
      <c r="D1" s="10" t="s">
        <v>35</v>
      </c>
      <c r="E1" s="12" t="s">
        <v>36</v>
      </c>
      <c r="F1" s="12" t="s">
        <v>37</v>
      </c>
      <c r="G1" s="12" t="s">
        <v>38</v>
      </c>
      <c r="H1" s="10" t="s">
        <v>39</v>
      </c>
      <c r="I1" s="13" t="s">
        <v>40</v>
      </c>
      <c r="J1" s="12" t="s">
        <v>41</v>
      </c>
      <c r="K1" s="14" t="s">
        <v>43</v>
      </c>
      <c r="L1" s="14" t="s">
        <v>42</v>
      </c>
      <c r="M1" t="s">
        <v>308</v>
      </c>
      <c r="N1" s="10" t="s">
        <v>7</v>
      </c>
      <c r="O1" s="10" t="s">
        <v>8</v>
      </c>
      <c r="P1" s="10" t="s">
        <v>9</v>
      </c>
      <c r="Q1" s="10" t="s">
        <v>32</v>
      </c>
      <c r="R1" t="s">
        <v>286</v>
      </c>
      <c r="S1" t="s">
        <v>261</v>
      </c>
      <c r="T1" s="10" t="s">
        <v>10</v>
      </c>
      <c r="U1" s="10" t="s">
        <v>11</v>
      </c>
      <c r="V1" s="10" t="s">
        <v>12</v>
      </c>
      <c r="W1" s="10" t="s">
        <v>13</v>
      </c>
      <c r="X1" s="10" t="s">
        <v>14</v>
      </c>
      <c r="Y1" s="10" t="s">
        <v>15</v>
      </c>
      <c r="Z1" t="s">
        <v>314</v>
      </c>
      <c r="AA1" t="s">
        <v>315</v>
      </c>
      <c r="AB1" s="10" t="s">
        <v>16</v>
      </c>
      <c r="AC1" s="10" t="s">
        <v>17</v>
      </c>
      <c r="AD1" s="10" t="s">
        <v>18</v>
      </c>
      <c r="AE1" s="10" t="s">
        <v>19</v>
      </c>
      <c r="AF1" s="10" t="s">
        <v>20</v>
      </c>
      <c r="AG1" s="10" t="s">
        <v>21</v>
      </c>
      <c r="AH1" s="10" t="s">
        <v>22</v>
      </c>
      <c r="AI1" s="10" t="s">
        <v>23</v>
      </c>
      <c r="AJ1" s="10" t="s">
        <v>24</v>
      </c>
      <c r="AK1" s="10" t="s">
        <v>25</v>
      </c>
      <c r="AL1" s="10" t="s">
        <v>26</v>
      </c>
      <c r="AM1" s="10" t="s">
        <v>27</v>
      </c>
      <c r="AN1" s="10" t="s">
        <v>28</v>
      </c>
      <c r="AO1" s="10" t="s">
        <v>29</v>
      </c>
      <c r="AP1" s="10" t="s">
        <v>30</v>
      </c>
      <c r="AQ1" s="10" t="s">
        <v>31</v>
      </c>
      <c r="AR1" s="15" t="s">
        <v>44</v>
      </c>
      <c r="AS1" s="10" t="s">
        <v>45</v>
      </c>
      <c r="AT1" t="s">
        <v>285</v>
      </c>
      <c r="AU1" s="11" t="s">
        <v>1</v>
      </c>
      <c r="AV1" s="14" t="s">
        <v>2</v>
      </c>
      <c r="AW1" s="10" t="s">
        <v>3</v>
      </c>
      <c r="AX1" s="10" t="s">
        <v>4</v>
      </c>
      <c r="AY1" s="10" t="s">
        <v>5</v>
      </c>
      <c r="AZ1" s="10" t="s">
        <v>6</v>
      </c>
      <c r="BA1" t="s">
        <v>371</v>
      </c>
      <c r="BB1" t="s">
        <v>373</v>
      </c>
      <c r="BC1" t="s">
        <v>309</v>
      </c>
      <c r="BD1" s="16" t="s">
        <v>459</v>
      </c>
    </row>
    <row r="2" spans="1:56" ht="15.6" x14ac:dyDescent="0.3">
      <c r="A2" s="47" t="s">
        <v>47</v>
      </c>
      <c r="B2" s="48">
        <v>45660</v>
      </c>
      <c r="C2" s="47">
        <v>2025</v>
      </c>
      <c r="D2" s="47" t="s">
        <v>64</v>
      </c>
      <c r="E2" s="49">
        <v>1</v>
      </c>
      <c r="F2" s="49">
        <v>1</v>
      </c>
      <c r="G2" s="49">
        <v>1</v>
      </c>
      <c r="H2" s="47" t="s">
        <v>65</v>
      </c>
      <c r="I2" s="50">
        <v>3</v>
      </c>
      <c r="J2" s="49">
        <v>3</v>
      </c>
      <c r="K2" s="51">
        <v>0.875</v>
      </c>
      <c r="L2" s="35">
        <v>0.89583333333333337</v>
      </c>
      <c r="M2" t="s">
        <v>48</v>
      </c>
      <c r="N2" s="47" t="s">
        <v>48</v>
      </c>
      <c r="O2" s="47" t="s">
        <v>49</v>
      </c>
      <c r="P2" s="47" t="s">
        <v>49</v>
      </c>
      <c r="Q2" s="47" t="s">
        <v>48</v>
      </c>
      <c r="R2" t="s">
        <v>295</v>
      </c>
      <c r="S2" t="s">
        <v>279</v>
      </c>
      <c r="T2" s="47" t="s">
        <v>50</v>
      </c>
      <c r="U2" s="47" t="s">
        <v>51</v>
      </c>
      <c r="V2" s="47">
        <v>9</v>
      </c>
      <c r="W2" s="47" t="s">
        <v>52</v>
      </c>
      <c r="X2" s="47"/>
      <c r="Y2" s="47"/>
      <c r="Z2" t="s">
        <v>321</v>
      </c>
      <c r="AB2" s="47" t="s">
        <v>53</v>
      </c>
      <c r="AC2" s="47" t="s">
        <v>54</v>
      </c>
      <c r="AD2" s="47" t="s">
        <v>55</v>
      </c>
      <c r="AE2" s="47" t="s">
        <v>56</v>
      </c>
      <c r="AF2" s="47"/>
      <c r="AG2" s="47"/>
      <c r="AH2" s="47"/>
      <c r="AI2" s="47"/>
      <c r="AJ2" s="47" t="s">
        <v>57</v>
      </c>
      <c r="AK2" s="47" t="s">
        <v>58</v>
      </c>
      <c r="AL2" s="47" t="s">
        <v>59</v>
      </c>
      <c r="AM2" s="47" t="s">
        <v>60</v>
      </c>
      <c r="AN2" s="47" t="s">
        <v>61</v>
      </c>
      <c r="AO2" s="47" t="s">
        <v>62</v>
      </c>
      <c r="AP2" s="47" t="s">
        <v>63</v>
      </c>
      <c r="AQ2" s="47">
        <v>9</v>
      </c>
      <c r="AR2" s="52">
        <v>45660.895833333336</v>
      </c>
      <c r="AS2" s="47" t="s">
        <v>52</v>
      </c>
      <c r="AT2">
        <v>309</v>
      </c>
      <c r="AU2" s="48">
        <v>45660</v>
      </c>
      <c r="AV2" s="51">
        <v>0.89583333333333337</v>
      </c>
      <c r="AW2" s="53">
        <v>45661</v>
      </c>
      <c r="AX2" s="54">
        <v>0.2673611111111111</v>
      </c>
      <c r="AY2" s="53">
        <v>45661</v>
      </c>
      <c r="AZ2" s="54">
        <v>0.45774305555555556</v>
      </c>
      <c r="BA2" t="s">
        <v>372</v>
      </c>
      <c r="BB2" t="s">
        <v>376</v>
      </c>
      <c r="BC2" t="s">
        <v>384</v>
      </c>
      <c r="BD2" s="16">
        <v>45664</v>
      </c>
    </row>
    <row r="3" spans="1:56" ht="15.6" x14ac:dyDescent="0.3">
      <c r="A3" s="47" t="s">
        <v>105</v>
      </c>
      <c r="B3" s="48">
        <v>45671</v>
      </c>
      <c r="C3" s="47">
        <v>2025</v>
      </c>
      <c r="D3" s="47" t="s">
        <v>64</v>
      </c>
      <c r="E3" s="49">
        <v>1</v>
      </c>
      <c r="F3" s="49">
        <v>3</v>
      </c>
      <c r="G3" s="49">
        <v>3</v>
      </c>
      <c r="H3" s="47" t="s">
        <v>79</v>
      </c>
      <c r="I3" s="50">
        <v>14</v>
      </c>
      <c r="J3" s="49">
        <v>14</v>
      </c>
      <c r="K3" s="51">
        <v>0.625</v>
      </c>
      <c r="L3" s="35">
        <v>0.64067129629629627</v>
      </c>
      <c r="M3" t="s">
        <v>95</v>
      </c>
      <c r="N3" s="47" t="s">
        <v>95</v>
      </c>
      <c r="O3" s="47" t="s">
        <v>106</v>
      </c>
      <c r="P3" s="47" t="s">
        <v>107</v>
      </c>
      <c r="Q3" s="47" t="s">
        <v>117</v>
      </c>
      <c r="R3" t="s">
        <v>297</v>
      </c>
      <c r="S3" t="s">
        <v>280</v>
      </c>
      <c r="T3" s="47" t="s">
        <v>108</v>
      </c>
      <c r="U3" s="47" t="s">
        <v>109</v>
      </c>
      <c r="V3" s="47">
        <v>9</v>
      </c>
      <c r="W3" s="47" t="s">
        <v>110</v>
      </c>
      <c r="X3" s="47"/>
      <c r="Y3" s="47"/>
      <c r="Z3" t="s">
        <v>330</v>
      </c>
      <c r="AB3" s="47" t="s">
        <v>111</v>
      </c>
      <c r="AC3" s="47" t="s">
        <v>112</v>
      </c>
      <c r="AD3" s="47" t="s">
        <v>113</v>
      </c>
      <c r="AE3" s="47" t="s">
        <v>56</v>
      </c>
      <c r="AF3" s="47"/>
      <c r="AG3" s="47"/>
      <c r="AH3" s="47"/>
      <c r="AI3" s="47"/>
      <c r="AJ3" s="47" t="s">
        <v>114</v>
      </c>
      <c r="AK3" s="47" t="s">
        <v>58</v>
      </c>
      <c r="AL3" s="47" t="s">
        <v>59</v>
      </c>
      <c r="AM3" s="47" t="s">
        <v>115</v>
      </c>
      <c r="AN3" s="47" t="s">
        <v>116</v>
      </c>
      <c r="AO3" s="47" t="s">
        <v>102</v>
      </c>
      <c r="AP3" s="47" t="s">
        <v>103</v>
      </c>
      <c r="AQ3" s="47">
        <v>9</v>
      </c>
      <c r="AR3" s="52">
        <v>45671.640277777777</v>
      </c>
      <c r="AS3" s="47" t="s">
        <v>110</v>
      </c>
      <c r="AT3">
        <v>450</v>
      </c>
      <c r="AU3" s="48">
        <v>45671</v>
      </c>
      <c r="AV3" s="51">
        <v>0.64067129629629627</v>
      </c>
      <c r="AW3" s="53"/>
      <c r="AX3" s="54"/>
      <c r="AY3" s="53">
        <v>45671</v>
      </c>
      <c r="AZ3" s="54">
        <v>0.64067129629629627</v>
      </c>
      <c r="BA3" t="s">
        <v>372</v>
      </c>
      <c r="BB3" t="s">
        <v>375</v>
      </c>
      <c r="BC3" t="s">
        <v>380</v>
      </c>
      <c r="BD3" s="16">
        <v>45671</v>
      </c>
    </row>
    <row r="4" spans="1:56" ht="15.6" x14ac:dyDescent="0.3">
      <c r="A4" s="47" t="s">
        <v>332</v>
      </c>
      <c r="B4" s="48">
        <v>45671</v>
      </c>
      <c r="C4" s="47">
        <v>2025</v>
      </c>
      <c r="D4" s="47" t="s">
        <v>64</v>
      </c>
      <c r="E4" s="49">
        <v>1</v>
      </c>
      <c r="F4" s="49">
        <v>3</v>
      </c>
      <c r="G4" s="49">
        <v>3</v>
      </c>
      <c r="H4" s="47" t="s">
        <v>79</v>
      </c>
      <c r="I4" s="50">
        <v>14</v>
      </c>
      <c r="J4" s="49">
        <v>14</v>
      </c>
      <c r="K4" s="51">
        <v>0.45833333333333331</v>
      </c>
      <c r="L4" s="35">
        <v>0.46388888888888891</v>
      </c>
      <c r="M4" t="s">
        <v>126</v>
      </c>
      <c r="N4" s="47" t="s">
        <v>126</v>
      </c>
      <c r="O4" s="47" t="s">
        <v>333</v>
      </c>
      <c r="P4" s="47" t="s">
        <v>334</v>
      </c>
      <c r="Q4" s="47" t="s">
        <v>335</v>
      </c>
      <c r="R4" t="s">
        <v>336</v>
      </c>
      <c r="S4" t="s">
        <v>337</v>
      </c>
      <c r="T4" s="47" t="s">
        <v>338</v>
      </c>
      <c r="U4" s="47" t="s">
        <v>339</v>
      </c>
      <c r="V4" s="47">
        <v>9</v>
      </c>
      <c r="W4" s="47" t="s">
        <v>340</v>
      </c>
      <c r="X4" s="47"/>
      <c r="Y4" s="47"/>
      <c r="AB4" s="47"/>
      <c r="AC4" s="47"/>
      <c r="AD4" s="47"/>
      <c r="AE4" s="47"/>
      <c r="AF4" s="47"/>
      <c r="AG4" s="47"/>
      <c r="AH4" s="47"/>
      <c r="AI4" s="47"/>
      <c r="AJ4" s="47" t="s">
        <v>341</v>
      </c>
      <c r="AK4" s="47" t="s">
        <v>58</v>
      </c>
      <c r="AL4" s="47" t="s">
        <v>342</v>
      </c>
      <c r="AM4" s="47" t="s">
        <v>115</v>
      </c>
      <c r="AN4" s="47" t="s">
        <v>116</v>
      </c>
      <c r="AO4" s="47" t="s">
        <v>228</v>
      </c>
      <c r="AP4" s="47" t="s">
        <v>130</v>
      </c>
      <c r="AQ4" s="47">
        <v>9</v>
      </c>
      <c r="AR4" s="52">
        <v>45671.463888888888</v>
      </c>
      <c r="AS4" s="47" t="s">
        <v>340</v>
      </c>
      <c r="AT4">
        <v>895</v>
      </c>
      <c r="AU4" s="48">
        <v>45671</v>
      </c>
      <c r="AV4" s="51">
        <v>0.46388888888888891</v>
      </c>
      <c r="AW4" s="53"/>
      <c r="AX4" s="54"/>
      <c r="AY4" s="53">
        <v>45671</v>
      </c>
      <c r="AZ4" s="54">
        <v>0.46740740740740738</v>
      </c>
      <c r="BA4" t="s">
        <v>372</v>
      </c>
      <c r="BB4" t="s">
        <v>374</v>
      </c>
      <c r="BC4" t="s">
        <v>380</v>
      </c>
      <c r="BD4" s="16">
        <v>45671</v>
      </c>
    </row>
    <row r="5" spans="1:56" ht="15.6" x14ac:dyDescent="0.3">
      <c r="A5" s="47" t="s">
        <v>132</v>
      </c>
      <c r="B5" s="48">
        <v>45673</v>
      </c>
      <c r="C5" s="47">
        <v>2025</v>
      </c>
      <c r="D5" s="47" t="s">
        <v>64</v>
      </c>
      <c r="E5" s="49">
        <v>1</v>
      </c>
      <c r="F5" s="49">
        <v>3</v>
      </c>
      <c r="G5" s="49">
        <v>3</v>
      </c>
      <c r="H5" s="47" t="s">
        <v>131</v>
      </c>
      <c r="I5" s="50">
        <v>16</v>
      </c>
      <c r="J5" s="49">
        <v>16</v>
      </c>
      <c r="K5" s="51">
        <v>0.875</v>
      </c>
      <c r="L5" s="35">
        <v>0.87708333333333333</v>
      </c>
      <c r="M5" t="s">
        <v>95</v>
      </c>
      <c r="N5" s="47" t="s">
        <v>95</v>
      </c>
      <c r="O5" s="47" t="s">
        <v>49</v>
      </c>
      <c r="P5" s="47" t="s">
        <v>49</v>
      </c>
      <c r="Q5" s="47" t="s">
        <v>95</v>
      </c>
      <c r="R5" t="s">
        <v>299</v>
      </c>
      <c r="S5" t="s">
        <v>281</v>
      </c>
      <c r="T5" s="47" t="s">
        <v>133</v>
      </c>
      <c r="U5" s="47" t="s">
        <v>134</v>
      </c>
      <c r="V5" s="47">
        <v>9</v>
      </c>
      <c r="W5" s="47" t="s">
        <v>135</v>
      </c>
      <c r="X5" s="47"/>
      <c r="Y5" s="47"/>
      <c r="Z5" t="s">
        <v>331</v>
      </c>
      <c r="AB5" s="47"/>
      <c r="AC5" s="47" t="s">
        <v>136</v>
      </c>
      <c r="AD5" s="47" t="s">
        <v>137</v>
      </c>
      <c r="AE5" s="47"/>
      <c r="AF5" s="47"/>
      <c r="AG5" s="47"/>
      <c r="AH5" s="47"/>
      <c r="AI5" s="47"/>
      <c r="AJ5" s="47" t="s">
        <v>86</v>
      </c>
      <c r="AK5" s="47" t="s">
        <v>58</v>
      </c>
      <c r="AL5" s="47" t="s">
        <v>138</v>
      </c>
      <c r="AM5" s="47" t="s">
        <v>139</v>
      </c>
      <c r="AN5" s="47" t="s">
        <v>140</v>
      </c>
      <c r="AO5" s="47" t="s">
        <v>102</v>
      </c>
      <c r="AP5" s="47" t="s">
        <v>103</v>
      </c>
      <c r="AQ5" s="47">
        <v>9</v>
      </c>
      <c r="AR5" s="52">
        <v>45673.877083333333</v>
      </c>
      <c r="AS5" s="47" t="s">
        <v>135</v>
      </c>
      <c r="AT5">
        <v>630</v>
      </c>
      <c r="AU5" s="48">
        <v>45673</v>
      </c>
      <c r="AV5" s="51">
        <v>0.87708333333333333</v>
      </c>
      <c r="AW5" s="53">
        <v>45673</v>
      </c>
      <c r="AX5" s="54">
        <v>0.88611111111111107</v>
      </c>
      <c r="AY5" s="53">
        <v>45674</v>
      </c>
      <c r="AZ5" s="54">
        <v>0.51179398148148147</v>
      </c>
      <c r="BA5" t="s">
        <v>372</v>
      </c>
      <c r="BB5" t="s">
        <v>376</v>
      </c>
      <c r="BC5" t="s">
        <v>380</v>
      </c>
      <c r="BD5" s="16">
        <v>45678</v>
      </c>
    </row>
    <row r="6" spans="1:56" ht="15.6" x14ac:dyDescent="0.3">
      <c r="A6" s="47" t="s">
        <v>141</v>
      </c>
      <c r="B6" s="48">
        <v>45678</v>
      </c>
      <c r="C6" s="47">
        <v>2025</v>
      </c>
      <c r="D6" s="47" t="s">
        <v>64</v>
      </c>
      <c r="E6" s="49">
        <v>1</v>
      </c>
      <c r="F6" s="49">
        <v>4</v>
      </c>
      <c r="G6" s="49">
        <v>4</v>
      </c>
      <c r="H6" s="47" t="s">
        <v>79</v>
      </c>
      <c r="I6" s="50">
        <v>21</v>
      </c>
      <c r="J6" s="49">
        <v>21</v>
      </c>
      <c r="K6" s="51">
        <v>0.79166666666666663</v>
      </c>
      <c r="L6" s="35">
        <v>0.79166666666666663</v>
      </c>
      <c r="M6" t="s">
        <v>48</v>
      </c>
      <c r="N6" s="47" t="s">
        <v>48</v>
      </c>
      <c r="O6" s="47" t="s">
        <v>49</v>
      </c>
      <c r="P6" s="47" t="s">
        <v>49</v>
      </c>
      <c r="Q6" s="47" t="s">
        <v>48</v>
      </c>
      <c r="R6" t="s">
        <v>300</v>
      </c>
      <c r="S6" t="s">
        <v>282</v>
      </c>
      <c r="T6" s="47" t="s">
        <v>142</v>
      </c>
      <c r="U6" s="47" t="s">
        <v>134</v>
      </c>
      <c r="V6" s="47">
        <v>9</v>
      </c>
      <c r="W6" s="47" t="s">
        <v>143</v>
      </c>
      <c r="X6" s="47"/>
      <c r="Y6" s="47"/>
      <c r="Z6" t="s">
        <v>323</v>
      </c>
      <c r="AB6" s="47" t="s">
        <v>144</v>
      </c>
      <c r="AC6" s="47" t="s">
        <v>54</v>
      </c>
      <c r="AD6" s="47" t="s">
        <v>145</v>
      </c>
      <c r="AE6" s="47" t="s">
        <v>56</v>
      </c>
      <c r="AF6" s="47"/>
      <c r="AG6" s="47"/>
      <c r="AH6" s="47"/>
      <c r="AI6" s="47"/>
      <c r="AJ6" s="47" t="s">
        <v>146</v>
      </c>
      <c r="AK6" s="47" t="s">
        <v>58</v>
      </c>
      <c r="AL6" s="47" t="s">
        <v>147</v>
      </c>
      <c r="AM6" s="47" t="s">
        <v>60</v>
      </c>
      <c r="AN6" s="47" t="s">
        <v>116</v>
      </c>
      <c r="AO6" s="47" t="s">
        <v>62</v>
      </c>
      <c r="AP6" s="47" t="s">
        <v>63</v>
      </c>
      <c r="AQ6" s="47">
        <v>9</v>
      </c>
      <c r="AR6" s="52">
        <v>45678.791666666664</v>
      </c>
      <c r="AS6" s="47" t="s">
        <v>143</v>
      </c>
      <c r="AT6">
        <v>33</v>
      </c>
      <c r="AU6" s="48">
        <v>45678</v>
      </c>
      <c r="AV6" s="51">
        <v>0.79166666666666663</v>
      </c>
      <c r="AW6" s="53">
        <v>45679</v>
      </c>
      <c r="AX6" s="54">
        <v>0.13125000000000001</v>
      </c>
      <c r="AY6" s="53">
        <v>45679</v>
      </c>
      <c r="AZ6" s="54">
        <v>0.13255787037037037</v>
      </c>
      <c r="BA6" t="s">
        <v>372</v>
      </c>
      <c r="BB6" t="s">
        <v>378</v>
      </c>
      <c r="BC6" t="s">
        <v>381</v>
      </c>
      <c r="BD6" s="16">
        <v>45678</v>
      </c>
    </row>
    <row r="7" spans="1:56" ht="15.6" x14ac:dyDescent="0.3">
      <c r="A7" s="47" t="s">
        <v>180</v>
      </c>
      <c r="B7" s="48">
        <v>45683</v>
      </c>
      <c r="C7" s="47">
        <v>2025</v>
      </c>
      <c r="D7" s="47" t="s">
        <v>64</v>
      </c>
      <c r="E7" s="49">
        <v>1</v>
      </c>
      <c r="F7" s="49">
        <v>5</v>
      </c>
      <c r="G7" s="49">
        <v>5</v>
      </c>
      <c r="H7" s="47" t="s">
        <v>188</v>
      </c>
      <c r="I7" s="50">
        <v>26</v>
      </c>
      <c r="J7" s="49">
        <v>26</v>
      </c>
      <c r="K7" s="51">
        <v>0.83333333333333337</v>
      </c>
      <c r="L7" s="35">
        <v>0.84027777777777779</v>
      </c>
      <c r="M7" t="s">
        <v>81</v>
      </c>
      <c r="N7" s="47" t="s">
        <v>81</v>
      </c>
      <c r="O7" s="47" t="s">
        <v>172</v>
      </c>
      <c r="P7" s="47" t="s">
        <v>49</v>
      </c>
      <c r="Q7" s="47" t="s">
        <v>179</v>
      </c>
      <c r="R7" t="s">
        <v>293</v>
      </c>
      <c r="S7" t="s">
        <v>283</v>
      </c>
      <c r="T7" s="47" t="s">
        <v>181</v>
      </c>
      <c r="U7" s="47" t="s">
        <v>182</v>
      </c>
      <c r="V7" s="47">
        <v>9</v>
      </c>
      <c r="W7" s="47" t="s">
        <v>183</v>
      </c>
      <c r="X7" s="47"/>
      <c r="Y7" s="47"/>
      <c r="Z7" t="s">
        <v>320</v>
      </c>
      <c r="AB7" s="47" t="s">
        <v>184</v>
      </c>
      <c r="AC7" s="47" t="s">
        <v>54</v>
      </c>
      <c r="AD7" s="47" t="s">
        <v>185</v>
      </c>
      <c r="AE7" s="47" t="s">
        <v>56</v>
      </c>
      <c r="AF7" s="47"/>
      <c r="AG7" s="47"/>
      <c r="AH7" s="47"/>
      <c r="AI7" s="47"/>
      <c r="AJ7" s="47" t="s">
        <v>86</v>
      </c>
      <c r="AK7" s="47" t="s">
        <v>58</v>
      </c>
      <c r="AL7" s="47" t="s">
        <v>186</v>
      </c>
      <c r="AM7" s="47" t="s">
        <v>88</v>
      </c>
      <c r="AN7" s="47" t="s">
        <v>187</v>
      </c>
      <c r="AO7" s="47" t="s">
        <v>102</v>
      </c>
      <c r="AP7" s="47" t="s">
        <v>90</v>
      </c>
      <c r="AQ7" s="47">
        <v>9</v>
      </c>
      <c r="AR7" s="52">
        <v>45683.840277777781</v>
      </c>
      <c r="AS7" s="47" t="s">
        <v>183</v>
      </c>
      <c r="AT7">
        <v>5</v>
      </c>
      <c r="AU7" s="48">
        <v>45683</v>
      </c>
      <c r="AV7" s="51">
        <v>0.84027777777777779</v>
      </c>
      <c r="AW7" s="53">
        <v>45683</v>
      </c>
      <c r="AX7" s="54">
        <v>0.84652777777777777</v>
      </c>
      <c r="AY7" s="53">
        <v>45683</v>
      </c>
      <c r="AZ7" s="54">
        <v>0.85009259259259262</v>
      </c>
      <c r="BA7" t="s">
        <v>372</v>
      </c>
      <c r="BB7" t="s">
        <v>376</v>
      </c>
      <c r="BC7" t="s">
        <v>381</v>
      </c>
      <c r="BD7" s="16">
        <v>45685</v>
      </c>
    </row>
    <row r="8" spans="1:56" ht="15.6" x14ac:dyDescent="0.3">
      <c r="A8" s="47" t="s">
        <v>217</v>
      </c>
      <c r="B8" s="48">
        <v>45691</v>
      </c>
      <c r="C8" s="47">
        <v>2025</v>
      </c>
      <c r="D8" s="47" t="s">
        <v>210</v>
      </c>
      <c r="E8" s="49">
        <v>1</v>
      </c>
      <c r="F8" s="49">
        <v>6</v>
      </c>
      <c r="G8" s="49">
        <v>2</v>
      </c>
      <c r="H8" s="47" t="s">
        <v>91</v>
      </c>
      <c r="I8" s="50">
        <v>34</v>
      </c>
      <c r="J8" s="49">
        <v>3</v>
      </c>
      <c r="K8" s="51">
        <v>0.66666666666666663</v>
      </c>
      <c r="L8" s="35">
        <v>0.694849537037037</v>
      </c>
      <c r="M8" t="s">
        <v>95</v>
      </c>
      <c r="N8" s="47" t="s">
        <v>95</v>
      </c>
      <c r="O8" s="47" t="s">
        <v>49</v>
      </c>
      <c r="P8" s="47" t="s">
        <v>49</v>
      </c>
      <c r="Q8" s="47" t="s">
        <v>95</v>
      </c>
      <c r="R8" t="s">
        <v>297</v>
      </c>
      <c r="S8" t="s">
        <v>284</v>
      </c>
      <c r="T8" s="47" t="s">
        <v>218</v>
      </c>
      <c r="U8" s="47" t="s">
        <v>109</v>
      </c>
      <c r="V8" s="47">
        <v>9</v>
      </c>
      <c r="W8" s="47" t="s">
        <v>219</v>
      </c>
      <c r="X8" s="47"/>
      <c r="Y8" s="47"/>
      <c r="AB8" s="47"/>
      <c r="AC8" s="47"/>
      <c r="AD8" s="47"/>
      <c r="AE8" s="47"/>
      <c r="AF8" s="47"/>
      <c r="AG8" s="47"/>
      <c r="AH8" s="47"/>
      <c r="AI8" s="47"/>
      <c r="AJ8" s="47" t="s">
        <v>168</v>
      </c>
      <c r="AK8" s="47" t="s">
        <v>58</v>
      </c>
      <c r="AL8" s="47" t="s">
        <v>129</v>
      </c>
      <c r="AM8" s="47" t="s">
        <v>88</v>
      </c>
      <c r="AN8" s="47" t="s">
        <v>187</v>
      </c>
      <c r="AO8" s="47" t="s">
        <v>62</v>
      </c>
      <c r="AP8" s="47" t="s">
        <v>103</v>
      </c>
      <c r="AQ8" s="47">
        <v>9</v>
      </c>
      <c r="AR8" s="52">
        <v>45691.694444444445</v>
      </c>
      <c r="AS8" s="47" t="s">
        <v>219</v>
      </c>
      <c r="AT8">
        <v>400</v>
      </c>
      <c r="AU8" s="48"/>
      <c r="AV8" s="51"/>
      <c r="AW8" s="53"/>
      <c r="AX8" s="54"/>
      <c r="AY8" s="53">
        <v>45691</v>
      </c>
      <c r="AZ8" s="54">
        <v>0.694849537037037</v>
      </c>
      <c r="BA8" t="s">
        <v>372</v>
      </c>
      <c r="BB8" t="s">
        <v>378</v>
      </c>
      <c r="BC8" t="s">
        <v>382</v>
      </c>
      <c r="BD8" s="16">
        <v>45692</v>
      </c>
    </row>
    <row r="9" spans="1:56" ht="15.6" x14ac:dyDescent="0.3">
      <c r="A9" s="55" t="s">
        <v>360</v>
      </c>
      <c r="B9" s="56">
        <v>45701</v>
      </c>
      <c r="C9" s="55">
        <v>2025</v>
      </c>
      <c r="D9" s="55" t="s">
        <v>210</v>
      </c>
      <c r="E9" s="57">
        <v>1</v>
      </c>
      <c r="F9" s="57">
        <v>7</v>
      </c>
      <c r="G9" s="57">
        <v>3</v>
      </c>
      <c r="H9" s="55" t="s">
        <v>131</v>
      </c>
      <c r="I9" s="58">
        <v>44</v>
      </c>
      <c r="J9" s="57">
        <v>13</v>
      </c>
      <c r="K9" s="59">
        <v>8.3333333333333329E-2</v>
      </c>
      <c r="L9" s="45">
        <v>8.3333333333333329E-2</v>
      </c>
      <c r="M9" s="42" t="s">
        <v>95</v>
      </c>
      <c r="N9" s="55" t="s">
        <v>361</v>
      </c>
      <c r="O9" s="55" t="s">
        <v>362</v>
      </c>
      <c r="P9" s="55" t="s">
        <v>95</v>
      </c>
      <c r="Q9" s="55" t="s">
        <v>363</v>
      </c>
      <c r="R9" s="42" t="s">
        <v>364</v>
      </c>
      <c r="S9" s="42" t="s">
        <v>365</v>
      </c>
      <c r="T9" s="55" t="s">
        <v>366</v>
      </c>
      <c r="U9" s="55" t="s">
        <v>339</v>
      </c>
      <c r="V9" s="55">
        <v>9</v>
      </c>
      <c r="W9" s="55" t="s">
        <v>367</v>
      </c>
      <c r="X9" s="55"/>
      <c r="Y9" s="55"/>
      <c r="Z9" s="42"/>
      <c r="AA9" s="42"/>
      <c r="AB9" s="55"/>
      <c r="AC9" s="55"/>
      <c r="AD9" s="55"/>
      <c r="AE9" s="55"/>
      <c r="AF9" s="55"/>
      <c r="AG9" s="55"/>
      <c r="AH9" s="55"/>
      <c r="AI9" s="55"/>
      <c r="AJ9" s="55" t="s">
        <v>368</v>
      </c>
      <c r="AK9" s="55" t="s">
        <v>58</v>
      </c>
      <c r="AL9" s="55" t="s">
        <v>358</v>
      </c>
      <c r="AM9" s="55" t="s">
        <v>245</v>
      </c>
      <c r="AN9" s="55" t="s">
        <v>140</v>
      </c>
      <c r="AO9" s="55" t="s">
        <v>369</v>
      </c>
      <c r="AP9" s="55"/>
      <c r="AQ9" s="55">
        <v>9</v>
      </c>
      <c r="AR9" s="60">
        <v>45701.083333333336</v>
      </c>
      <c r="AS9" s="55" t="s">
        <v>367</v>
      </c>
      <c r="AT9" s="42">
        <v>128</v>
      </c>
      <c r="AU9" s="56">
        <v>45701</v>
      </c>
      <c r="AV9" s="59">
        <v>8.3333333333333329E-2</v>
      </c>
      <c r="AW9" s="61"/>
      <c r="AX9" s="62"/>
      <c r="AY9" s="61">
        <v>45701</v>
      </c>
      <c r="AZ9" s="62">
        <v>0.51225694444444447</v>
      </c>
      <c r="BA9" t="s">
        <v>372</v>
      </c>
      <c r="BB9" t="s">
        <v>377</v>
      </c>
      <c r="BC9" t="s">
        <v>385</v>
      </c>
      <c r="BD9" s="16">
        <v>45706</v>
      </c>
    </row>
    <row r="10" spans="1:56" ht="15.6" x14ac:dyDescent="0.3">
      <c r="A10" s="47" t="s">
        <v>477</v>
      </c>
      <c r="B10" s="48">
        <v>45705</v>
      </c>
      <c r="C10" s="47">
        <v>2025</v>
      </c>
      <c r="D10" s="47" t="s">
        <v>210</v>
      </c>
      <c r="E10" s="49">
        <v>1</v>
      </c>
      <c r="F10" s="49">
        <v>8</v>
      </c>
      <c r="G10" s="49">
        <v>4</v>
      </c>
      <c r="H10" s="47" t="s">
        <v>91</v>
      </c>
      <c r="I10" s="50">
        <v>48</v>
      </c>
      <c r="J10" s="49">
        <v>17</v>
      </c>
      <c r="K10" s="51">
        <v>0.5</v>
      </c>
      <c r="L10" s="45">
        <v>0.52497685185185183</v>
      </c>
      <c r="M10" t="s">
        <v>230</v>
      </c>
      <c r="N10" s="47" t="s">
        <v>230</v>
      </c>
      <c r="O10" s="47" t="s">
        <v>212</v>
      </c>
      <c r="P10" s="47" t="s">
        <v>49</v>
      </c>
      <c r="Q10" s="47" t="s">
        <v>478</v>
      </c>
      <c r="R10" t="s">
        <v>293</v>
      </c>
      <c r="S10" t="s">
        <v>479</v>
      </c>
      <c r="T10" s="47" t="s">
        <v>480</v>
      </c>
      <c r="U10" s="47" t="s">
        <v>134</v>
      </c>
      <c r="V10" s="47">
        <v>9</v>
      </c>
      <c r="W10" s="47" t="s">
        <v>481</v>
      </c>
      <c r="X10" s="47"/>
      <c r="Y10" s="47"/>
      <c r="AB10" s="47"/>
      <c r="AC10" s="47"/>
      <c r="AD10" s="47"/>
      <c r="AE10" s="47"/>
      <c r="AF10" s="47"/>
      <c r="AG10" s="47"/>
      <c r="AH10" s="47"/>
      <c r="AI10" s="47"/>
      <c r="AJ10" s="47" t="s">
        <v>86</v>
      </c>
      <c r="AK10" s="47" t="s">
        <v>58</v>
      </c>
      <c r="AL10" s="47" t="s">
        <v>87</v>
      </c>
      <c r="AM10" s="47" t="s">
        <v>88</v>
      </c>
      <c r="AN10" s="47" t="s">
        <v>215</v>
      </c>
      <c r="AO10" s="47" t="s">
        <v>359</v>
      </c>
      <c r="AP10" s="47"/>
      <c r="AQ10" s="47">
        <v>9</v>
      </c>
      <c r="AR10" s="52">
        <v>45705.524305555555</v>
      </c>
      <c r="AS10" s="47" t="s">
        <v>481</v>
      </c>
      <c r="AT10">
        <v>35</v>
      </c>
      <c r="AU10" s="48">
        <v>45705</v>
      </c>
      <c r="AV10" s="51">
        <v>0.52497685185185183</v>
      </c>
      <c r="AW10" s="53"/>
      <c r="AX10" s="54"/>
      <c r="AY10" s="53">
        <v>45705</v>
      </c>
      <c r="AZ10" s="54">
        <v>0.52497685185185183</v>
      </c>
      <c r="BA10" t="s">
        <v>372</v>
      </c>
      <c r="BB10" t="s">
        <v>375</v>
      </c>
      <c r="BC10" t="s">
        <v>385</v>
      </c>
      <c r="BD10" s="16">
        <v>45706</v>
      </c>
    </row>
  </sheetData>
  <phoneticPr fontId="7" type="noConversion"/>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F23A2-D540-4A9C-ABBA-C7841FDF9C8B}">
  <sheetPr codeName="Sheet13">
    <tabColor rgb="FF0070C0"/>
  </sheetPr>
  <dimension ref="A1:H18"/>
  <sheetViews>
    <sheetView topLeftCell="A24" zoomScale="70" zoomScaleNormal="70" workbookViewId="0">
      <selection activeCell="H50" sqref="H50"/>
    </sheetView>
  </sheetViews>
  <sheetFormatPr defaultColWidth="9.109375" defaultRowHeight="15.6" x14ac:dyDescent="0.3"/>
  <cols>
    <col min="1" max="1" width="67.6640625" style="5" bestFit="1" customWidth="1"/>
    <col min="2" max="2" width="25" style="5" bestFit="1" customWidth="1"/>
    <col min="3" max="3" width="9.109375" style="5"/>
    <col min="4" max="4" width="33.109375" style="5" bestFit="1" customWidth="1"/>
    <col min="5" max="5" width="25" style="5" bestFit="1" customWidth="1"/>
    <col min="6" max="6" width="9.109375" style="5"/>
    <col min="7" max="7" width="67.6640625" style="5" bestFit="1" customWidth="1"/>
    <col min="8" max="8" width="25" style="5" bestFit="1" customWidth="1"/>
    <col min="9" max="16384" width="9.109375" style="5"/>
  </cols>
  <sheetData>
    <row r="1" spans="1:8" ht="21" x14ac:dyDescent="0.4">
      <c r="A1" s="76" t="s">
        <v>257</v>
      </c>
      <c r="B1" s="76"/>
      <c r="C1" s="25"/>
      <c r="D1" s="76" t="s">
        <v>258</v>
      </c>
      <c r="E1" s="76"/>
      <c r="F1" s="25"/>
      <c r="G1" s="76" t="s">
        <v>259</v>
      </c>
      <c r="H1" s="76"/>
    </row>
    <row r="2" spans="1:8" x14ac:dyDescent="0.3">
      <c r="A2" s="65" t="s">
        <v>33</v>
      </c>
      <c r="B2" s="47" t="s">
        <v>254</v>
      </c>
      <c r="D2" s="65" t="s">
        <v>33</v>
      </c>
      <c r="E2" s="66">
        <v>45691</v>
      </c>
      <c r="G2" s="65" t="s">
        <v>33</v>
      </c>
      <c r="H2" s="47" t="s">
        <v>254</v>
      </c>
    </row>
    <row r="4" spans="1:8" x14ac:dyDescent="0.3">
      <c r="A4" s="65" t="s">
        <v>255</v>
      </c>
      <c r="B4" s="47" t="s">
        <v>253</v>
      </c>
      <c r="D4" s="65" t="s">
        <v>255</v>
      </c>
      <c r="E4" s="47" t="s">
        <v>253</v>
      </c>
      <c r="G4" s="65" t="s">
        <v>255</v>
      </c>
      <c r="H4" s="47" t="s">
        <v>253</v>
      </c>
    </row>
    <row r="5" spans="1:8" x14ac:dyDescent="0.3">
      <c r="A5" s="67" t="s">
        <v>81</v>
      </c>
      <c r="B5" s="47"/>
      <c r="D5" s="67" t="s">
        <v>95</v>
      </c>
      <c r="E5" s="47"/>
      <c r="G5" s="67" t="s">
        <v>81</v>
      </c>
      <c r="H5" s="47"/>
    </row>
    <row r="6" spans="1:8" x14ac:dyDescent="0.3">
      <c r="A6" s="68" t="s">
        <v>293</v>
      </c>
      <c r="B6" s="47">
        <v>1</v>
      </c>
      <c r="D6" s="68" t="s">
        <v>297</v>
      </c>
      <c r="E6" s="47">
        <v>1</v>
      </c>
      <c r="G6" s="68" t="s">
        <v>293</v>
      </c>
      <c r="H6" s="47">
        <v>1</v>
      </c>
    </row>
    <row r="7" spans="1:8" x14ac:dyDescent="0.3">
      <c r="A7" s="67" t="s">
        <v>48</v>
      </c>
      <c r="B7" s="47"/>
      <c r="D7" s="67" t="s">
        <v>256</v>
      </c>
      <c r="E7" s="47">
        <v>1</v>
      </c>
      <c r="G7" s="67" t="s">
        <v>48</v>
      </c>
      <c r="H7" s="47"/>
    </row>
    <row r="8" spans="1:8" x14ac:dyDescent="0.3">
      <c r="A8" s="68" t="s">
        <v>295</v>
      </c>
      <c r="B8" s="47">
        <v>1</v>
      </c>
      <c r="D8"/>
      <c r="E8"/>
      <c r="G8" s="68" t="s">
        <v>295</v>
      </c>
      <c r="H8" s="47">
        <v>1</v>
      </c>
    </row>
    <row r="9" spans="1:8" x14ac:dyDescent="0.3">
      <c r="A9" s="68" t="s">
        <v>300</v>
      </c>
      <c r="B9" s="47">
        <v>1</v>
      </c>
      <c r="D9"/>
      <c r="E9"/>
      <c r="G9" s="68" t="s">
        <v>300</v>
      </c>
      <c r="H9" s="47">
        <v>1</v>
      </c>
    </row>
    <row r="10" spans="1:8" x14ac:dyDescent="0.3">
      <c r="A10" s="67" t="s">
        <v>95</v>
      </c>
      <c r="B10" s="47"/>
      <c r="D10"/>
      <c r="E10"/>
      <c r="G10" s="67" t="s">
        <v>95</v>
      </c>
      <c r="H10" s="47"/>
    </row>
    <row r="11" spans="1:8" x14ac:dyDescent="0.3">
      <c r="A11" s="68" t="s">
        <v>297</v>
      </c>
      <c r="B11" s="47">
        <v>2</v>
      </c>
      <c r="D11"/>
      <c r="E11"/>
      <c r="G11" s="68" t="s">
        <v>297</v>
      </c>
      <c r="H11" s="47">
        <v>2</v>
      </c>
    </row>
    <row r="12" spans="1:8" x14ac:dyDescent="0.3">
      <c r="A12" s="68" t="s">
        <v>299</v>
      </c>
      <c r="B12" s="47">
        <v>1</v>
      </c>
      <c r="D12"/>
      <c r="E12"/>
      <c r="G12" s="68" t="s">
        <v>299</v>
      </c>
      <c r="H12" s="47">
        <v>1</v>
      </c>
    </row>
    <row r="13" spans="1:8" x14ac:dyDescent="0.3">
      <c r="A13" s="68" t="s">
        <v>364</v>
      </c>
      <c r="B13" s="47">
        <v>1</v>
      </c>
      <c r="D13"/>
      <c r="E13"/>
      <c r="G13" s="68" t="s">
        <v>364</v>
      </c>
      <c r="H13" s="47">
        <v>1</v>
      </c>
    </row>
    <row r="14" spans="1:8" x14ac:dyDescent="0.3">
      <c r="A14" s="67" t="s">
        <v>126</v>
      </c>
      <c r="B14" s="47"/>
      <c r="G14" s="67" t="s">
        <v>126</v>
      </c>
      <c r="H14" s="47"/>
    </row>
    <row r="15" spans="1:8" x14ac:dyDescent="0.3">
      <c r="A15" s="68" t="s">
        <v>336</v>
      </c>
      <c r="B15" s="47">
        <v>1</v>
      </c>
      <c r="G15" s="68" t="s">
        <v>336</v>
      </c>
      <c r="H15" s="47">
        <v>1</v>
      </c>
    </row>
    <row r="16" spans="1:8" x14ac:dyDescent="0.3">
      <c r="A16" s="67" t="s">
        <v>230</v>
      </c>
      <c r="B16" s="47"/>
      <c r="G16" s="67" t="s">
        <v>230</v>
      </c>
      <c r="H16" s="47"/>
    </row>
    <row r="17" spans="1:8" x14ac:dyDescent="0.3">
      <c r="A17" s="68" t="s">
        <v>293</v>
      </c>
      <c r="B17" s="47">
        <v>1</v>
      </c>
      <c r="G17" s="68" t="s">
        <v>293</v>
      </c>
      <c r="H17" s="47">
        <v>1</v>
      </c>
    </row>
    <row r="18" spans="1:8" x14ac:dyDescent="0.3">
      <c r="A18" s="67" t="s">
        <v>256</v>
      </c>
      <c r="B18" s="47">
        <v>9</v>
      </c>
      <c r="G18" s="67" t="s">
        <v>256</v>
      </c>
      <c r="H18" s="47">
        <v>9</v>
      </c>
    </row>
  </sheetData>
  <mergeCells count="3">
    <mergeCell ref="A1:B1"/>
    <mergeCell ref="D1:E1"/>
    <mergeCell ref="G1:H1"/>
  </mergeCells>
  <pageMargins left="0.7" right="0.7" top="0.75" bottom="0.75" header="0.3" footer="0.3"/>
  <pageSetup orientation="portrait" r:id="rId4"/>
  <drawing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1D699-59DE-4997-866F-9DB506DEBFF7}">
  <sheetPr codeName="Sheet14"/>
  <dimension ref="A1:BD30"/>
  <sheetViews>
    <sheetView workbookViewId="0">
      <selection sqref="A1:BD27"/>
    </sheetView>
  </sheetViews>
  <sheetFormatPr defaultRowHeight="14.4" x14ac:dyDescent="0.3"/>
  <cols>
    <col min="1" max="1" width="15.109375" bestFit="1" customWidth="1"/>
    <col min="2" max="2" width="11.5546875" style="16" bestFit="1" customWidth="1"/>
    <col min="3" max="3" width="7.33203125" style="19" bestFit="1" customWidth="1"/>
    <col min="4" max="4" width="15" style="16" bestFit="1" customWidth="1"/>
    <col min="5" max="5" width="10.109375" style="19" bestFit="1" customWidth="1"/>
    <col min="6" max="6" width="15.44140625" style="16" bestFit="1" customWidth="1"/>
    <col min="7" max="7" width="17.44140625" style="19" bestFit="1" customWidth="1"/>
    <col min="8" max="8" width="12.33203125" bestFit="1" customWidth="1"/>
    <col min="9" max="9" width="13.33203125" bestFit="1" customWidth="1"/>
    <col min="10" max="10" width="6.5546875" bestFit="1" customWidth="1"/>
    <col min="11" max="11" width="14.44140625" bestFit="1" customWidth="1"/>
    <col min="12" max="12" width="11.88671875" bestFit="1" customWidth="1"/>
    <col min="13" max="13" width="22.33203125" bestFit="1" customWidth="1"/>
    <col min="14" max="14" width="22.6640625" bestFit="1" customWidth="1"/>
    <col min="15" max="15" width="24.109375" bestFit="1" customWidth="1"/>
    <col min="16" max="16" width="17.88671875" bestFit="1" customWidth="1"/>
    <col min="17" max="17" width="54.109375" bestFit="1" customWidth="1"/>
    <col min="18" max="18" width="31.88671875" bestFit="1" customWidth="1"/>
    <col min="19" max="19" width="37.109375" bestFit="1" customWidth="1"/>
    <col min="20" max="20" width="58.109375" bestFit="1" customWidth="1"/>
    <col min="21" max="21" width="7.109375" bestFit="1" customWidth="1"/>
    <col min="22" max="22" width="7.6640625" bestFit="1" customWidth="1"/>
    <col min="23" max="23" width="81.109375" bestFit="1" customWidth="1"/>
    <col min="24" max="24" width="19.6640625" bestFit="1" customWidth="1"/>
    <col min="25" max="25" width="21.109375" bestFit="1" customWidth="1"/>
    <col min="26" max="26" width="29" bestFit="1" customWidth="1"/>
    <col min="27" max="27" width="11.44140625" bestFit="1" customWidth="1"/>
    <col min="28" max="28" width="15.5546875" bestFit="1" customWidth="1"/>
    <col min="29" max="29" width="9.33203125" bestFit="1" customWidth="1"/>
    <col min="30" max="30" width="11.88671875" bestFit="1" customWidth="1"/>
    <col min="31" max="31" width="13" bestFit="1" customWidth="1"/>
    <col min="32" max="32" width="15.5546875" bestFit="1" customWidth="1"/>
    <col min="33" max="33" width="13" bestFit="1" customWidth="1"/>
    <col min="34" max="34" width="9.33203125" bestFit="1" customWidth="1"/>
    <col min="35" max="35" width="10.109375" bestFit="1" customWidth="1"/>
    <col min="36" max="36" width="14.6640625" bestFit="1" customWidth="1"/>
    <col min="37" max="37" width="15.6640625" style="17" bestFit="1" customWidth="1"/>
    <col min="38" max="38" width="27.44140625" style="17" bestFit="1" customWidth="1"/>
    <col min="39" max="39" width="8.6640625" style="17" bestFit="1" customWidth="1"/>
    <col min="40" max="40" width="24.6640625" bestFit="1" customWidth="1"/>
    <col min="41" max="41" width="29.109375" style="18" bestFit="1" customWidth="1"/>
    <col min="42" max="42" width="32.109375" style="17" bestFit="1" customWidth="1"/>
    <col min="43" max="43" width="14.109375" style="19" bestFit="1" customWidth="1"/>
    <col min="44" max="44" width="21.5546875" style="19" bestFit="1" customWidth="1"/>
    <col min="45" max="45" width="81.109375" bestFit="1" customWidth="1"/>
    <col min="46" max="46" width="22.6640625" bestFit="1" customWidth="1"/>
    <col min="47" max="47" width="15.109375" bestFit="1" customWidth="1"/>
    <col min="48" max="48" width="15.5546875" bestFit="1" customWidth="1"/>
    <col min="49" max="49" width="24.5546875" bestFit="1" customWidth="1"/>
    <col min="50" max="50" width="24.88671875" bestFit="1" customWidth="1"/>
    <col min="51" max="51" width="13.88671875" bestFit="1" customWidth="1"/>
    <col min="52" max="52" width="14.109375" bestFit="1" customWidth="1"/>
    <col min="53" max="53" width="10.44140625" bestFit="1" customWidth="1"/>
    <col min="54" max="54" width="27.5546875" bestFit="1" customWidth="1"/>
    <col min="55" max="55" width="8.5546875" bestFit="1" customWidth="1"/>
    <col min="56" max="56" width="12.5546875" bestFit="1" customWidth="1"/>
  </cols>
  <sheetData>
    <row r="1" spans="1:56" x14ac:dyDescent="0.3">
      <c r="A1" t="s">
        <v>0</v>
      </c>
      <c r="B1" t="s">
        <v>33</v>
      </c>
      <c r="C1" t="s">
        <v>34</v>
      </c>
      <c r="D1" t="s">
        <v>35</v>
      </c>
      <c r="E1" s="17" t="s">
        <v>36</v>
      </c>
      <c r="F1" s="17" t="s">
        <v>37</v>
      </c>
      <c r="G1" s="17" t="s">
        <v>38</v>
      </c>
      <c r="H1" t="s">
        <v>39</v>
      </c>
      <c r="I1" s="18" t="s">
        <v>40</v>
      </c>
      <c r="J1" s="17" t="s">
        <v>41</v>
      </c>
      <c r="K1" s="19" t="s">
        <v>43</v>
      </c>
      <c r="L1" s="19" t="s">
        <v>42</v>
      </c>
      <c r="M1" t="s">
        <v>308</v>
      </c>
      <c r="N1" t="s">
        <v>7</v>
      </c>
      <c r="O1" t="s">
        <v>8</v>
      </c>
      <c r="P1" t="s">
        <v>9</v>
      </c>
      <c r="Q1" t="s">
        <v>32</v>
      </c>
      <c r="R1" t="s">
        <v>286</v>
      </c>
      <c r="S1" t="s">
        <v>261</v>
      </c>
      <c r="T1" t="s">
        <v>10</v>
      </c>
      <c r="U1" t="s">
        <v>11</v>
      </c>
      <c r="V1" t="s">
        <v>12</v>
      </c>
      <c r="W1" t="s">
        <v>13</v>
      </c>
      <c r="X1" t="s">
        <v>14</v>
      </c>
      <c r="Y1" t="s">
        <v>15</v>
      </c>
      <c r="Z1" t="s">
        <v>314</v>
      </c>
      <c r="AA1" t="s">
        <v>315</v>
      </c>
      <c r="AB1" t="s">
        <v>16</v>
      </c>
      <c r="AC1" t="s">
        <v>17</v>
      </c>
      <c r="AD1" t="s">
        <v>18</v>
      </c>
      <c r="AE1" t="s">
        <v>19</v>
      </c>
      <c r="AF1" t="s">
        <v>20</v>
      </c>
      <c r="AG1" t="s">
        <v>21</v>
      </c>
      <c r="AH1" t="s">
        <v>22</v>
      </c>
      <c r="AI1" t="s">
        <v>23</v>
      </c>
      <c r="AJ1" t="s">
        <v>24</v>
      </c>
      <c r="AK1" t="s">
        <v>25</v>
      </c>
      <c r="AL1" t="s">
        <v>26</v>
      </c>
      <c r="AM1" t="s">
        <v>27</v>
      </c>
      <c r="AN1" t="s">
        <v>28</v>
      </c>
      <c r="AO1" t="s">
        <v>29</v>
      </c>
      <c r="AP1" t="s">
        <v>30</v>
      </c>
      <c r="AQ1" t="s">
        <v>31</v>
      </c>
      <c r="AR1" t="s">
        <v>44</v>
      </c>
      <c r="AS1" t="s">
        <v>45</v>
      </c>
      <c r="AT1" t="s">
        <v>285</v>
      </c>
      <c r="AU1" s="16" t="s">
        <v>1</v>
      </c>
      <c r="AV1" s="19" t="s">
        <v>2</v>
      </c>
      <c r="AW1" s="16" t="s">
        <v>3</v>
      </c>
      <c r="AX1" s="19" t="s">
        <v>4</v>
      </c>
      <c r="AY1" s="16" t="s">
        <v>5</v>
      </c>
      <c r="AZ1" s="19" t="s">
        <v>6</v>
      </c>
      <c r="BA1" t="s">
        <v>371</v>
      </c>
      <c r="BB1" t="s">
        <v>373</v>
      </c>
      <c r="BC1" t="s">
        <v>309</v>
      </c>
      <c r="BD1" t="s">
        <v>459</v>
      </c>
    </row>
    <row r="2" spans="1:56" x14ac:dyDescent="0.3">
      <c r="A2" t="s">
        <v>47</v>
      </c>
      <c r="B2" s="1">
        <v>45660</v>
      </c>
      <c r="C2">
        <v>2025</v>
      </c>
      <c r="D2" t="s">
        <v>64</v>
      </c>
      <c r="E2" s="17">
        <v>1</v>
      </c>
      <c r="F2" s="17">
        <v>1</v>
      </c>
      <c r="G2" s="17">
        <v>1</v>
      </c>
      <c r="H2" t="s">
        <v>65</v>
      </c>
      <c r="I2" s="18">
        <v>3</v>
      </c>
      <c r="J2" s="17">
        <v>3</v>
      </c>
      <c r="K2" s="3">
        <v>0.875</v>
      </c>
      <c r="L2" s="3">
        <v>0.89583333333333337</v>
      </c>
      <c r="M2" t="s">
        <v>48</v>
      </c>
      <c r="N2" t="s">
        <v>48</v>
      </c>
      <c r="O2" t="s">
        <v>49</v>
      </c>
      <c r="P2" t="s">
        <v>49</v>
      </c>
      <c r="Q2" t="s">
        <v>48</v>
      </c>
      <c r="R2" t="s">
        <v>295</v>
      </c>
      <c r="S2" t="s">
        <v>279</v>
      </c>
      <c r="T2" t="s">
        <v>50</v>
      </c>
      <c r="U2" t="s">
        <v>51</v>
      </c>
      <c r="V2">
        <v>9</v>
      </c>
      <c r="W2" t="s">
        <v>52</v>
      </c>
      <c r="Z2" t="s">
        <v>321</v>
      </c>
      <c r="AB2" t="s">
        <v>53</v>
      </c>
      <c r="AC2" t="s">
        <v>54</v>
      </c>
      <c r="AD2" t="s">
        <v>55</v>
      </c>
      <c r="AE2" t="s">
        <v>56</v>
      </c>
      <c r="AJ2" t="s">
        <v>57</v>
      </c>
      <c r="AK2" t="s">
        <v>58</v>
      </c>
      <c r="AL2" t="s">
        <v>59</v>
      </c>
      <c r="AM2" t="s">
        <v>60</v>
      </c>
      <c r="AN2" t="s">
        <v>61</v>
      </c>
      <c r="AO2" t="s">
        <v>62</v>
      </c>
      <c r="AP2" t="s">
        <v>63</v>
      </c>
      <c r="AQ2">
        <v>9</v>
      </c>
      <c r="AR2">
        <v>45660.895833333336</v>
      </c>
      <c r="AS2" t="s">
        <v>52</v>
      </c>
      <c r="AT2">
        <v>309</v>
      </c>
      <c r="AU2" s="16">
        <v>45660</v>
      </c>
      <c r="AV2" s="36">
        <v>0.89583333333333337</v>
      </c>
      <c r="AW2" s="16">
        <v>45661</v>
      </c>
      <c r="AX2" s="36">
        <v>0.2673611111111111</v>
      </c>
      <c r="AY2" s="16">
        <v>45661</v>
      </c>
      <c r="AZ2" s="36">
        <v>0.45774305555555556</v>
      </c>
      <c r="BA2" t="s">
        <v>372</v>
      </c>
      <c r="BB2" t="s">
        <v>376</v>
      </c>
      <c r="BC2" t="s">
        <v>384</v>
      </c>
      <c r="BD2" s="1">
        <v>45664</v>
      </c>
    </row>
    <row r="3" spans="1:56" x14ac:dyDescent="0.3">
      <c r="A3" t="s">
        <v>80</v>
      </c>
      <c r="B3" s="1">
        <v>45663</v>
      </c>
      <c r="C3">
        <v>2025</v>
      </c>
      <c r="D3" t="s">
        <v>64</v>
      </c>
      <c r="E3" s="17">
        <v>1</v>
      </c>
      <c r="F3" s="17">
        <v>2</v>
      </c>
      <c r="G3" s="17">
        <v>2</v>
      </c>
      <c r="H3" t="s">
        <v>91</v>
      </c>
      <c r="I3" s="18">
        <v>6</v>
      </c>
      <c r="J3" s="17">
        <v>6</v>
      </c>
      <c r="K3" s="3">
        <v>0.625</v>
      </c>
      <c r="L3" s="3">
        <v>0.64583333333333337</v>
      </c>
      <c r="M3" t="s">
        <v>81</v>
      </c>
      <c r="N3" t="s">
        <v>81</v>
      </c>
      <c r="O3" t="s">
        <v>49</v>
      </c>
      <c r="P3" t="s">
        <v>49</v>
      </c>
      <c r="Q3" t="s">
        <v>81</v>
      </c>
      <c r="R3" t="s">
        <v>291</v>
      </c>
      <c r="S3" t="s">
        <v>270</v>
      </c>
      <c r="T3" t="s">
        <v>82</v>
      </c>
      <c r="V3">
        <v>7</v>
      </c>
      <c r="W3" t="s">
        <v>83</v>
      </c>
      <c r="Z3" t="s">
        <v>318</v>
      </c>
      <c r="AB3" t="s">
        <v>84</v>
      </c>
      <c r="AC3" t="s">
        <v>54</v>
      </c>
      <c r="AD3" t="s">
        <v>85</v>
      </c>
      <c r="AE3" t="s">
        <v>56</v>
      </c>
      <c r="AJ3" t="s">
        <v>86</v>
      </c>
      <c r="AK3" t="s">
        <v>58</v>
      </c>
      <c r="AL3" t="s">
        <v>87</v>
      </c>
      <c r="AM3" t="s">
        <v>88</v>
      </c>
      <c r="AN3" t="s">
        <v>89</v>
      </c>
      <c r="AO3" t="s">
        <v>62</v>
      </c>
      <c r="AP3" t="s">
        <v>90</v>
      </c>
      <c r="AQ3">
        <v>9</v>
      </c>
      <c r="AR3">
        <v>45663.645833333336</v>
      </c>
      <c r="AS3" t="s">
        <v>83</v>
      </c>
      <c r="AT3">
        <v>90</v>
      </c>
      <c r="AU3" s="16">
        <v>45663</v>
      </c>
      <c r="AV3" s="36">
        <v>0.64583333333333337</v>
      </c>
      <c r="AW3" s="16">
        <v>45667</v>
      </c>
      <c r="AX3" s="36"/>
      <c r="AY3" s="16">
        <v>45667</v>
      </c>
      <c r="AZ3" s="36">
        <v>0.82629629629629631</v>
      </c>
      <c r="BA3" t="s">
        <v>372</v>
      </c>
      <c r="BB3" t="s">
        <v>375</v>
      </c>
      <c r="BC3" t="s">
        <v>384</v>
      </c>
      <c r="BD3" s="1">
        <v>45664</v>
      </c>
    </row>
    <row r="4" spans="1:56" x14ac:dyDescent="0.3">
      <c r="A4" t="s">
        <v>67</v>
      </c>
      <c r="B4" s="1">
        <v>45664</v>
      </c>
      <c r="C4">
        <v>2025</v>
      </c>
      <c r="D4" t="s">
        <v>64</v>
      </c>
      <c r="E4" s="17">
        <v>1</v>
      </c>
      <c r="F4" s="17">
        <v>2</v>
      </c>
      <c r="G4" s="17">
        <v>2</v>
      </c>
      <c r="H4" t="s">
        <v>79</v>
      </c>
      <c r="I4" s="18">
        <v>7</v>
      </c>
      <c r="J4" s="17">
        <v>7</v>
      </c>
      <c r="K4" s="3">
        <v>0.58333333333333337</v>
      </c>
      <c r="L4" s="3">
        <v>0.58333333333333337</v>
      </c>
      <c r="M4" t="s">
        <v>68</v>
      </c>
      <c r="N4" t="s">
        <v>68</v>
      </c>
      <c r="O4" t="s">
        <v>69</v>
      </c>
      <c r="P4" t="s">
        <v>49</v>
      </c>
      <c r="Q4" t="s">
        <v>78</v>
      </c>
      <c r="R4" t="s">
        <v>294</v>
      </c>
      <c r="S4" t="s">
        <v>269</v>
      </c>
      <c r="T4" t="s">
        <v>70</v>
      </c>
      <c r="U4" t="s">
        <v>71</v>
      </c>
      <c r="V4">
        <v>7</v>
      </c>
      <c r="W4" t="s">
        <v>72</v>
      </c>
      <c r="AJ4" t="s">
        <v>73</v>
      </c>
      <c r="AK4" t="s">
        <v>58</v>
      </c>
      <c r="AL4" t="s">
        <v>74</v>
      </c>
      <c r="AM4" t="s">
        <v>75</v>
      </c>
      <c r="AN4" t="s">
        <v>76</v>
      </c>
      <c r="AO4" t="s">
        <v>62</v>
      </c>
      <c r="AP4" t="s">
        <v>77</v>
      </c>
      <c r="AQ4">
        <v>9</v>
      </c>
      <c r="AR4">
        <v>45664.583333333336</v>
      </c>
      <c r="AS4" t="s">
        <v>72</v>
      </c>
      <c r="AT4">
        <v>135</v>
      </c>
      <c r="AU4" s="16">
        <v>45664</v>
      </c>
      <c r="AV4" s="36">
        <v>0.58333333333333337</v>
      </c>
      <c r="AW4" s="16"/>
      <c r="AX4" s="36"/>
      <c r="AY4" s="16">
        <v>45667</v>
      </c>
      <c r="AZ4" s="36">
        <v>0.59781249999999997</v>
      </c>
      <c r="BA4" t="s">
        <v>372</v>
      </c>
      <c r="BB4" t="s">
        <v>375</v>
      </c>
      <c r="BC4" t="s">
        <v>386</v>
      </c>
      <c r="BD4" s="1">
        <v>45664</v>
      </c>
    </row>
    <row r="5" spans="1:56" x14ac:dyDescent="0.3">
      <c r="A5" t="s">
        <v>92</v>
      </c>
      <c r="B5" s="1">
        <v>45670</v>
      </c>
      <c r="C5">
        <v>2025</v>
      </c>
      <c r="D5" t="s">
        <v>64</v>
      </c>
      <c r="E5" s="17">
        <v>1</v>
      </c>
      <c r="F5" s="17">
        <v>3</v>
      </c>
      <c r="G5" s="17">
        <v>3</v>
      </c>
      <c r="H5" t="s">
        <v>91</v>
      </c>
      <c r="I5" s="18">
        <v>13</v>
      </c>
      <c r="J5" s="17">
        <v>13</v>
      </c>
      <c r="K5" s="3">
        <v>0.5</v>
      </c>
      <c r="L5" s="3">
        <v>0.50347222222222221</v>
      </c>
      <c r="M5" t="s">
        <v>95</v>
      </c>
      <c r="N5" t="s">
        <v>93</v>
      </c>
      <c r="O5" t="s">
        <v>94</v>
      </c>
      <c r="P5" t="s">
        <v>95</v>
      </c>
      <c r="Q5" t="s">
        <v>104</v>
      </c>
      <c r="R5" t="s">
        <v>296</v>
      </c>
      <c r="S5" t="s">
        <v>272</v>
      </c>
      <c r="T5" t="s">
        <v>96</v>
      </c>
      <c r="U5" t="s">
        <v>97</v>
      </c>
      <c r="V5">
        <v>8</v>
      </c>
      <c r="W5" t="s">
        <v>98</v>
      </c>
      <c r="AJ5" t="s">
        <v>57</v>
      </c>
      <c r="AK5" t="s">
        <v>58</v>
      </c>
      <c r="AL5" t="s">
        <v>99</v>
      </c>
      <c r="AM5" t="s">
        <v>100</v>
      </c>
      <c r="AN5" t="s">
        <v>101</v>
      </c>
      <c r="AO5" t="s">
        <v>102</v>
      </c>
      <c r="AP5" t="s">
        <v>103</v>
      </c>
      <c r="AQ5">
        <v>9</v>
      </c>
      <c r="AR5">
        <v>45670.503472222219</v>
      </c>
      <c r="AS5" t="s">
        <v>98</v>
      </c>
      <c r="AT5">
        <v>204</v>
      </c>
      <c r="AU5" s="16">
        <v>45670</v>
      </c>
      <c r="AV5" s="36">
        <v>0.50347222222222221</v>
      </c>
      <c r="AW5" s="16"/>
      <c r="AX5" s="36"/>
      <c r="AY5" s="16">
        <v>45670</v>
      </c>
      <c r="AZ5" s="36">
        <v>0.50537037037037036</v>
      </c>
      <c r="BA5" t="s">
        <v>372</v>
      </c>
      <c r="BB5" t="s">
        <v>375</v>
      </c>
      <c r="BC5" t="s">
        <v>386</v>
      </c>
      <c r="BD5" s="1">
        <v>45671</v>
      </c>
    </row>
    <row r="6" spans="1:56" x14ac:dyDescent="0.3">
      <c r="A6" t="s">
        <v>332</v>
      </c>
      <c r="B6" s="1">
        <v>45671</v>
      </c>
      <c r="C6">
        <v>2025</v>
      </c>
      <c r="D6" t="s">
        <v>64</v>
      </c>
      <c r="E6" s="17">
        <v>1</v>
      </c>
      <c r="F6" s="17">
        <v>3</v>
      </c>
      <c r="G6" s="17">
        <v>3</v>
      </c>
      <c r="H6" t="s">
        <v>79</v>
      </c>
      <c r="I6" s="18">
        <v>14</v>
      </c>
      <c r="J6" s="17">
        <v>14</v>
      </c>
      <c r="K6" s="3">
        <v>0.45833333333333331</v>
      </c>
      <c r="L6" s="3">
        <v>0.46388888888888891</v>
      </c>
      <c r="M6" t="s">
        <v>126</v>
      </c>
      <c r="N6" t="s">
        <v>126</v>
      </c>
      <c r="O6" t="s">
        <v>333</v>
      </c>
      <c r="P6" t="s">
        <v>334</v>
      </c>
      <c r="Q6" t="s">
        <v>335</v>
      </c>
      <c r="R6" t="s">
        <v>336</v>
      </c>
      <c r="S6" t="s">
        <v>337</v>
      </c>
      <c r="T6" t="s">
        <v>338</v>
      </c>
      <c r="U6" t="s">
        <v>339</v>
      </c>
      <c r="V6">
        <v>9</v>
      </c>
      <c r="W6" t="s">
        <v>340</v>
      </c>
      <c r="AJ6" t="s">
        <v>341</v>
      </c>
      <c r="AK6" t="s">
        <v>58</v>
      </c>
      <c r="AL6" t="s">
        <v>342</v>
      </c>
      <c r="AM6" t="s">
        <v>115</v>
      </c>
      <c r="AN6" t="s">
        <v>116</v>
      </c>
      <c r="AO6" t="s">
        <v>228</v>
      </c>
      <c r="AP6" t="s">
        <v>130</v>
      </c>
      <c r="AQ6">
        <v>9</v>
      </c>
      <c r="AR6">
        <v>45671.463888888888</v>
      </c>
      <c r="AS6" t="s">
        <v>340</v>
      </c>
      <c r="AT6">
        <v>895</v>
      </c>
      <c r="AU6" s="16">
        <v>45671</v>
      </c>
      <c r="AV6" s="36">
        <v>0.46388888888888891</v>
      </c>
      <c r="AW6" s="16"/>
      <c r="AX6" s="36"/>
      <c r="AY6" s="16">
        <v>45671</v>
      </c>
      <c r="AZ6" s="36">
        <v>0.46740740740740738</v>
      </c>
      <c r="BA6" t="s">
        <v>372</v>
      </c>
      <c r="BB6" t="s">
        <v>374</v>
      </c>
      <c r="BC6" t="s">
        <v>380</v>
      </c>
      <c r="BD6" s="1">
        <v>45671</v>
      </c>
    </row>
    <row r="7" spans="1:56" x14ac:dyDescent="0.3">
      <c r="A7" t="s">
        <v>105</v>
      </c>
      <c r="B7" s="1">
        <v>45671</v>
      </c>
      <c r="C7">
        <v>2025</v>
      </c>
      <c r="D7" t="s">
        <v>64</v>
      </c>
      <c r="E7" s="17">
        <v>1</v>
      </c>
      <c r="F7" s="17">
        <v>3</v>
      </c>
      <c r="G7" s="17">
        <v>3</v>
      </c>
      <c r="H7" t="s">
        <v>79</v>
      </c>
      <c r="I7" s="18">
        <v>14</v>
      </c>
      <c r="J7" s="17">
        <v>14</v>
      </c>
      <c r="K7" s="3">
        <v>0.625</v>
      </c>
      <c r="L7" s="3">
        <v>0.64067129629629627</v>
      </c>
      <c r="M7" t="s">
        <v>95</v>
      </c>
      <c r="N7" t="s">
        <v>95</v>
      </c>
      <c r="O7" t="s">
        <v>106</v>
      </c>
      <c r="P7" t="s">
        <v>107</v>
      </c>
      <c r="Q7" t="s">
        <v>117</v>
      </c>
      <c r="R7" t="s">
        <v>297</v>
      </c>
      <c r="S7" t="s">
        <v>280</v>
      </c>
      <c r="T7" t="s">
        <v>108</v>
      </c>
      <c r="U7" t="s">
        <v>109</v>
      </c>
      <c r="V7">
        <v>9</v>
      </c>
      <c r="W7" t="s">
        <v>110</v>
      </c>
      <c r="Z7" t="s">
        <v>330</v>
      </c>
      <c r="AB7" t="s">
        <v>111</v>
      </c>
      <c r="AC7" t="s">
        <v>112</v>
      </c>
      <c r="AD7" t="s">
        <v>113</v>
      </c>
      <c r="AE7" t="s">
        <v>56</v>
      </c>
      <c r="AJ7" t="s">
        <v>114</v>
      </c>
      <c r="AK7" t="s">
        <v>58</v>
      </c>
      <c r="AL7" t="s">
        <v>59</v>
      </c>
      <c r="AM7" t="s">
        <v>115</v>
      </c>
      <c r="AN7" t="s">
        <v>116</v>
      </c>
      <c r="AO7" t="s">
        <v>102</v>
      </c>
      <c r="AP7" t="s">
        <v>103</v>
      </c>
      <c r="AQ7">
        <v>9</v>
      </c>
      <c r="AR7">
        <v>45671.640277777777</v>
      </c>
      <c r="AS7" t="s">
        <v>110</v>
      </c>
      <c r="AT7">
        <v>450</v>
      </c>
      <c r="AU7" s="16">
        <v>45671</v>
      </c>
      <c r="AV7" s="36">
        <v>0.64067129629629627</v>
      </c>
      <c r="AW7" s="16"/>
      <c r="AX7" s="36"/>
      <c r="AY7" s="16">
        <v>45671</v>
      </c>
      <c r="AZ7" s="36">
        <v>0.64067129629629627</v>
      </c>
      <c r="BA7" t="s">
        <v>372</v>
      </c>
      <c r="BB7" t="s">
        <v>375</v>
      </c>
      <c r="BC7" t="s">
        <v>380</v>
      </c>
      <c r="BD7" s="1">
        <v>45671</v>
      </c>
    </row>
    <row r="8" spans="1:56" x14ac:dyDescent="0.3">
      <c r="A8" t="s">
        <v>118</v>
      </c>
      <c r="B8" s="1">
        <v>45672</v>
      </c>
      <c r="C8">
        <v>2025</v>
      </c>
      <c r="D8" t="s">
        <v>64</v>
      </c>
      <c r="E8" s="17">
        <v>1</v>
      </c>
      <c r="F8" s="17">
        <v>3</v>
      </c>
      <c r="G8" s="17">
        <v>3</v>
      </c>
      <c r="H8" t="s">
        <v>124</v>
      </c>
      <c r="I8" s="18">
        <v>15</v>
      </c>
      <c r="J8" s="17">
        <v>15</v>
      </c>
      <c r="K8" s="3">
        <v>0.5</v>
      </c>
      <c r="L8" s="3">
        <v>0.53988425925925931</v>
      </c>
      <c r="M8" t="s">
        <v>48</v>
      </c>
      <c r="N8" t="s">
        <v>48</v>
      </c>
      <c r="O8" t="s">
        <v>49</v>
      </c>
      <c r="P8" t="s">
        <v>49</v>
      </c>
      <c r="Q8" t="s">
        <v>48</v>
      </c>
      <c r="R8" t="s">
        <v>298</v>
      </c>
      <c r="S8" t="s">
        <v>273</v>
      </c>
      <c r="T8" t="s">
        <v>119</v>
      </c>
      <c r="U8" t="s">
        <v>97</v>
      </c>
      <c r="V8">
        <v>8</v>
      </c>
      <c r="W8" t="s">
        <v>120</v>
      </c>
      <c r="Z8" t="s">
        <v>322</v>
      </c>
      <c r="AB8" t="s">
        <v>121</v>
      </c>
      <c r="AC8" t="s">
        <v>54</v>
      </c>
      <c r="AD8" t="s">
        <v>122</v>
      </c>
      <c r="AE8" t="s">
        <v>56</v>
      </c>
      <c r="AJ8" t="s">
        <v>114</v>
      </c>
      <c r="AK8" t="s">
        <v>58</v>
      </c>
      <c r="AL8" t="s">
        <v>123</v>
      </c>
      <c r="AM8" t="s">
        <v>100</v>
      </c>
      <c r="AN8" t="s">
        <v>89</v>
      </c>
      <c r="AO8" t="s">
        <v>62</v>
      </c>
      <c r="AP8" t="s">
        <v>63</v>
      </c>
      <c r="AQ8">
        <v>9</v>
      </c>
      <c r="AR8">
        <v>45672.539583333331</v>
      </c>
      <c r="AS8" t="s">
        <v>120</v>
      </c>
      <c r="AT8">
        <v>244</v>
      </c>
      <c r="AU8" s="16">
        <v>45672</v>
      </c>
      <c r="AV8" s="36">
        <v>0.53988425925925931</v>
      </c>
      <c r="AW8" s="16"/>
      <c r="AX8" s="36"/>
      <c r="AY8" s="16">
        <v>45672</v>
      </c>
      <c r="AZ8" s="36">
        <v>0.53988425925925931</v>
      </c>
      <c r="BA8" t="s">
        <v>372</v>
      </c>
      <c r="BB8" t="s">
        <v>375</v>
      </c>
      <c r="BC8" t="s">
        <v>380</v>
      </c>
      <c r="BD8" s="1">
        <v>45678</v>
      </c>
    </row>
    <row r="9" spans="1:56" x14ac:dyDescent="0.3">
      <c r="A9" t="s">
        <v>343</v>
      </c>
      <c r="B9" s="1">
        <v>45673</v>
      </c>
      <c r="C9">
        <v>2025</v>
      </c>
      <c r="D9" t="s">
        <v>64</v>
      </c>
      <c r="E9" s="17">
        <v>1</v>
      </c>
      <c r="F9" s="17">
        <v>3</v>
      </c>
      <c r="G9" s="17">
        <v>3</v>
      </c>
      <c r="H9" t="s">
        <v>131</v>
      </c>
      <c r="I9" s="18">
        <v>16</v>
      </c>
      <c r="J9" s="17">
        <v>16</v>
      </c>
      <c r="K9" s="3">
        <v>0.83333333333333337</v>
      </c>
      <c r="L9" s="3">
        <v>0.83333333333333337</v>
      </c>
      <c r="M9" t="s">
        <v>126</v>
      </c>
      <c r="N9" t="s">
        <v>344</v>
      </c>
      <c r="O9" t="s">
        <v>126</v>
      </c>
      <c r="P9" t="s">
        <v>333</v>
      </c>
      <c r="Q9" t="s">
        <v>345</v>
      </c>
      <c r="R9" t="s">
        <v>346</v>
      </c>
      <c r="S9" t="s">
        <v>347</v>
      </c>
      <c r="T9" t="s">
        <v>348</v>
      </c>
      <c r="U9" t="s">
        <v>239</v>
      </c>
      <c r="V9">
        <v>5</v>
      </c>
      <c r="W9" t="s">
        <v>349</v>
      </c>
      <c r="AJ9" t="s">
        <v>168</v>
      </c>
      <c r="AK9" t="s">
        <v>58</v>
      </c>
      <c r="AL9" t="s">
        <v>250</v>
      </c>
      <c r="AM9" t="s">
        <v>60</v>
      </c>
      <c r="AO9"/>
      <c r="AP9" t="s">
        <v>130</v>
      </c>
      <c r="AQ9">
        <v>9</v>
      </c>
      <c r="AR9">
        <v>45673.833333333336</v>
      </c>
      <c r="AS9" t="s">
        <v>349</v>
      </c>
      <c r="AT9">
        <v>152</v>
      </c>
      <c r="AU9" s="16">
        <v>45673</v>
      </c>
      <c r="AV9" s="36">
        <v>0.83333333333333337</v>
      </c>
      <c r="AW9" s="16"/>
      <c r="AX9" s="36"/>
      <c r="AY9" s="16">
        <v>45673</v>
      </c>
      <c r="AZ9" s="36">
        <v>9.0057870370370371E-2</v>
      </c>
      <c r="BA9" t="s">
        <v>372</v>
      </c>
      <c r="BB9" t="s">
        <v>376</v>
      </c>
      <c r="BC9" t="s">
        <v>380</v>
      </c>
      <c r="BD9" s="1">
        <v>45678</v>
      </c>
    </row>
    <row r="10" spans="1:56" x14ac:dyDescent="0.3">
      <c r="A10" t="s">
        <v>125</v>
      </c>
      <c r="B10" s="1">
        <v>45673</v>
      </c>
      <c r="C10">
        <v>2025</v>
      </c>
      <c r="D10" t="s">
        <v>64</v>
      </c>
      <c r="E10" s="17">
        <v>1</v>
      </c>
      <c r="F10" s="17">
        <v>3</v>
      </c>
      <c r="G10" s="17">
        <v>3</v>
      </c>
      <c r="H10" t="s">
        <v>131</v>
      </c>
      <c r="I10" s="18">
        <v>16</v>
      </c>
      <c r="J10" s="17">
        <v>16</v>
      </c>
      <c r="K10" s="3">
        <v>0.5</v>
      </c>
      <c r="L10" s="3">
        <v>0.5</v>
      </c>
      <c r="M10" t="s">
        <v>126</v>
      </c>
      <c r="N10" t="s">
        <v>126</v>
      </c>
      <c r="O10" t="s">
        <v>49</v>
      </c>
      <c r="P10" t="s">
        <v>49</v>
      </c>
      <c r="Q10" t="s">
        <v>126</v>
      </c>
      <c r="R10" t="s">
        <v>287</v>
      </c>
      <c r="S10" t="s">
        <v>271</v>
      </c>
      <c r="T10" t="s">
        <v>127</v>
      </c>
      <c r="U10" t="s">
        <v>71</v>
      </c>
      <c r="V10">
        <v>7</v>
      </c>
      <c r="W10" t="s">
        <v>128</v>
      </c>
      <c r="AJ10" t="s">
        <v>86</v>
      </c>
      <c r="AK10" t="s">
        <v>58</v>
      </c>
      <c r="AL10" t="s">
        <v>129</v>
      </c>
      <c r="AM10" t="s">
        <v>88</v>
      </c>
      <c r="AN10" t="s">
        <v>89</v>
      </c>
      <c r="AO10" t="s">
        <v>62</v>
      </c>
      <c r="AP10" t="s">
        <v>130</v>
      </c>
      <c r="AQ10">
        <v>9</v>
      </c>
      <c r="AR10">
        <v>45673.5</v>
      </c>
      <c r="AS10" t="s">
        <v>128</v>
      </c>
      <c r="AT10">
        <v>30</v>
      </c>
      <c r="AU10" s="16">
        <v>45673</v>
      </c>
      <c r="AV10" s="36">
        <v>0.5</v>
      </c>
      <c r="AW10" s="16">
        <v>45673</v>
      </c>
      <c r="AX10" s="36">
        <v>0.75</v>
      </c>
      <c r="AY10" s="16">
        <v>45673</v>
      </c>
      <c r="AZ10" s="36">
        <v>0.81587962962962968</v>
      </c>
      <c r="BA10" t="s">
        <v>372</v>
      </c>
      <c r="BB10" t="s">
        <v>375</v>
      </c>
      <c r="BC10" t="s">
        <v>380</v>
      </c>
      <c r="BD10" s="1">
        <v>45678</v>
      </c>
    </row>
    <row r="11" spans="1:56" x14ac:dyDescent="0.3">
      <c r="A11" t="s">
        <v>132</v>
      </c>
      <c r="B11" s="1">
        <v>45673</v>
      </c>
      <c r="C11">
        <v>2025</v>
      </c>
      <c r="D11" t="s">
        <v>64</v>
      </c>
      <c r="E11" s="17">
        <v>1</v>
      </c>
      <c r="F11" s="17">
        <v>3</v>
      </c>
      <c r="G11" s="17">
        <v>3</v>
      </c>
      <c r="H11" t="s">
        <v>131</v>
      </c>
      <c r="I11" s="18">
        <v>16</v>
      </c>
      <c r="J11" s="17">
        <v>16</v>
      </c>
      <c r="K11" s="3">
        <v>0.875</v>
      </c>
      <c r="L11" s="3">
        <v>0.87708333333333333</v>
      </c>
      <c r="M11" t="s">
        <v>95</v>
      </c>
      <c r="N11" t="s">
        <v>95</v>
      </c>
      <c r="O11" t="s">
        <v>49</v>
      </c>
      <c r="P11" t="s">
        <v>49</v>
      </c>
      <c r="Q11" t="s">
        <v>95</v>
      </c>
      <c r="R11" t="s">
        <v>299</v>
      </c>
      <c r="S11" t="s">
        <v>281</v>
      </c>
      <c r="T11" t="s">
        <v>133</v>
      </c>
      <c r="U11" t="s">
        <v>134</v>
      </c>
      <c r="V11">
        <v>9</v>
      </c>
      <c r="W11" t="s">
        <v>135</v>
      </c>
      <c r="Z11" t="s">
        <v>331</v>
      </c>
      <c r="AC11" t="s">
        <v>136</v>
      </c>
      <c r="AD11" t="s">
        <v>137</v>
      </c>
      <c r="AJ11" t="s">
        <v>86</v>
      </c>
      <c r="AK11" t="s">
        <v>58</v>
      </c>
      <c r="AL11" t="s">
        <v>138</v>
      </c>
      <c r="AM11" t="s">
        <v>139</v>
      </c>
      <c r="AN11" t="s">
        <v>140</v>
      </c>
      <c r="AO11" t="s">
        <v>102</v>
      </c>
      <c r="AP11" t="s">
        <v>103</v>
      </c>
      <c r="AQ11">
        <v>9</v>
      </c>
      <c r="AR11">
        <v>45673.877083333333</v>
      </c>
      <c r="AS11" t="s">
        <v>135</v>
      </c>
      <c r="AT11">
        <v>630</v>
      </c>
      <c r="AU11" s="16">
        <v>45673</v>
      </c>
      <c r="AV11" s="36">
        <v>0.87708333333333333</v>
      </c>
      <c r="AW11" s="16">
        <v>45673</v>
      </c>
      <c r="AX11" s="36">
        <v>0.88611111111111107</v>
      </c>
      <c r="AY11" s="16">
        <v>45674</v>
      </c>
      <c r="AZ11" s="36">
        <v>0.51179398148148147</v>
      </c>
      <c r="BA11" t="s">
        <v>372</v>
      </c>
      <c r="BB11" t="s">
        <v>376</v>
      </c>
      <c r="BC11" t="s">
        <v>380</v>
      </c>
      <c r="BD11" s="1">
        <v>45678</v>
      </c>
    </row>
    <row r="12" spans="1:56" x14ac:dyDescent="0.3">
      <c r="A12" t="s">
        <v>141</v>
      </c>
      <c r="B12" s="1">
        <v>45678</v>
      </c>
      <c r="C12">
        <v>2025</v>
      </c>
      <c r="D12" t="s">
        <v>64</v>
      </c>
      <c r="E12" s="17">
        <v>1</v>
      </c>
      <c r="F12" s="17">
        <v>4</v>
      </c>
      <c r="G12" s="17">
        <v>4</v>
      </c>
      <c r="H12" t="s">
        <v>79</v>
      </c>
      <c r="I12" s="18">
        <v>21</v>
      </c>
      <c r="J12" s="17">
        <v>21</v>
      </c>
      <c r="K12" s="3">
        <v>0.79166666666666663</v>
      </c>
      <c r="L12" s="3">
        <v>0.79166666666666663</v>
      </c>
      <c r="M12" t="s">
        <v>48</v>
      </c>
      <c r="N12" t="s">
        <v>48</v>
      </c>
      <c r="O12" t="s">
        <v>49</v>
      </c>
      <c r="P12" t="s">
        <v>49</v>
      </c>
      <c r="Q12" t="s">
        <v>48</v>
      </c>
      <c r="R12" t="s">
        <v>300</v>
      </c>
      <c r="S12" t="s">
        <v>282</v>
      </c>
      <c r="T12" t="s">
        <v>142</v>
      </c>
      <c r="U12" t="s">
        <v>134</v>
      </c>
      <c r="V12">
        <v>9</v>
      </c>
      <c r="W12" t="s">
        <v>143</v>
      </c>
      <c r="Z12" t="s">
        <v>323</v>
      </c>
      <c r="AB12" t="s">
        <v>144</v>
      </c>
      <c r="AC12" t="s">
        <v>54</v>
      </c>
      <c r="AD12" t="s">
        <v>145</v>
      </c>
      <c r="AE12" t="s">
        <v>56</v>
      </c>
      <c r="AJ12" t="s">
        <v>146</v>
      </c>
      <c r="AK12" t="s">
        <v>58</v>
      </c>
      <c r="AL12" t="s">
        <v>147</v>
      </c>
      <c r="AM12" t="s">
        <v>60</v>
      </c>
      <c r="AN12" t="s">
        <v>116</v>
      </c>
      <c r="AO12" t="s">
        <v>62</v>
      </c>
      <c r="AP12" t="s">
        <v>63</v>
      </c>
      <c r="AQ12">
        <v>9</v>
      </c>
      <c r="AR12">
        <v>45678.791666666664</v>
      </c>
      <c r="AS12" t="s">
        <v>143</v>
      </c>
      <c r="AT12">
        <v>33</v>
      </c>
      <c r="AU12" s="16">
        <v>45678</v>
      </c>
      <c r="AV12" s="36">
        <v>0.79166666666666663</v>
      </c>
      <c r="AW12" s="16">
        <v>45679</v>
      </c>
      <c r="AX12" s="36">
        <v>0.13125000000000001</v>
      </c>
      <c r="AY12" s="16">
        <v>45679</v>
      </c>
      <c r="AZ12" s="36">
        <v>0.13255787037037037</v>
      </c>
      <c r="BA12" t="s">
        <v>372</v>
      </c>
      <c r="BB12" t="s">
        <v>378</v>
      </c>
      <c r="BC12" t="s">
        <v>381</v>
      </c>
      <c r="BD12" s="1">
        <v>45678</v>
      </c>
    </row>
    <row r="13" spans="1:56" x14ac:dyDescent="0.3">
      <c r="A13" t="s">
        <v>148</v>
      </c>
      <c r="B13" s="1">
        <v>45679</v>
      </c>
      <c r="C13">
        <v>2025</v>
      </c>
      <c r="D13" t="s">
        <v>64</v>
      </c>
      <c r="E13" s="17">
        <v>1</v>
      </c>
      <c r="F13" s="17">
        <v>4</v>
      </c>
      <c r="G13" s="17">
        <v>4</v>
      </c>
      <c r="H13" t="s">
        <v>124</v>
      </c>
      <c r="I13" s="18">
        <v>22</v>
      </c>
      <c r="J13" s="17">
        <v>22</v>
      </c>
      <c r="K13" s="3">
        <v>0.33333333333333331</v>
      </c>
      <c r="L13" s="3">
        <v>0.33333333333333331</v>
      </c>
      <c r="M13" t="s">
        <v>48</v>
      </c>
      <c r="N13" t="s">
        <v>48</v>
      </c>
      <c r="O13" t="s">
        <v>49</v>
      </c>
      <c r="P13" t="s">
        <v>49</v>
      </c>
      <c r="Q13" t="s">
        <v>48</v>
      </c>
      <c r="R13" t="s">
        <v>301</v>
      </c>
      <c r="S13" t="s">
        <v>262</v>
      </c>
      <c r="T13" t="s">
        <v>149</v>
      </c>
      <c r="U13" t="s">
        <v>150</v>
      </c>
      <c r="V13">
        <v>5</v>
      </c>
      <c r="W13" t="s">
        <v>151</v>
      </c>
      <c r="Z13" t="s">
        <v>324</v>
      </c>
      <c r="AB13" t="s">
        <v>152</v>
      </c>
      <c r="AC13" t="s">
        <v>153</v>
      </c>
      <c r="AD13" t="s">
        <v>154</v>
      </c>
      <c r="AE13" t="s">
        <v>56</v>
      </c>
      <c r="AJ13" t="s">
        <v>114</v>
      </c>
      <c r="AK13" t="s">
        <v>58</v>
      </c>
      <c r="AL13" t="s">
        <v>147</v>
      </c>
      <c r="AM13" t="s">
        <v>60</v>
      </c>
      <c r="AN13" t="s">
        <v>155</v>
      </c>
      <c r="AO13" t="s">
        <v>62</v>
      </c>
      <c r="AP13" t="s">
        <v>63</v>
      </c>
      <c r="AQ13">
        <v>9</v>
      </c>
      <c r="AR13">
        <v>45679.333333333336</v>
      </c>
      <c r="AS13" t="s">
        <v>151</v>
      </c>
      <c r="AT13">
        <v>443</v>
      </c>
      <c r="AU13" s="16">
        <v>45679</v>
      </c>
      <c r="AV13" s="36">
        <v>0.33333333333333331</v>
      </c>
      <c r="AW13" s="16">
        <v>45679</v>
      </c>
      <c r="AX13" s="36">
        <v>0.80069444444444449</v>
      </c>
      <c r="AY13" s="16">
        <v>45679</v>
      </c>
      <c r="AZ13" s="36">
        <v>0.80203703703703699</v>
      </c>
      <c r="BA13" t="s">
        <v>372</v>
      </c>
      <c r="BB13" t="s">
        <v>374</v>
      </c>
      <c r="BC13" t="s">
        <v>381</v>
      </c>
      <c r="BD13" s="1">
        <v>45685</v>
      </c>
    </row>
    <row r="14" spans="1:56" x14ac:dyDescent="0.3">
      <c r="A14" t="s">
        <v>156</v>
      </c>
      <c r="B14" s="1">
        <v>45680</v>
      </c>
      <c r="C14">
        <v>2025</v>
      </c>
      <c r="D14" t="s">
        <v>64</v>
      </c>
      <c r="E14" s="17">
        <v>1</v>
      </c>
      <c r="F14" s="17">
        <v>4</v>
      </c>
      <c r="G14" s="17">
        <v>4</v>
      </c>
      <c r="H14" t="s">
        <v>131</v>
      </c>
      <c r="I14" s="18">
        <v>23</v>
      </c>
      <c r="J14" s="17">
        <v>23</v>
      </c>
      <c r="K14" s="3">
        <v>0.625</v>
      </c>
      <c r="L14" s="3">
        <v>0.625</v>
      </c>
      <c r="M14" t="s">
        <v>157</v>
      </c>
      <c r="N14" t="s">
        <v>157</v>
      </c>
      <c r="O14" t="s">
        <v>69</v>
      </c>
      <c r="P14" t="s">
        <v>49</v>
      </c>
      <c r="Q14" t="s">
        <v>163</v>
      </c>
      <c r="R14" t="s">
        <v>307</v>
      </c>
      <c r="S14" t="s">
        <v>274</v>
      </c>
      <c r="T14" t="s">
        <v>158</v>
      </c>
      <c r="U14" t="s">
        <v>97</v>
      </c>
      <c r="V14">
        <v>8</v>
      </c>
      <c r="W14" t="s">
        <v>159</v>
      </c>
      <c r="AJ14" t="s">
        <v>160</v>
      </c>
      <c r="AK14" t="s">
        <v>58</v>
      </c>
      <c r="AL14" t="s">
        <v>101</v>
      </c>
      <c r="AM14" t="s">
        <v>161</v>
      </c>
      <c r="AN14" t="s">
        <v>76</v>
      </c>
      <c r="AO14" t="s">
        <v>162</v>
      </c>
      <c r="AP14"/>
      <c r="AQ14">
        <v>9</v>
      </c>
      <c r="AR14">
        <v>45680.625</v>
      </c>
      <c r="AS14" t="s">
        <v>159</v>
      </c>
      <c r="AT14">
        <v>176</v>
      </c>
      <c r="AU14" s="16">
        <v>45680</v>
      </c>
      <c r="AV14" s="36">
        <v>0.625</v>
      </c>
      <c r="AW14" s="16"/>
      <c r="AX14" s="36"/>
      <c r="AY14" s="16">
        <v>45680</v>
      </c>
      <c r="AZ14" s="36">
        <v>0.66545138888888888</v>
      </c>
      <c r="BA14" t="s">
        <v>372</v>
      </c>
      <c r="BB14" t="s">
        <v>375</v>
      </c>
      <c r="BC14" t="s">
        <v>381</v>
      </c>
      <c r="BD14" s="1">
        <v>45685</v>
      </c>
    </row>
    <row r="15" spans="1:56" x14ac:dyDescent="0.3">
      <c r="A15" t="s">
        <v>171</v>
      </c>
      <c r="B15" s="1">
        <v>45682</v>
      </c>
      <c r="C15">
        <v>2025</v>
      </c>
      <c r="D15" t="s">
        <v>64</v>
      </c>
      <c r="E15" s="17">
        <v>1</v>
      </c>
      <c r="F15" s="17">
        <v>4</v>
      </c>
      <c r="G15" s="17">
        <v>4</v>
      </c>
      <c r="H15" t="s">
        <v>170</v>
      </c>
      <c r="I15" s="18">
        <v>25</v>
      </c>
      <c r="J15" s="17">
        <v>25</v>
      </c>
      <c r="K15" s="3">
        <v>0.75</v>
      </c>
      <c r="L15" s="3">
        <v>0.76875000000000004</v>
      </c>
      <c r="M15" t="s">
        <v>81</v>
      </c>
      <c r="N15" t="s">
        <v>81</v>
      </c>
      <c r="O15" t="s">
        <v>172</v>
      </c>
      <c r="P15" t="s">
        <v>49</v>
      </c>
      <c r="Q15" t="s">
        <v>179</v>
      </c>
      <c r="R15" t="s">
        <v>292</v>
      </c>
      <c r="S15" t="s">
        <v>275</v>
      </c>
      <c r="T15" t="s">
        <v>173</v>
      </c>
      <c r="U15" t="s">
        <v>97</v>
      </c>
      <c r="V15">
        <v>8</v>
      </c>
      <c r="W15" t="s">
        <v>174</v>
      </c>
      <c r="Z15" t="s">
        <v>319</v>
      </c>
      <c r="AB15" t="s">
        <v>175</v>
      </c>
      <c r="AC15" t="s">
        <v>54</v>
      </c>
      <c r="AD15" t="s">
        <v>176</v>
      </c>
      <c r="AE15" t="s">
        <v>56</v>
      </c>
      <c r="AJ15" t="s">
        <v>168</v>
      </c>
      <c r="AK15" t="s">
        <v>58</v>
      </c>
      <c r="AL15" t="s">
        <v>138</v>
      </c>
      <c r="AM15" t="s">
        <v>139</v>
      </c>
      <c r="AN15" t="s">
        <v>177</v>
      </c>
      <c r="AO15" t="s">
        <v>178</v>
      </c>
      <c r="AP15" t="s">
        <v>90</v>
      </c>
      <c r="AQ15">
        <v>9</v>
      </c>
      <c r="AR15">
        <v>45682.768750000003</v>
      </c>
      <c r="AS15" t="s">
        <v>174</v>
      </c>
      <c r="AT15">
        <v>206</v>
      </c>
      <c r="AU15" s="16">
        <v>45682</v>
      </c>
      <c r="AV15" s="36">
        <v>0.76875000000000004</v>
      </c>
      <c r="AW15" s="16"/>
      <c r="AX15" s="36"/>
      <c r="AY15" s="16">
        <v>45683</v>
      </c>
      <c r="AZ15" s="36">
        <v>0.44056712962962963</v>
      </c>
      <c r="BA15" t="s">
        <v>372</v>
      </c>
      <c r="BB15" t="s">
        <v>378</v>
      </c>
      <c r="BC15" t="s">
        <v>381</v>
      </c>
      <c r="BD15" s="1">
        <v>45685</v>
      </c>
    </row>
    <row r="16" spans="1:56" x14ac:dyDescent="0.3">
      <c r="A16" t="s">
        <v>164</v>
      </c>
      <c r="B16" s="1">
        <v>45682</v>
      </c>
      <c r="C16">
        <v>2025</v>
      </c>
      <c r="D16" t="s">
        <v>64</v>
      </c>
      <c r="E16" s="17">
        <v>1</v>
      </c>
      <c r="F16" s="17">
        <v>4</v>
      </c>
      <c r="G16" s="17">
        <v>4</v>
      </c>
      <c r="H16" t="s">
        <v>170</v>
      </c>
      <c r="I16" s="18">
        <v>25</v>
      </c>
      <c r="J16" s="17">
        <v>25</v>
      </c>
      <c r="K16" s="3">
        <v>0.45833333333333331</v>
      </c>
      <c r="L16" s="3">
        <v>0.45833333333333331</v>
      </c>
      <c r="M16" t="s">
        <v>126</v>
      </c>
      <c r="N16" t="s">
        <v>126</v>
      </c>
      <c r="O16" t="s">
        <v>49</v>
      </c>
      <c r="P16" t="s">
        <v>49</v>
      </c>
      <c r="Q16" t="s">
        <v>126</v>
      </c>
      <c r="R16" t="s">
        <v>288</v>
      </c>
      <c r="S16" t="s">
        <v>263</v>
      </c>
      <c r="T16" t="s">
        <v>165</v>
      </c>
      <c r="U16" t="s">
        <v>166</v>
      </c>
      <c r="V16">
        <v>5</v>
      </c>
      <c r="W16" t="s">
        <v>167</v>
      </c>
      <c r="AJ16" t="s">
        <v>168</v>
      </c>
      <c r="AK16" t="s">
        <v>58</v>
      </c>
      <c r="AL16" t="s">
        <v>169</v>
      </c>
      <c r="AM16" t="s">
        <v>139</v>
      </c>
      <c r="AN16" t="s">
        <v>89</v>
      </c>
      <c r="AO16" t="s">
        <v>102</v>
      </c>
      <c r="AP16" t="s">
        <v>130</v>
      </c>
      <c r="AQ16">
        <v>9</v>
      </c>
      <c r="AR16">
        <v>45682.458333333336</v>
      </c>
      <c r="AS16" t="s">
        <v>167</v>
      </c>
      <c r="AT16">
        <v>60</v>
      </c>
      <c r="AU16" s="16">
        <v>45682</v>
      </c>
      <c r="AV16" s="36">
        <v>0.45833333333333331</v>
      </c>
      <c r="AW16" s="16">
        <v>45682</v>
      </c>
      <c r="AX16" s="36">
        <v>0.58333333333333337</v>
      </c>
      <c r="AY16" s="16">
        <v>45682</v>
      </c>
      <c r="AZ16" s="36">
        <v>0.58054398148148145</v>
      </c>
      <c r="BA16" t="s">
        <v>372</v>
      </c>
      <c r="BB16" t="s">
        <v>374</v>
      </c>
      <c r="BC16" t="s">
        <v>381</v>
      </c>
      <c r="BD16" s="1">
        <v>45685</v>
      </c>
    </row>
    <row r="17" spans="1:56" x14ac:dyDescent="0.3">
      <c r="A17" t="s">
        <v>180</v>
      </c>
      <c r="B17" s="1">
        <v>45683</v>
      </c>
      <c r="C17">
        <v>2025</v>
      </c>
      <c r="D17" t="s">
        <v>64</v>
      </c>
      <c r="E17" s="17">
        <v>1</v>
      </c>
      <c r="F17" s="17">
        <v>5</v>
      </c>
      <c r="G17" s="17">
        <v>5</v>
      </c>
      <c r="H17" t="s">
        <v>188</v>
      </c>
      <c r="I17" s="18">
        <v>26</v>
      </c>
      <c r="J17" s="17">
        <v>26</v>
      </c>
      <c r="K17" s="3">
        <v>0.83333333333333337</v>
      </c>
      <c r="L17" s="3">
        <v>0.84027777777777779</v>
      </c>
      <c r="M17" t="s">
        <v>81</v>
      </c>
      <c r="N17" t="s">
        <v>81</v>
      </c>
      <c r="O17" t="s">
        <v>172</v>
      </c>
      <c r="P17" t="s">
        <v>49</v>
      </c>
      <c r="Q17" t="s">
        <v>179</v>
      </c>
      <c r="R17" t="s">
        <v>293</v>
      </c>
      <c r="S17" t="s">
        <v>283</v>
      </c>
      <c r="T17" t="s">
        <v>181</v>
      </c>
      <c r="U17" t="s">
        <v>182</v>
      </c>
      <c r="V17">
        <v>9</v>
      </c>
      <c r="W17" t="s">
        <v>183</v>
      </c>
      <c r="Z17" t="s">
        <v>320</v>
      </c>
      <c r="AB17" t="s">
        <v>184</v>
      </c>
      <c r="AC17" t="s">
        <v>54</v>
      </c>
      <c r="AD17" t="s">
        <v>185</v>
      </c>
      <c r="AE17" t="s">
        <v>56</v>
      </c>
      <c r="AJ17" t="s">
        <v>86</v>
      </c>
      <c r="AK17" t="s">
        <v>58</v>
      </c>
      <c r="AL17" t="s">
        <v>186</v>
      </c>
      <c r="AM17" t="s">
        <v>88</v>
      </c>
      <c r="AN17" t="s">
        <v>187</v>
      </c>
      <c r="AO17" t="s">
        <v>102</v>
      </c>
      <c r="AP17" t="s">
        <v>90</v>
      </c>
      <c r="AQ17">
        <v>9</v>
      </c>
      <c r="AR17">
        <v>45683.840277777781</v>
      </c>
      <c r="AS17" t="s">
        <v>183</v>
      </c>
      <c r="AT17">
        <v>5</v>
      </c>
      <c r="AU17" s="16">
        <v>45683</v>
      </c>
      <c r="AV17" s="36">
        <v>0.84027777777777779</v>
      </c>
      <c r="AW17" s="16">
        <v>45683</v>
      </c>
      <c r="AX17" s="36">
        <v>0.84652777777777777</v>
      </c>
      <c r="AY17" s="16">
        <v>45683</v>
      </c>
      <c r="AZ17" s="36">
        <v>0.85009259259259262</v>
      </c>
      <c r="BA17" t="s">
        <v>372</v>
      </c>
      <c r="BB17" t="s">
        <v>376</v>
      </c>
      <c r="BC17" t="s">
        <v>381</v>
      </c>
      <c r="BD17" s="1">
        <v>45685</v>
      </c>
    </row>
    <row r="18" spans="1:56" x14ac:dyDescent="0.3">
      <c r="A18" t="s">
        <v>189</v>
      </c>
      <c r="B18" s="1">
        <v>45685</v>
      </c>
      <c r="C18">
        <v>2025</v>
      </c>
      <c r="D18" t="s">
        <v>64</v>
      </c>
      <c r="E18" s="17">
        <v>1</v>
      </c>
      <c r="F18" s="17">
        <v>5</v>
      </c>
      <c r="G18" s="17">
        <v>5</v>
      </c>
      <c r="H18" t="s">
        <v>79</v>
      </c>
      <c r="I18" s="18">
        <v>28</v>
      </c>
      <c r="J18" s="17">
        <v>28</v>
      </c>
      <c r="K18" s="3">
        <v>0.625</v>
      </c>
      <c r="L18" s="3">
        <v>0.625</v>
      </c>
      <c r="M18" t="s">
        <v>48</v>
      </c>
      <c r="N18" t="s">
        <v>48</v>
      </c>
      <c r="O18" t="s">
        <v>172</v>
      </c>
      <c r="P18" t="s">
        <v>49</v>
      </c>
      <c r="Q18" t="s">
        <v>197</v>
      </c>
      <c r="R18" t="s">
        <v>302</v>
      </c>
      <c r="S18" t="s">
        <v>264</v>
      </c>
      <c r="T18" t="s">
        <v>190</v>
      </c>
      <c r="U18" t="s">
        <v>191</v>
      </c>
      <c r="V18">
        <v>6</v>
      </c>
      <c r="W18" t="s">
        <v>192</v>
      </c>
      <c r="Z18" t="s">
        <v>325</v>
      </c>
      <c r="AB18" t="s">
        <v>193</v>
      </c>
      <c r="AC18" t="s">
        <v>194</v>
      </c>
      <c r="AD18" t="s">
        <v>195</v>
      </c>
      <c r="AE18" t="s">
        <v>56</v>
      </c>
      <c r="AJ18" t="s">
        <v>114</v>
      </c>
      <c r="AK18" t="s">
        <v>58</v>
      </c>
      <c r="AL18" t="s">
        <v>147</v>
      </c>
      <c r="AM18" t="s">
        <v>60</v>
      </c>
      <c r="AN18" t="s">
        <v>89</v>
      </c>
      <c r="AO18" t="s">
        <v>196</v>
      </c>
      <c r="AP18" t="s">
        <v>63</v>
      </c>
      <c r="AQ18">
        <v>9</v>
      </c>
      <c r="AR18">
        <v>45685.625</v>
      </c>
      <c r="AS18" t="s">
        <v>192</v>
      </c>
      <c r="AT18">
        <v>119</v>
      </c>
      <c r="AU18" s="16">
        <v>45685</v>
      </c>
      <c r="AV18" s="36">
        <v>0.625</v>
      </c>
      <c r="AW18" s="16">
        <v>45686</v>
      </c>
      <c r="AX18" s="36">
        <v>0.91736111111111107</v>
      </c>
      <c r="AY18" s="16">
        <v>45686</v>
      </c>
      <c r="AZ18" s="36">
        <v>0.91833333333333333</v>
      </c>
      <c r="BA18" t="s">
        <v>372</v>
      </c>
      <c r="BB18" t="s">
        <v>375</v>
      </c>
      <c r="BC18" t="s">
        <v>382</v>
      </c>
      <c r="BD18" s="1">
        <v>45685</v>
      </c>
    </row>
    <row r="19" spans="1:56" x14ac:dyDescent="0.3">
      <c r="A19" t="s">
        <v>198</v>
      </c>
      <c r="B19" s="1">
        <v>45688</v>
      </c>
      <c r="C19">
        <v>2025</v>
      </c>
      <c r="D19" t="s">
        <v>64</v>
      </c>
      <c r="E19" s="17">
        <v>1</v>
      </c>
      <c r="F19" s="17">
        <v>5</v>
      </c>
      <c r="G19" s="17">
        <v>5</v>
      </c>
      <c r="H19" t="s">
        <v>65</v>
      </c>
      <c r="I19" s="18">
        <v>31</v>
      </c>
      <c r="J19" s="17">
        <v>31</v>
      </c>
      <c r="K19" s="3">
        <v>0.45833333333333331</v>
      </c>
      <c r="L19" s="3">
        <v>0.49988425925925928</v>
      </c>
      <c r="M19" t="s">
        <v>126</v>
      </c>
      <c r="N19" t="s">
        <v>126</v>
      </c>
      <c r="O19" t="s">
        <v>49</v>
      </c>
      <c r="P19" t="s">
        <v>49</v>
      </c>
      <c r="Q19" t="s">
        <v>126</v>
      </c>
      <c r="R19" t="s">
        <v>289</v>
      </c>
      <c r="S19" t="s">
        <v>276</v>
      </c>
      <c r="T19" t="s">
        <v>199</v>
      </c>
      <c r="U19" t="s">
        <v>200</v>
      </c>
      <c r="V19">
        <v>8</v>
      </c>
      <c r="W19" t="s">
        <v>201</v>
      </c>
      <c r="AJ19" t="s">
        <v>57</v>
      </c>
      <c r="AK19" t="s">
        <v>58</v>
      </c>
      <c r="AL19" t="s">
        <v>202</v>
      </c>
      <c r="AM19" t="s">
        <v>115</v>
      </c>
      <c r="AN19" t="s">
        <v>116</v>
      </c>
      <c r="AO19" t="s">
        <v>62</v>
      </c>
      <c r="AP19" t="s">
        <v>130</v>
      </c>
      <c r="AQ19">
        <v>9</v>
      </c>
      <c r="AR19">
        <v>45688.499305555553</v>
      </c>
      <c r="AS19" t="s">
        <v>201</v>
      </c>
      <c r="AT19">
        <v>292</v>
      </c>
      <c r="AU19" s="16">
        <v>45688</v>
      </c>
      <c r="AV19" s="36">
        <v>0.49988425925925928</v>
      </c>
      <c r="AW19" s="16"/>
      <c r="AX19" s="36"/>
      <c r="AY19" s="16">
        <v>45688</v>
      </c>
      <c r="AZ19" s="36">
        <v>0.49988425925925928</v>
      </c>
      <c r="BA19" t="s">
        <v>372</v>
      </c>
      <c r="BB19" t="s">
        <v>374</v>
      </c>
      <c r="BC19" t="s">
        <v>382</v>
      </c>
      <c r="BD19" s="1">
        <v>45692</v>
      </c>
    </row>
    <row r="20" spans="1:56" x14ac:dyDescent="0.3">
      <c r="A20" t="s">
        <v>246</v>
      </c>
      <c r="B20" s="1">
        <v>45688</v>
      </c>
      <c r="C20">
        <v>2025</v>
      </c>
      <c r="D20" t="s">
        <v>64</v>
      </c>
      <c r="E20" s="17">
        <v>1</v>
      </c>
      <c r="F20" s="17">
        <v>5</v>
      </c>
      <c r="G20" s="17">
        <v>5</v>
      </c>
      <c r="H20" t="s">
        <v>65</v>
      </c>
      <c r="I20" s="18">
        <v>31</v>
      </c>
      <c r="J20" s="17">
        <v>31</v>
      </c>
      <c r="K20" s="3">
        <v>0.5</v>
      </c>
      <c r="L20" s="3">
        <v>0.5</v>
      </c>
      <c r="M20" t="s">
        <v>48</v>
      </c>
      <c r="N20" t="s">
        <v>48</v>
      </c>
      <c r="O20" t="s">
        <v>49</v>
      </c>
      <c r="P20" t="s">
        <v>49</v>
      </c>
      <c r="Q20" t="s">
        <v>48</v>
      </c>
      <c r="R20" t="s">
        <v>306</v>
      </c>
      <c r="S20" t="s">
        <v>268</v>
      </c>
      <c r="T20" t="s">
        <v>247</v>
      </c>
      <c r="U20" t="s">
        <v>150</v>
      </c>
      <c r="V20">
        <v>5</v>
      </c>
      <c r="W20" t="s">
        <v>248</v>
      </c>
      <c r="Z20" t="s">
        <v>329</v>
      </c>
      <c r="AB20" t="s">
        <v>249</v>
      </c>
      <c r="AD20" t="s">
        <v>122</v>
      </c>
      <c r="AE20" t="s">
        <v>56</v>
      </c>
      <c r="AJ20" t="s">
        <v>114</v>
      </c>
      <c r="AK20" t="s">
        <v>58</v>
      </c>
      <c r="AL20" t="s">
        <v>250</v>
      </c>
      <c r="AM20" t="s">
        <v>60</v>
      </c>
      <c r="AN20" t="s">
        <v>187</v>
      </c>
      <c r="AO20" t="s">
        <v>102</v>
      </c>
      <c r="AP20" t="s">
        <v>63</v>
      </c>
      <c r="AQ20">
        <v>9</v>
      </c>
      <c r="AR20">
        <v>45688.5</v>
      </c>
      <c r="AS20" t="s">
        <v>248</v>
      </c>
      <c r="AT20">
        <v>535</v>
      </c>
      <c r="AU20" s="16">
        <v>45688</v>
      </c>
      <c r="AV20" s="36">
        <v>0.5</v>
      </c>
      <c r="AW20" s="16">
        <v>45695</v>
      </c>
      <c r="AX20" s="36">
        <v>0.54166666666666663</v>
      </c>
      <c r="AY20" s="16">
        <v>45696</v>
      </c>
      <c r="AZ20" s="36">
        <v>0.3903240740740741</v>
      </c>
      <c r="BA20" t="s">
        <v>372</v>
      </c>
      <c r="BB20" t="s">
        <v>375</v>
      </c>
      <c r="BC20" t="s">
        <v>382</v>
      </c>
      <c r="BD20" s="1">
        <v>45692</v>
      </c>
    </row>
    <row r="21" spans="1:56" x14ac:dyDescent="0.3">
      <c r="A21" t="s">
        <v>203</v>
      </c>
      <c r="B21" s="1">
        <v>45689</v>
      </c>
      <c r="C21">
        <v>2025</v>
      </c>
      <c r="D21" t="s">
        <v>210</v>
      </c>
      <c r="E21" s="17">
        <v>1</v>
      </c>
      <c r="F21" s="17">
        <v>5</v>
      </c>
      <c r="G21" s="17">
        <v>1</v>
      </c>
      <c r="H21" t="s">
        <v>170</v>
      </c>
      <c r="I21" s="18">
        <v>32</v>
      </c>
      <c r="J21" s="17">
        <v>1</v>
      </c>
      <c r="K21" s="3">
        <v>4.1666666666666664E-2</v>
      </c>
      <c r="L21" s="3">
        <v>4.1666666666666664E-2</v>
      </c>
      <c r="M21" t="s">
        <v>48</v>
      </c>
      <c r="N21" t="s">
        <v>48</v>
      </c>
      <c r="O21" t="s">
        <v>49</v>
      </c>
      <c r="P21" t="s">
        <v>49</v>
      </c>
      <c r="Q21" t="s">
        <v>48</v>
      </c>
      <c r="R21" t="s">
        <v>303</v>
      </c>
      <c r="S21" t="s">
        <v>265</v>
      </c>
      <c r="T21" t="s">
        <v>204</v>
      </c>
      <c r="U21" t="s">
        <v>205</v>
      </c>
      <c r="V21">
        <v>6</v>
      </c>
      <c r="W21" t="s">
        <v>206</v>
      </c>
      <c r="Z21" t="s">
        <v>326</v>
      </c>
      <c r="AB21" t="s">
        <v>207</v>
      </c>
      <c r="AC21" t="s">
        <v>208</v>
      </c>
      <c r="AD21" t="s">
        <v>209</v>
      </c>
      <c r="AE21" t="s">
        <v>56</v>
      </c>
      <c r="AJ21" t="s">
        <v>114</v>
      </c>
      <c r="AK21" t="s">
        <v>58</v>
      </c>
      <c r="AL21" t="s">
        <v>147</v>
      </c>
      <c r="AM21" t="s">
        <v>60</v>
      </c>
      <c r="AN21" t="s">
        <v>155</v>
      </c>
      <c r="AO21" t="s">
        <v>62</v>
      </c>
      <c r="AP21" t="s">
        <v>63</v>
      </c>
      <c r="AQ21">
        <v>9</v>
      </c>
      <c r="AR21">
        <v>45689.041666666664</v>
      </c>
      <c r="AS21" t="s">
        <v>206</v>
      </c>
      <c r="AT21">
        <v>453</v>
      </c>
      <c r="AU21" s="16">
        <v>45689</v>
      </c>
      <c r="AV21" s="36">
        <v>4.1666666666666664E-2</v>
      </c>
      <c r="AW21" s="16"/>
      <c r="AX21" s="36">
        <v>0.10416666666666667</v>
      </c>
      <c r="AY21" s="16">
        <v>45689</v>
      </c>
      <c r="AZ21" s="36">
        <v>0.11982638888888889</v>
      </c>
      <c r="BA21" t="s">
        <v>372</v>
      </c>
      <c r="BB21" t="s">
        <v>377</v>
      </c>
      <c r="BC21" t="s">
        <v>382</v>
      </c>
      <c r="BD21" s="1">
        <v>45692</v>
      </c>
    </row>
    <row r="22" spans="1:56" x14ac:dyDescent="0.3">
      <c r="A22" t="s">
        <v>211</v>
      </c>
      <c r="B22" s="1">
        <v>45690</v>
      </c>
      <c r="C22">
        <v>2025</v>
      </c>
      <c r="D22" t="s">
        <v>210</v>
      </c>
      <c r="E22" s="17">
        <v>1</v>
      </c>
      <c r="F22" s="17">
        <v>6</v>
      </c>
      <c r="G22" s="17">
        <v>2</v>
      </c>
      <c r="H22" t="s">
        <v>188</v>
      </c>
      <c r="I22" s="18">
        <v>33</v>
      </c>
      <c r="J22" s="17">
        <v>2</v>
      </c>
      <c r="K22" s="3">
        <v>0.70833333333333337</v>
      </c>
      <c r="L22" s="3">
        <v>0.72569444444444442</v>
      </c>
      <c r="M22" t="s">
        <v>95</v>
      </c>
      <c r="N22" t="s">
        <v>212</v>
      </c>
      <c r="O22" t="s">
        <v>95</v>
      </c>
      <c r="P22" t="s">
        <v>49</v>
      </c>
      <c r="Q22" t="s">
        <v>216</v>
      </c>
      <c r="R22" t="s">
        <v>304</v>
      </c>
      <c r="S22" t="s">
        <v>266</v>
      </c>
      <c r="T22" t="s">
        <v>213</v>
      </c>
      <c r="U22" t="s">
        <v>166</v>
      </c>
      <c r="V22">
        <v>5</v>
      </c>
      <c r="W22" t="s">
        <v>214</v>
      </c>
      <c r="AJ22" t="s">
        <v>86</v>
      </c>
      <c r="AK22" t="s">
        <v>58</v>
      </c>
      <c r="AL22" t="s">
        <v>186</v>
      </c>
      <c r="AM22" t="s">
        <v>88</v>
      </c>
      <c r="AN22" t="s">
        <v>215</v>
      </c>
      <c r="AO22" t="s">
        <v>178</v>
      </c>
      <c r="AP22"/>
      <c r="AQ22">
        <v>9</v>
      </c>
      <c r="AR22">
        <v>45690.725694444445</v>
      </c>
      <c r="AS22" t="s">
        <v>214</v>
      </c>
      <c r="AT22">
        <v>144</v>
      </c>
      <c r="AU22" s="16">
        <v>45690</v>
      </c>
      <c r="AV22" s="36">
        <v>0.72569444444444442</v>
      </c>
      <c r="AW22" s="16">
        <v>45690</v>
      </c>
      <c r="AX22" s="36">
        <v>0.75</v>
      </c>
      <c r="AY22" s="16">
        <v>45691</v>
      </c>
      <c r="AZ22" s="36">
        <v>0.50143518518518515</v>
      </c>
      <c r="BA22" t="s">
        <v>372</v>
      </c>
      <c r="BB22" t="s">
        <v>378</v>
      </c>
      <c r="BC22" t="s">
        <v>382</v>
      </c>
      <c r="BD22" s="1">
        <v>45692</v>
      </c>
    </row>
    <row r="23" spans="1:56" x14ac:dyDescent="0.3">
      <c r="A23" t="s">
        <v>217</v>
      </c>
      <c r="B23" s="1">
        <v>45691</v>
      </c>
      <c r="C23">
        <v>2025</v>
      </c>
      <c r="D23" t="s">
        <v>210</v>
      </c>
      <c r="E23" s="17">
        <v>1</v>
      </c>
      <c r="F23" s="17">
        <v>6</v>
      </c>
      <c r="G23" s="17">
        <v>2</v>
      </c>
      <c r="H23" t="s">
        <v>91</v>
      </c>
      <c r="I23" s="18">
        <v>34</v>
      </c>
      <c r="J23" s="17">
        <v>3</v>
      </c>
      <c r="K23" s="3">
        <v>0.66666666666666663</v>
      </c>
      <c r="L23" s="3">
        <v>0.694849537037037</v>
      </c>
      <c r="M23" t="s">
        <v>95</v>
      </c>
      <c r="N23" t="s">
        <v>95</v>
      </c>
      <c r="O23" t="s">
        <v>49</v>
      </c>
      <c r="P23" t="s">
        <v>49</v>
      </c>
      <c r="Q23" t="s">
        <v>95</v>
      </c>
      <c r="R23" t="s">
        <v>297</v>
      </c>
      <c r="S23" t="s">
        <v>284</v>
      </c>
      <c r="T23" t="s">
        <v>218</v>
      </c>
      <c r="U23" t="s">
        <v>109</v>
      </c>
      <c r="V23">
        <v>9</v>
      </c>
      <c r="W23" t="s">
        <v>219</v>
      </c>
      <c r="AJ23" t="s">
        <v>168</v>
      </c>
      <c r="AK23" t="s">
        <v>58</v>
      </c>
      <c r="AL23" t="s">
        <v>129</v>
      </c>
      <c r="AM23" t="s">
        <v>88</v>
      </c>
      <c r="AN23" t="s">
        <v>187</v>
      </c>
      <c r="AO23" t="s">
        <v>62</v>
      </c>
      <c r="AP23" t="s">
        <v>103</v>
      </c>
      <c r="AQ23">
        <v>9</v>
      </c>
      <c r="AR23">
        <v>45691.694444444445</v>
      </c>
      <c r="AS23" t="s">
        <v>219</v>
      </c>
      <c r="AT23">
        <v>400</v>
      </c>
      <c r="AU23" s="16"/>
      <c r="AV23" s="36"/>
      <c r="AW23" s="16"/>
      <c r="AX23" s="36"/>
      <c r="AY23" s="16">
        <v>45691</v>
      </c>
      <c r="AZ23" s="36">
        <v>0.694849537037037</v>
      </c>
      <c r="BA23" t="s">
        <v>372</v>
      </c>
      <c r="BB23" t="s">
        <v>378</v>
      </c>
      <c r="BC23" t="s">
        <v>382</v>
      </c>
      <c r="BD23" s="1">
        <v>45692</v>
      </c>
    </row>
    <row r="24" spans="1:56" x14ac:dyDescent="0.3">
      <c r="A24" t="s">
        <v>220</v>
      </c>
      <c r="B24" s="1">
        <v>45691</v>
      </c>
      <c r="C24">
        <v>2025</v>
      </c>
      <c r="D24" t="s">
        <v>210</v>
      </c>
      <c r="E24" s="17">
        <v>1</v>
      </c>
      <c r="F24" s="17">
        <v>6</v>
      </c>
      <c r="G24" s="17">
        <v>2</v>
      </c>
      <c r="H24" t="s">
        <v>91</v>
      </c>
      <c r="I24" s="18">
        <v>34</v>
      </c>
      <c r="J24" s="17">
        <v>3</v>
      </c>
      <c r="K24" s="3">
        <v>0.75</v>
      </c>
      <c r="L24" s="3">
        <v>0.77083333333333337</v>
      </c>
      <c r="M24" t="s">
        <v>48</v>
      </c>
      <c r="N24" t="s">
        <v>48</v>
      </c>
      <c r="O24" t="s">
        <v>49</v>
      </c>
      <c r="P24" t="s">
        <v>49</v>
      </c>
      <c r="Q24" t="s">
        <v>48</v>
      </c>
      <c r="R24" t="s">
        <v>305</v>
      </c>
      <c r="S24" t="s">
        <v>277</v>
      </c>
      <c r="T24" t="s">
        <v>221</v>
      </c>
      <c r="U24" t="s">
        <v>222</v>
      </c>
      <c r="V24">
        <v>8</v>
      </c>
      <c r="W24" t="s">
        <v>223</v>
      </c>
      <c r="Z24" t="s">
        <v>327</v>
      </c>
      <c r="AB24" t="s">
        <v>224</v>
      </c>
      <c r="AC24" t="s">
        <v>225</v>
      </c>
      <c r="AD24" t="s">
        <v>226</v>
      </c>
      <c r="AE24" t="s">
        <v>227</v>
      </c>
      <c r="AJ24" t="s">
        <v>86</v>
      </c>
      <c r="AK24" t="s">
        <v>58</v>
      </c>
      <c r="AL24" t="s">
        <v>186</v>
      </c>
      <c r="AM24" t="s">
        <v>88</v>
      </c>
      <c r="AN24" t="s">
        <v>89</v>
      </c>
      <c r="AO24" t="s">
        <v>228</v>
      </c>
      <c r="AP24" t="s">
        <v>63</v>
      </c>
      <c r="AQ24">
        <v>9</v>
      </c>
      <c r="AR24">
        <v>45691.770833333336</v>
      </c>
      <c r="AS24" t="s">
        <v>223</v>
      </c>
      <c r="AT24">
        <v>55</v>
      </c>
      <c r="AU24" s="16">
        <v>45691</v>
      </c>
      <c r="AV24" s="36">
        <v>0.77083333333333337</v>
      </c>
      <c r="AW24" s="16">
        <v>45692</v>
      </c>
      <c r="AX24" s="36">
        <v>0.79166666666666663</v>
      </c>
      <c r="AY24" s="16">
        <v>45692</v>
      </c>
      <c r="AZ24" s="36">
        <v>0.53023148148148147</v>
      </c>
      <c r="BA24" t="s">
        <v>372</v>
      </c>
      <c r="BB24" t="s">
        <v>378</v>
      </c>
      <c r="BC24" t="s">
        <v>382</v>
      </c>
      <c r="BD24" s="1">
        <v>45692</v>
      </c>
    </row>
    <row r="25" spans="1:56" x14ac:dyDescent="0.3">
      <c r="A25" t="s">
        <v>229</v>
      </c>
      <c r="B25" s="1">
        <v>45693</v>
      </c>
      <c r="C25">
        <v>2025</v>
      </c>
      <c r="D25" t="s">
        <v>210</v>
      </c>
      <c r="E25" s="17">
        <v>1</v>
      </c>
      <c r="F25" s="17">
        <v>6</v>
      </c>
      <c r="G25" s="17">
        <v>2</v>
      </c>
      <c r="H25" t="s">
        <v>124</v>
      </c>
      <c r="I25" s="18">
        <v>36</v>
      </c>
      <c r="J25" s="17">
        <v>5</v>
      </c>
      <c r="K25" s="3">
        <v>8.3333333333333329E-2</v>
      </c>
      <c r="L25" s="3">
        <v>0.12291666666666666</v>
      </c>
      <c r="M25" t="s">
        <v>230</v>
      </c>
      <c r="N25" t="s">
        <v>230</v>
      </c>
      <c r="O25" t="s">
        <v>231</v>
      </c>
      <c r="P25" t="s">
        <v>49</v>
      </c>
      <c r="Q25" t="s">
        <v>236</v>
      </c>
      <c r="R25" t="s">
        <v>290</v>
      </c>
      <c r="S25" t="s">
        <v>278</v>
      </c>
      <c r="T25" t="s">
        <v>232</v>
      </c>
      <c r="U25" t="s">
        <v>200</v>
      </c>
      <c r="V25">
        <v>8</v>
      </c>
      <c r="W25" t="s">
        <v>233</v>
      </c>
      <c r="AJ25" t="s">
        <v>114</v>
      </c>
      <c r="AK25" t="s">
        <v>58</v>
      </c>
      <c r="AL25" t="s">
        <v>234</v>
      </c>
      <c r="AM25" t="s">
        <v>139</v>
      </c>
      <c r="AN25" t="s">
        <v>235</v>
      </c>
      <c r="AO25" t="s">
        <v>102</v>
      </c>
      <c r="AP25" t="s">
        <v>130</v>
      </c>
      <c r="AQ25">
        <v>9</v>
      </c>
      <c r="AR25">
        <v>45693.122916666667</v>
      </c>
      <c r="AS25" t="s">
        <v>233</v>
      </c>
      <c r="AT25">
        <v>441</v>
      </c>
      <c r="AU25" s="16">
        <v>45693</v>
      </c>
      <c r="AV25" s="36">
        <v>0.12291666666666666</v>
      </c>
      <c r="AW25" s="16"/>
      <c r="AX25" s="36"/>
      <c r="AY25" s="16">
        <v>45693</v>
      </c>
      <c r="AZ25" s="36">
        <v>0.1233912037037037</v>
      </c>
      <c r="BA25" t="s">
        <v>372</v>
      </c>
      <c r="BB25" t="s">
        <v>377</v>
      </c>
      <c r="BC25" t="s">
        <v>383</v>
      </c>
      <c r="BD25" s="1">
        <v>45699</v>
      </c>
    </row>
    <row r="26" spans="1:56" x14ac:dyDescent="0.3">
      <c r="A26" t="s">
        <v>237</v>
      </c>
      <c r="B26" s="1">
        <v>45695</v>
      </c>
      <c r="C26">
        <v>2025</v>
      </c>
      <c r="D26" t="s">
        <v>210</v>
      </c>
      <c r="E26" s="17">
        <v>1</v>
      </c>
      <c r="F26" s="17">
        <v>6</v>
      </c>
      <c r="G26" s="17">
        <v>2</v>
      </c>
      <c r="H26" t="s">
        <v>65</v>
      </c>
      <c r="I26" s="18">
        <v>38</v>
      </c>
      <c r="J26" s="17">
        <v>7</v>
      </c>
      <c r="K26" s="3">
        <v>0.25</v>
      </c>
      <c r="L26" s="3">
        <v>0.27430555555555558</v>
      </c>
      <c r="M26" t="s">
        <v>48</v>
      </c>
      <c r="N26" t="s">
        <v>48</v>
      </c>
      <c r="O26" t="s">
        <v>49</v>
      </c>
      <c r="P26" t="s">
        <v>49</v>
      </c>
      <c r="Q26" t="s">
        <v>48</v>
      </c>
      <c r="R26" t="s">
        <v>304</v>
      </c>
      <c r="S26" t="s">
        <v>267</v>
      </c>
      <c r="T26" t="s">
        <v>238</v>
      </c>
      <c r="U26" t="s">
        <v>239</v>
      </c>
      <c r="V26">
        <v>5</v>
      </c>
      <c r="W26" t="s">
        <v>240</v>
      </c>
      <c r="Z26" t="s">
        <v>328</v>
      </c>
      <c r="AB26" t="s">
        <v>241</v>
      </c>
      <c r="AC26" t="s">
        <v>242</v>
      </c>
      <c r="AD26" t="s">
        <v>243</v>
      </c>
      <c r="AE26" t="s">
        <v>56</v>
      </c>
      <c r="AJ26" t="s">
        <v>114</v>
      </c>
      <c r="AK26" t="s">
        <v>58</v>
      </c>
      <c r="AL26" t="s">
        <v>244</v>
      </c>
      <c r="AM26" t="s">
        <v>245</v>
      </c>
      <c r="AN26" t="s">
        <v>215</v>
      </c>
      <c r="AO26" t="s">
        <v>178</v>
      </c>
      <c r="AP26" t="s">
        <v>63</v>
      </c>
      <c r="AQ26">
        <v>9</v>
      </c>
      <c r="AR26">
        <v>45695.274305555555</v>
      </c>
      <c r="AS26" t="s">
        <v>240</v>
      </c>
      <c r="AT26">
        <v>170</v>
      </c>
      <c r="AU26" s="16">
        <v>45695</v>
      </c>
      <c r="AV26" s="36">
        <v>0.27430555555555558</v>
      </c>
      <c r="AW26" s="16">
        <v>45695</v>
      </c>
      <c r="AX26" s="36">
        <v>0.28472222222222221</v>
      </c>
      <c r="AY26" s="16">
        <v>45695</v>
      </c>
      <c r="AZ26" s="36">
        <v>0.30738425925925927</v>
      </c>
      <c r="BA26" t="s">
        <v>372</v>
      </c>
      <c r="BB26" t="s">
        <v>379</v>
      </c>
      <c r="BC26" t="s">
        <v>383</v>
      </c>
      <c r="BD26" s="1">
        <v>45699</v>
      </c>
    </row>
    <row r="27" spans="1:56" x14ac:dyDescent="0.3">
      <c r="A27" t="s">
        <v>350</v>
      </c>
      <c r="B27" s="1">
        <v>45701</v>
      </c>
      <c r="C27">
        <v>2025</v>
      </c>
      <c r="D27" t="s">
        <v>210</v>
      </c>
      <c r="E27" s="17">
        <v>1</v>
      </c>
      <c r="F27" s="17">
        <v>7</v>
      </c>
      <c r="G27" s="17">
        <v>3</v>
      </c>
      <c r="H27" t="s">
        <v>131</v>
      </c>
      <c r="I27" s="18">
        <v>44</v>
      </c>
      <c r="J27" s="17">
        <v>13</v>
      </c>
      <c r="K27" s="3">
        <v>0.66666666666666663</v>
      </c>
      <c r="L27" s="3">
        <v>0.66666666666666663</v>
      </c>
      <c r="M27" t="s">
        <v>81</v>
      </c>
      <c r="N27" t="s">
        <v>81</v>
      </c>
      <c r="O27" t="s">
        <v>49</v>
      </c>
      <c r="P27" t="s">
        <v>49</v>
      </c>
      <c r="Q27" t="s">
        <v>81</v>
      </c>
      <c r="S27" t="s">
        <v>351</v>
      </c>
      <c r="T27" t="s">
        <v>352</v>
      </c>
      <c r="U27" t="s">
        <v>353</v>
      </c>
      <c r="V27">
        <v>6</v>
      </c>
      <c r="W27" t="s">
        <v>354</v>
      </c>
      <c r="Z27" t="s">
        <v>355</v>
      </c>
      <c r="AB27" t="s">
        <v>356</v>
      </c>
      <c r="AC27" t="s">
        <v>208</v>
      </c>
      <c r="AD27" t="s">
        <v>357</v>
      </c>
      <c r="AE27" t="s">
        <v>56</v>
      </c>
      <c r="AJ27" t="s">
        <v>114</v>
      </c>
      <c r="AK27" t="s">
        <v>58</v>
      </c>
      <c r="AL27" t="s">
        <v>358</v>
      </c>
      <c r="AM27" t="s">
        <v>245</v>
      </c>
      <c r="AN27" t="s">
        <v>177</v>
      </c>
      <c r="AO27" t="s">
        <v>359</v>
      </c>
      <c r="AP27" t="s">
        <v>90</v>
      </c>
      <c r="AQ27">
        <v>9</v>
      </c>
      <c r="AR27">
        <v>45701.666666666664</v>
      </c>
      <c r="AS27" t="s">
        <v>354</v>
      </c>
      <c r="AU27" s="16">
        <v>45701</v>
      </c>
      <c r="AV27" s="36">
        <v>0.66666666666666663</v>
      </c>
      <c r="AW27" s="16"/>
      <c r="AX27" s="36"/>
      <c r="AY27" s="16">
        <v>45702</v>
      </c>
      <c r="AZ27" s="36">
        <v>0.29906250000000001</v>
      </c>
      <c r="BA27" t="s">
        <v>372</v>
      </c>
      <c r="BB27" t="s">
        <v>378</v>
      </c>
      <c r="BC27" t="s">
        <v>385</v>
      </c>
      <c r="BD27" s="1">
        <v>45706</v>
      </c>
    </row>
    <row r="28" spans="1:56" x14ac:dyDescent="0.3">
      <c r="A28" t="s">
        <v>460</v>
      </c>
      <c r="B28" s="1">
        <v>45705</v>
      </c>
      <c r="C28">
        <v>2025</v>
      </c>
      <c r="D28" t="s">
        <v>210</v>
      </c>
      <c r="E28" s="17">
        <v>1</v>
      </c>
      <c r="F28" s="17">
        <v>8</v>
      </c>
      <c r="G28" s="17">
        <v>4</v>
      </c>
      <c r="H28" t="s">
        <v>91</v>
      </c>
      <c r="I28" s="18">
        <v>48</v>
      </c>
      <c r="J28" s="17">
        <v>17</v>
      </c>
      <c r="K28" s="3">
        <v>0.375</v>
      </c>
      <c r="L28" s="3">
        <v>0.39716435185185184</v>
      </c>
      <c r="M28" t="s">
        <v>48</v>
      </c>
      <c r="N28" t="s">
        <v>48</v>
      </c>
      <c r="O28" t="s">
        <v>49</v>
      </c>
      <c r="P28" t="s">
        <v>49</v>
      </c>
      <c r="Q28" t="s">
        <v>48</v>
      </c>
      <c r="R28" t="s">
        <v>291</v>
      </c>
      <c r="S28" t="s">
        <v>461</v>
      </c>
      <c r="T28" t="s">
        <v>462</v>
      </c>
      <c r="U28" t="s">
        <v>463</v>
      </c>
      <c r="V28">
        <v>7</v>
      </c>
      <c r="W28" t="s">
        <v>464</v>
      </c>
      <c r="Z28" t="s">
        <v>465</v>
      </c>
      <c r="AB28" t="s">
        <v>466</v>
      </c>
      <c r="AC28" t="s">
        <v>54</v>
      </c>
      <c r="AD28" t="s">
        <v>55</v>
      </c>
      <c r="AE28" t="s">
        <v>56</v>
      </c>
      <c r="AJ28" t="s">
        <v>86</v>
      </c>
      <c r="AK28" t="s">
        <v>58</v>
      </c>
      <c r="AL28" t="s">
        <v>467</v>
      </c>
      <c r="AM28" t="s">
        <v>88</v>
      </c>
      <c r="AN28" t="s">
        <v>155</v>
      </c>
      <c r="AO28" t="s">
        <v>102</v>
      </c>
      <c r="AP28"/>
      <c r="AQ28">
        <v>9</v>
      </c>
      <c r="AR28">
        <v>45705.396527777775</v>
      </c>
      <c r="AS28" t="s">
        <v>464</v>
      </c>
      <c r="AT28">
        <v>30</v>
      </c>
      <c r="AU28" s="16">
        <v>45705</v>
      </c>
      <c r="AV28" s="36">
        <v>0.39716435185185184</v>
      </c>
      <c r="AW28" s="16"/>
      <c r="AX28" s="36"/>
      <c r="AY28" s="16">
        <v>45705</v>
      </c>
      <c r="AZ28" s="36">
        <v>0.39716435185185184</v>
      </c>
      <c r="BA28" t="s">
        <v>372</v>
      </c>
      <c r="BB28" t="s">
        <v>374</v>
      </c>
      <c r="BC28" t="s">
        <v>385</v>
      </c>
      <c r="BD28" s="1">
        <v>45706</v>
      </c>
    </row>
    <row r="29" spans="1:56" x14ac:dyDescent="0.3">
      <c r="A29" t="s">
        <v>468</v>
      </c>
      <c r="B29" s="1">
        <v>45705</v>
      </c>
      <c r="C29">
        <v>2025</v>
      </c>
      <c r="D29" t="s">
        <v>210</v>
      </c>
      <c r="E29" s="17">
        <v>1</v>
      </c>
      <c r="F29" s="17">
        <v>8</v>
      </c>
      <c r="G29" s="17">
        <v>4</v>
      </c>
      <c r="H29" t="s">
        <v>91</v>
      </c>
      <c r="I29" s="18">
        <v>48</v>
      </c>
      <c r="J29" s="17">
        <v>17</v>
      </c>
      <c r="K29" s="3">
        <v>0.33333333333333331</v>
      </c>
      <c r="L29" s="3">
        <v>0.34877314814814814</v>
      </c>
      <c r="M29" t="s">
        <v>48</v>
      </c>
      <c r="N29" t="s">
        <v>48</v>
      </c>
      <c r="O29" t="s">
        <v>469</v>
      </c>
      <c r="P29" t="s">
        <v>49</v>
      </c>
      <c r="Q29" t="s">
        <v>470</v>
      </c>
      <c r="R29" t="s">
        <v>471</v>
      </c>
      <c r="S29" t="s">
        <v>472</v>
      </c>
      <c r="T29" t="s">
        <v>473</v>
      </c>
      <c r="U29" t="s">
        <v>71</v>
      </c>
      <c r="V29">
        <v>7</v>
      </c>
      <c r="W29" t="s">
        <v>474</v>
      </c>
      <c r="Z29" t="s">
        <v>475</v>
      </c>
      <c r="AB29" t="s">
        <v>476</v>
      </c>
      <c r="AC29" t="s">
        <v>54</v>
      </c>
      <c r="AD29" t="s">
        <v>55</v>
      </c>
      <c r="AE29" t="s">
        <v>56</v>
      </c>
      <c r="AJ29" t="s">
        <v>86</v>
      </c>
      <c r="AK29" t="s">
        <v>58</v>
      </c>
      <c r="AL29" t="s">
        <v>87</v>
      </c>
      <c r="AM29" t="s">
        <v>88</v>
      </c>
      <c r="AN29" t="s">
        <v>155</v>
      </c>
      <c r="AO29" t="s">
        <v>62</v>
      </c>
      <c r="AP29"/>
      <c r="AQ29">
        <v>9</v>
      </c>
      <c r="AR29">
        <v>45705.348611111112</v>
      </c>
      <c r="AS29" t="s">
        <v>474</v>
      </c>
      <c r="AT29">
        <v>100</v>
      </c>
      <c r="AU29" s="16">
        <v>45705</v>
      </c>
      <c r="AV29" s="36">
        <v>0.34877314814814814</v>
      </c>
      <c r="AW29" s="16"/>
      <c r="AX29" s="36"/>
      <c r="AY29" s="16">
        <v>45705</v>
      </c>
      <c r="AZ29" s="36">
        <v>0.34877314814814814</v>
      </c>
      <c r="BA29" t="s">
        <v>372</v>
      </c>
      <c r="BB29" t="s">
        <v>374</v>
      </c>
      <c r="BC29" t="s">
        <v>385</v>
      </c>
      <c r="BD29" s="1">
        <v>45706</v>
      </c>
    </row>
    <row r="30" spans="1:56" x14ac:dyDescent="0.3">
      <c r="A30" t="s">
        <v>477</v>
      </c>
      <c r="B30" s="1">
        <v>45705</v>
      </c>
      <c r="C30">
        <v>2025</v>
      </c>
      <c r="D30" t="s">
        <v>210</v>
      </c>
      <c r="E30" s="17">
        <v>1</v>
      </c>
      <c r="F30" s="17">
        <v>8</v>
      </c>
      <c r="G30" s="17">
        <v>4</v>
      </c>
      <c r="H30" t="s">
        <v>91</v>
      </c>
      <c r="I30" s="18">
        <v>48</v>
      </c>
      <c r="J30" s="17">
        <v>17</v>
      </c>
      <c r="K30" s="3">
        <v>0.5</v>
      </c>
      <c r="L30" s="3">
        <v>0.52497685185185183</v>
      </c>
      <c r="M30" t="s">
        <v>230</v>
      </c>
      <c r="N30" t="s">
        <v>230</v>
      </c>
      <c r="O30" t="s">
        <v>212</v>
      </c>
      <c r="P30" t="s">
        <v>49</v>
      </c>
      <c r="Q30" t="s">
        <v>478</v>
      </c>
      <c r="R30" t="s">
        <v>293</v>
      </c>
      <c r="S30" t="s">
        <v>479</v>
      </c>
      <c r="T30" t="s">
        <v>480</v>
      </c>
      <c r="U30" t="s">
        <v>134</v>
      </c>
      <c r="V30">
        <v>9</v>
      </c>
      <c r="W30" t="s">
        <v>481</v>
      </c>
      <c r="AJ30" t="s">
        <v>86</v>
      </c>
      <c r="AK30" t="s">
        <v>58</v>
      </c>
      <c r="AL30" t="s">
        <v>87</v>
      </c>
      <c r="AM30" t="s">
        <v>88</v>
      </c>
      <c r="AN30" t="s">
        <v>215</v>
      </c>
      <c r="AO30" t="s">
        <v>359</v>
      </c>
      <c r="AP30"/>
      <c r="AQ30">
        <v>9</v>
      </c>
      <c r="AR30">
        <v>45705.524305555555</v>
      </c>
      <c r="AS30" t="s">
        <v>481</v>
      </c>
      <c r="AT30">
        <v>35</v>
      </c>
      <c r="AU30" s="16">
        <v>45705</v>
      </c>
      <c r="AV30" s="36">
        <v>0.52497685185185183</v>
      </c>
      <c r="AW30" s="16"/>
      <c r="AX30" s="36"/>
      <c r="AY30" s="16">
        <v>45705</v>
      </c>
      <c r="AZ30" s="36">
        <v>0.52497685185185183</v>
      </c>
      <c r="BA30" t="s">
        <v>372</v>
      </c>
      <c r="BB30" t="s">
        <v>375</v>
      </c>
      <c r="BC30" t="s">
        <v>385</v>
      </c>
      <c r="BD30" s="1">
        <v>45706</v>
      </c>
    </row>
  </sheetData>
  <phoneticPr fontId="7"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2B94D-C666-4DCD-8733-AA0F0085C895}">
  <sheetPr codeName="Sheet15"/>
  <dimension ref="A1:AU24"/>
  <sheetViews>
    <sheetView workbookViewId="0">
      <selection sqref="A1:AU24"/>
    </sheetView>
  </sheetViews>
  <sheetFormatPr defaultRowHeight="14.4" x14ac:dyDescent="0.3"/>
  <cols>
    <col min="1" max="1" width="15.109375" bestFit="1" customWidth="1"/>
    <col min="2" max="2" width="11.5546875" bestFit="1" customWidth="1"/>
    <col min="3" max="3" width="7.33203125" bestFit="1" customWidth="1"/>
    <col min="4" max="4" width="15" bestFit="1" customWidth="1"/>
    <col min="5" max="5" width="10.109375" bestFit="1" customWidth="1"/>
    <col min="6" max="6" width="15.44140625" bestFit="1" customWidth="1"/>
    <col min="7" max="7" width="17.44140625" bestFit="1" customWidth="1"/>
    <col min="8" max="8" width="12.33203125" bestFit="1" customWidth="1"/>
    <col min="9" max="9" width="13.33203125" bestFit="1" customWidth="1"/>
    <col min="10" max="10" width="6.5546875" bestFit="1" customWidth="1"/>
    <col min="11" max="11" width="12" bestFit="1" customWidth="1"/>
    <col min="12" max="12" width="21.5546875" bestFit="1" customWidth="1"/>
    <col min="13" max="13" width="15.5546875" bestFit="1" customWidth="1"/>
    <col min="14" max="14" width="24.5546875" bestFit="1" customWidth="1"/>
    <col min="15" max="15" width="24.88671875" bestFit="1" customWidth="1"/>
    <col min="16" max="16" width="13.88671875" bestFit="1" customWidth="1"/>
    <col min="17" max="17" width="14.109375" bestFit="1" customWidth="1"/>
    <col min="18" max="18" width="22.33203125" bestFit="1" customWidth="1"/>
    <col min="19" max="19" width="22.6640625" bestFit="1" customWidth="1"/>
    <col min="20" max="20" width="17.44140625" bestFit="1" customWidth="1"/>
    <col min="21" max="21" width="48" bestFit="1" customWidth="1"/>
    <col min="22" max="22" width="7.109375" bestFit="1" customWidth="1"/>
    <col min="23" max="23" width="7.6640625" bestFit="1" customWidth="1"/>
    <col min="24" max="24" width="81.109375" bestFit="1" customWidth="1"/>
    <col min="25" max="25" width="19.6640625" bestFit="1" customWidth="1"/>
    <col min="26" max="26" width="21.109375" bestFit="1" customWidth="1"/>
    <col min="27" max="27" width="15.5546875" bestFit="1" customWidth="1"/>
    <col min="28" max="28" width="9.33203125" bestFit="1" customWidth="1"/>
    <col min="29" max="29" width="11.88671875" bestFit="1" customWidth="1"/>
    <col min="30" max="30" width="13" bestFit="1" customWidth="1"/>
    <col min="31" max="31" width="15.5546875" bestFit="1" customWidth="1"/>
    <col min="32" max="32" width="13" bestFit="1" customWidth="1"/>
    <col min="33" max="33" width="9.33203125" bestFit="1" customWidth="1"/>
    <col min="34" max="34" width="10.109375" bestFit="1" customWidth="1"/>
    <col min="35" max="35" width="14.6640625" bestFit="1" customWidth="1"/>
    <col min="36" max="36" width="15.6640625" bestFit="1" customWidth="1"/>
    <col min="37" max="37" width="27.44140625" bestFit="1" customWidth="1"/>
    <col min="38" max="38" width="8.6640625" bestFit="1" customWidth="1"/>
    <col min="39" max="39" width="24.6640625" bestFit="1" customWidth="1"/>
    <col min="40" max="40" width="29.109375" bestFit="1" customWidth="1"/>
    <col min="41" max="41" width="32.109375" bestFit="1" customWidth="1"/>
    <col min="42" max="42" width="14.109375" bestFit="1" customWidth="1"/>
    <col min="43" max="43" width="48.88671875" bestFit="1" customWidth="1"/>
    <col min="44" max="44" width="81.109375" bestFit="1" customWidth="1"/>
    <col min="45" max="45" width="11" bestFit="1" customWidth="1"/>
    <col min="46" max="46" width="15.109375" bestFit="1" customWidth="1"/>
    <col min="47" max="47" width="14.44140625" bestFit="1" customWidth="1"/>
    <col min="48" max="48" width="11" bestFit="1" customWidth="1"/>
  </cols>
  <sheetData>
    <row r="1" spans="1:47" x14ac:dyDescent="0.3">
      <c r="A1" t="s">
        <v>0</v>
      </c>
      <c r="B1" t="s">
        <v>33</v>
      </c>
      <c r="C1" t="s">
        <v>34</v>
      </c>
      <c r="D1" t="s">
        <v>35</v>
      </c>
      <c r="E1" t="s">
        <v>36</v>
      </c>
      <c r="F1" t="s">
        <v>37</v>
      </c>
      <c r="G1" t="s">
        <v>38</v>
      </c>
      <c r="H1" t="s">
        <v>39</v>
      </c>
      <c r="I1" t="s">
        <v>40</v>
      </c>
      <c r="J1" t="s">
        <v>41</v>
      </c>
      <c r="K1" t="s">
        <v>42</v>
      </c>
      <c r="L1" t="s">
        <v>44</v>
      </c>
      <c r="M1" t="s">
        <v>2</v>
      </c>
      <c r="N1" t="s">
        <v>3</v>
      </c>
      <c r="O1" t="s">
        <v>4</v>
      </c>
      <c r="P1" t="s">
        <v>5</v>
      </c>
      <c r="Q1" t="s">
        <v>6</v>
      </c>
      <c r="R1" t="s">
        <v>7</v>
      </c>
      <c r="S1" t="s">
        <v>8</v>
      </c>
      <c r="T1" t="s">
        <v>9</v>
      </c>
      <c r="U1" t="s">
        <v>10</v>
      </c>
      <c r="V1" t="s">
        <v>11</v>
      </c>
      <c r="W1" t="s">
        <v>12</v>
      </c>
      <c r="X1" t="s">
        <v>13</v>
      </c>
      <c r="Y1" t="s">
        <v>14</v>
      </c>
      <c r="Z1" t="s">
        <v>15</v>
      </c>
      <c r="AA1" t="s">
        <v>16</v>
      </c>
      <c r="AB1" t="s">
        <v>17</v>
      </c>
      <c r="AC1" t="s">
        <v>18</v>
      </c>
      <c r="AD1" t="s">
        <v>19</v>
      </c>
      <c r="AE1" t="s">
        <v>20</v>
      </c>
      <c r="AF1" t="s">
        <v>21</v>
      </c>
      <c r="AG1" t="s">
        <v>22</v>
      </c>
      <c r="AH1" t="s">
        <v>23</v>
      </c>
      <c r="AI1" t="s">
        <v>24</v>
      </c>
      <c r="AJ1" t="s">
        <v>25</v>
      </c>
      <c r="AK1" t="s">
        <v>26</v>
      </c>
      <c r="AL1" t="s">
        <v>27</v>
      </c>
      <c r="AM1" t="s">
        <v>28</v>
      </c>
      <c r="AN1" t="s">
        <v>29</v>
      </c>
      <c r="AO1" t="s">
        <v>30</v>
      </c>
      <c r="AP1" t="s">
        <v>31</v>
      </c>
      <c r="AQ1" t="s">
        <v>32</v>
      </c>
      <c r="AR1" t="s">
        <v>45</v>
      </c>
      <c r="AS1" t="s">
        <v>46</v>
      </c>
      <c r="AT1" t="s">
        <v>1</v>
      </c>
      <c r="AU1" t="s">
        <v>43</v>
      </c>
    </row>
    <row r="2" spans="1:47" x14ac:dyDescent="0.3">
      <c r="A2" t="s">
        <v>47</v>
      </c>
      <c r="B2" s="1">
        <v>45660</v>
      </c>
      <c r="C2">
        <v>2025</v>
      </c>
      <c r="D2" t="s">
        <v>64</v>
      </c>
      <c r="E2">
        <v>1</v>
      </c>
      <c r="F2">
        <v>1</v>
      </c>
      <c r="G2">
        <v>1</v>
      </c>
      <c r="H2" t="s">
        <v>65</v>
      </c>
      <c r="I2">
        <v>3</v>
      </c>
      <c r="J2">
        <v>3</v>
      </c>
      <c r="K2">
        <v>0.89583333333333337</v>
      </c>
      <c r="L2" s="2">
        <v>45660.895833333336</v>
      </c>
      <c r="M2" s="3">
        <v>0.89583333333333337</v>
      </c>
      <c r="N2" s="1">
        <v>45661</v>
      </c>
      <c r="O2" s="3">
        <v>0.2673611111111111</v>
      </c>
      <c r="P2" s="1">
        <v>45661</v>
      </c>
      <c r="Q2" s="3">
        <v>0.45774305555555556</v>
      </c>
      <c r="R2" t="s">
        <v>48</v>
      </c>
      <c r="S2" t="s">
        <v>49</v>
      </c>
      <c r="T2" t="s">
        <v>49</v>
      </c>
      <c r="U2" t="s">
        <v>50</v>
      </c>
      <c r="V2" t="s">
        <v>51</v>
      </c>
      <c r="W2">
        <v>9</v>
      </c>
      <c r="X2" t="s">
        <v>52</v>
      </c>
      <c r="AA2" t="s">
        <v>53</v>
      </c>
      <c r="AB2" t="s">
        <v>54</v>
      </c>
      <c r="AC2" t="s">
        <v>55</v>
      </c>
      <c r="AD2" t="s">
        <v>56</v>
      </c>
      <c r="AI2" t="s">
        <v>57</v>
      </c>
      <c r="AJ2" t="s">
        <v>58</v>
      </c>
      <c r="AK2" t="s">
        <v>59</v>
      </c>
      <c r="AL2" t="s">
        <v>60</v>
      </c>
      <c r="AM2" t="s">
        <v>61</v>
      </c>
      <c r="AN2" t="s">
        <v>62</v>
      </c>
      <c r="AO2" t="s">
        <v>63</v>
      </c>
      <c r="AP2">
        <v>9</v>
      </c>
      <c r="AQ2" t="s">
        <v>48</v>
      </c>
      <c r="AR2" t="s">
        <v>52</v>
      </c>
      <c r="AS2" t="s">
        <v>66</v>
      </c>
      <c r="AT2" s="1">
        <v>45660</v>
      </c>
      <c r="AU2" s="3">
        <v>0.875</v>
      </c>
    </row>
    <row r="3" spans="1:47" x14ac:dyDescent="0.3">
      <c r="A3" t="s">
        <v>67</v>
      </c>
      <c r="B3" s="1">
        <v>45664</v>
      </c>
      <c r="C3">
        <v>2025</v>
      </c>
      <c r="D3" t="s">
        <v>64</v>
      </c>
      <c r="E3">
        <v>1</v>
      </c>
      <c r="F3">
        <v>2</v>
      </c>
      <c r="G3">
        <v>2</v>
      </c>
      <c r="H3" t="s">
        <v>79</v>
      </c>
      <c r="I3">
        <v>7</v>
      </c>
      <c r="J3">
        <v>7</v>
      </c>
      <c r="K3">
        <v>0.58333333333333337</v>
      </c>
      <c r="L3" s="2">
        <v>45664.583333333336</v>
      </c>
      <c r="M3" s="3">
        <v>0.58333333333333337</v>
      </c>
      <c r="N3" s="1"/>
      <c r="O3" s="3"/>
      <c r="P3" s="1">
        <v>45667</v>
      </c>
      <c r="Q3" s="3">
        <v>0.59781249999999997</v>
      </c>
      <c r="R3" t="s">
        <v>68</v>
      </c>
      <c r="S3" t="s">
        <v>69</v>
      </c>
      <c r="T3" t="s">
        <v>49</v>
      </c>
      <c r="U3" t="s">
        <v>70</v>
      </c>
      <c r="V3" t="s">
        <v>71</v>
      </c>
      <c r="W3">
        <v>7</v>
      </c>
      <c r="X3" t="s">
        <v>72</v>
      </c>
      <c r="AI3" t="s">
        <v>73</v>
      </c>
      <c r="AJ3" t="s">
        <v>58</v>
      </c>
      <c r="AK3" t="s">
        <v>74</v>
      </c>
      <c r="AL3" t="s">
        <v>75</v>
      </c>
      <c r="AM3" t="s">
        <v>76</v>
      </c>
      <c r="AN3" t="s">
        <v>62</v>
      </c>
      <c r="AO3" t="s">
        <v>77</v>
      </c>
      <c r="AP3">
        <v>9</v>
      </c>
      <c r="AQ3" t="s">
        <v>78</v>
      </c>
      <c r="AR3" t="s">
        <v>72</v>
      </c>
      <c r="AS3" t="s">
        <v>66</v>
      </c>
      <c r="AT3" s="1">
        <v>45664</v>
      </c>
      <c r="AU3" s="3">
        <v>0.58333333333333337</v>
      </c>
    </row>
    <row r="4" spans="1:47" x14ac:dyDescent="0.3">
      <c r="A4" t="s">
        <v>80</v>
      </c>
      <c r="B4" s="1">
        <v>45663</v>
      </c>
      <c r="C4">
        <v>2025</v>
      </c>
      <c r="D4" t="s">
        <v>64</v>
      </c>
      <c r="E4">
        <v>1</v>
      </c>
      <c r="F4">
        <v>2</v>
      </c>
      <c r="G4">
        <v>2</v>
      </c>
      <c r="H4" t="s">
        <v>91</v>
      </c>
      <c r="I4">
        <v>6</v>
      </c>
      <c r="J4">
        <v>6</v>
      </c>
      <c r="K4">
        <v>0.64583333333333337</v>
      </c>
      <c r="L4" s="2">
        <v>45663.645833333336</v>
      </c>
      <c r="M4" s="3">
        <v>0.64583333333333337</v>
      </c>
      <c r="N4" s="1">
        <v>45667</v>
      </c>
      <c r="O4" s="3"/>
      <c r="P4" s="1">
        <v>45667</v>
      </c>
      <c r="Q4" s="3">
        <v>0.82629629629629631</v>
      </c>
      <c r="R4" t="s">
        <v>81</v>
      </c>
      <c r="S4" t="s">
        <v>49</v>
      </c>
      <c r="T4" t="s">
        <v>49</v>
      </c>
      <c r="U4" t="s">
        <v>82</v>
      </c>
      <c r="W4">
        <v>7</v>
      </c>
      <c r="X4" t="s">
        <v>83</v>
      </c>
      <c r="AA4" t="s">
        <v>84</v>
      </c>
      <c r="AB4" t="s">
        <v>54</v>
      </c>
      <c r="AC4" t="s">
        <v>85</v>
      </c>
      <c r="AD4" t="s">
        <v>56</v>
      </c>
      <c r="AI4" t="s">
        <v>86</v>
      </c>
      <c r="AJ4" t="s">
        <v>58</v>
      </c>
      <c r="AK4" t="s">
        <v>87</v>
      </c>
      <c r="AL4" t="s">
        <v>88</v>
      </c>
      <c r="AM4" t="s">
        <v>89</v>
      </c>
      <c r="AN4" t="s">
        <v>62</v>
      </c>
      <c r="AO4" t="s">
        <v>90</v>
      </c>
      <c r="AP4">
        <v>9</v>
      </c>
      <c r="AQ4" t="s">
        <v>81</v>
      </c>
      <c r="AR4" t="s">
        <v>83</v>
      </c>
      <c r="AS4" t="s">
        <v>66</v>
      </c>
      <c r="AT4" s="1">
        <v>45663</v>
      </c>
      <c r="AU4" s="3">
        <v>0.625</v>
      </c>
    </row>
    <row r="5" spans="1:47" x14ac:dyDescent="0.3">
      <c r="A5" t="s">
        <v>92</v>
      </c>
      <c r="B5" s="1">
        <v>45670</v>
      </c>
      <c r="C5">
        <v>2025</v>
      </c>
      <c r="D5" t="s">
        <v>64</v>
      </c>
      <c r="E5">
        <v>1</v>
      </c>
      <c r="F5">
        <v>3</v>
      </c>
      <c r="G5">
        <v>3</v>
      </c>
      <c r="H5" t="s">
        <v>91</v>
      </c>
      <c r="I5">
        <v>13</v>
      </c>
      <c r="J5">
        <v>13</v>
      </c>
      <c r="K5">
        <v>0.50347222222222221</v>
      </c>
      <c r="L5" s="2">
        <v>45670.503472222219</v>
      </c>
      <c r="M5" s="3">
        <v>0.50347222222222221</v>
      </c>
      <c r="N5" s="1"/>
      <c r="O5" s="3"/>
      <c r="P5" s="1">
        <v>45670</v>
      </c>
      <c r="Q5" s="3">
        <v>0.50537037037037036</v>
      </c>
      <c r="R5" t="s">
        <v>93</v>
      </c>
      <c r="S5" t="s">
        <v>94</v>
      </c>
      <c r="T5" t="s">
        <v>95</v>
      </c>
      <c r="U5" t="s">
        <v>96</v>
      </c>
      <c r="V5" t="s">
        <v>97</v>
      </c>
      <c r="W5">
        <v>8</v>
      </c>
      <c r="X5" t="s">
        <v>98</v>
      </c>
      <c r="AI5" t="s">
        <v>57</v>
      </c>
      <c r="AJ5" t="s">
        <v>58</v>
      </c>
      <c r="AK5" t="s">
        <v>99</v>
      </c>
      <c r="AL5" t="s">
        <v>100</v>
      </c>
      <c r="AM5" t="s">
        <v>101</v>
      </c>
      <c r="AN5" t="s">
        <v>102</v>
      </c>
      <c r="AO5" t="s">
        <v>103</v>
      </c>
      <c r="AP5">
        <v>9</v>
      </c>
      <c r="AQ5" t="s">
        <v>104</v>
      </c>
      <c r="AR5" t="s">
        <v>98</v>
      </c>
      <c r="AS5" t="s">
        <v>66</v>
      </c>
      <c r="AT5" s="1">
        <v>45670</v>
      </c>
      <c r="AU5" s="3">
        <v>0.5</v>
      </c>
    </row>
    <row r="6" spans="1:47" x14ac:dyDescent="0.3">
      <c r="A6" t="s">
        <v>105</v>
      </c>
      <c r="B6" s="1">
        <v>45671</v>
      </c>
      <c r="C6">
        <v>2025</v>
      </c>
      <c r="D6" t="s">
        <v>64</v>
      </c>
      <c r="E6">
        <v>1</v>
      </c>
      <c r="F6">
        <v>3</v>
      </c>
      <c r="G6">
        <v>3</v>
      </c>
      <c r="H6" t="s">
        <v>79</v>
      </c>
      <c r="I6">
        <v>14</v>
      </c>
      <c r="J6">
        <v>14</v>
      </c>
      <c r="K6">
        <v>0.64067129629629627</v>
      </c>
      <c r="L6" s="2">
        <v>45671.640277777777</v>
      </c>
      <c r="M6" s="3">
        <v>0.64067129629629627</v>
      </c>
      <c r="N6" s="1"/>
      <c r="O6" s="3"/>
      <c r="P6" s="1">
        <v>45671</v>
      </c>
      <c r="Q6" s="3">
        <v>0.64067129629629627</v>
      </c>
      <c r="R6" t="s">
        <v>95</v>
      </c>
      <c r="S6" t="s">
        <v>106</v>
      </c>
      <c r="T6" t="s">
        <v>107</v>
      </c>
      <c r="U6" t="s">
        <v>108</v>
      </c>
      <c r="V6" t="s">
        <v>109</v>
      </c>
      <c r="W6">
        <v>9</v>
      </c>
      <c r="X6" t="s">
        <v>110</v>
      </c>
      <c r="AA6" t="s">
        <v>111</v>
      </c>
      <c r="AB6" t="s">
        <v>112</v>
      </c>
      <c r="AC6" t="s">
        <v>113</v>
      </c>
      <c r="AD6" t="s">
        <v>56</v>
      </c>
      <c r="AI6" t="s">
        <v>114</v>
      </c>
      <c r="AJ6" t="s">
        <v>58</v>
      </c>
      <c r="AK6" t="s">
        <v>59</v>
      </c>
      <c r="AL6" t="s">
        <v>115</v>
      </c>
      <c r="AM6" t="s">
        <v>116</v>
      </c>
      <c r="AN6" t="s">
        <v>102</v>
      </c>
      <c r="AO6" t="s">
        <v>103</v>
      </c>
      <c r="AP6">
        <v>9</v>
      </c>
      <c r="AQ6" t="s">
        <v>117</v>
      </c>
      <c r="AR6" t="s">
        <v>110</v>
      </c>
      <c r="AS6" t="s">
        <v>66</v>
      </c>
      <c r="AT6" s="1">
        <v>45671</v>
      </c>
      <c r="AU6" s="3">
        <v>0.625</v>
      </c>
    </row>
    <row r="7" spans="1:47" x14ac:dyDescent="0.3">
      <c r="A7" t="s">
        <v>118</v>
      </c>
      <c r="B7" s="1">
        <v>45672</v>
      </c>
      <c r="C7">
        <v>2025</v>
      </c>
      <c r="D7" t="s">
        <v>64</v>
      </c>
      <c r="E7">
        <v>1</v>
      </c>
      <c r="F7">
        <v>3</v>
      </c>
      <c r="G7">
        <v>3</v>
      </c>
      <c r="H7" t="s">
        <v>124</v>
      </c>
      <c r="I7">
        <v>15</v>
      </c>
      <c r="J7">
        <v>15</v>
      </c>
      <c r="K7">
        <v>0.53988425925925931</v>
      </c>
      <c r="L7" s="2">
        <v>45672.539583333331</v>
      </c>
      <c r="M7" s="3">
        <v>0.53988425925925931</v>
      </c>
      <c r="N7" s="1"/>
      <c r="O7" s="3"/>
      <c r="P7" s="1">
        <v>45672</v>
      </c>
      <c r="Q7" s="3">
        <v>0.53988425925925931</v>
      </c>
      <c r="R7" t="s">
        <v>48</v>
      </c>
      <c r="S7" t="s">
        <v>49</v>
      </c>
      <c r="T7" t="s">
        <v>49</v>
      </c>
      <c r="U7" t="s">
        <v>119</v>
      </c>
      <c r="V7" t="s">
        <v>97</v>
      </c>
      <c r="W7">
        <v>8</v>
      </c>
      <c r="X7" t="s">
        <v>120</v>
      </c>
      <c r="AA7" t="s">
        <v>121</v>
      </c>
      <c r="AB7" t="s">
        <v>54</v>
      </c>
      <c r="AC7" t="s">
        <v>122</v>
      </c>
      <c r="AD7" t="s">
        <v>56</v>
      </c>
      <c r="AI7" t="s">
        <v>114</v>
      </c>
      <c r="AJ7" t="s">
        <v>58</v>
      </c>
      <c r="AK7" t="s">
        <v>123</v>
      </c>
      <c r="AL7" t="s">
        <v>100</v>
      </c>
      <c r="AM7" t="s">
        <v>89</v>
      </c>
      <c r="AN7" t="s">
        <v>62</v>
      </c>
      <c r="AO7" t="s">
        <v>63</v>
      </c>
      <c r="AP7">
        <v>9</v>
      </c>
      <c r="AQ7" t="s">
        <v>48</v>
      </c>
      <c r="AR7" t="s">
        <v>120</v>
      </c>
      <c r="AS7" t="s">
        <v>66</v>
      </c>
      <c r="AT7" s="1">
        <v>45672</v>
      </c>
      <c r="AU7" s="3">
        <v>0.5</v>
      </c>
    </row>
    <row r="8" spans="1:47" x14ac:dyDescent="0.3">
      <c r="A8" t="s">
        <v>125</v>
      </c>
      <c r="B8" s="1">
        <v>45673</v>
      </c>
      <c r="C8">
        <v>2025</v>
      </c>
      <c r="D8" t="s">
        <v>64</v>
      </c>
      <c r="E8">
        <v>1</v>
      </c>
      <c r="F8">
        <v>3</v>
      </c>
      <c r="G8">
        <v>3</v>
      </c>
      <c r="H8" t="s">
        <v>131</v>
      </c>
      <c r="I8">
        <v>16</v>
      </c>
      <c r="J8">
        <v>16</v>
      </c>
      <c r="K8">
        <v>0.5</v>
      </c>
      <c r="L8" s="2">
        <v>45673.5</v>
      </c>
      <c r="M8" s="3">
        <v>0.5</v>
      </c>
      <c r="N8" s="1">
        <v>45673</v>
      </c>
      <c r="O8" s="3">
        <v>0.75</v>
      </c>
      <c r="P8" s="1">
        <v>45673</v>
      </c>
      <c r="Q8" s="3">
        <v>0.81587962962962968</v>
      </c>
      <c r="R8" t="s">
        <v>126</v>
      </c>
      <c r="S8" t="s">
        <v>49</v>
      </c>
      <c r="T8" t="s">
        <v>49</v>
      </c>
      <c r="U8" t="s">
        <v>127</v>
      </c>
      <c r="V8" t="s">
        <v>71</v>
      </c>
      <c r="W8">
        <v>7</v>
      </c>
      <c r="X8" t="s">
        <v>128</v>
      </c>
      <c r="AI8" t="s">
        <v>86</v>
      </c>
      <c r="AJ8" t="s">
        <v>58</v>
      </c>
      <c r="AK8" t="s">
        <v>129</v>
      </c>
      <c r="AL8" t="s">
        <v>88</v>
      </c>
      <c r="AM8" t="s">
        <v>89</v>
      </c>
      <c r="AN8" t="s">
        <v>62</v>
      </c>
      <c r="AO8" t="s">
        <v>130</v>
      </c>
      <c r="AP8">
        <v>9</v>
      </c>
      <c r="AQ8" t="s">
        <v>126</v>
      </c>
      <c r="AR8" t="s">
        <v>128</v>
      </c>
      <c r="AS8" t="s">
        <v>66</v>
      </c>
      <c r="AT8" s="1">
        <v>45673</v>
      </c>
      <c r="AU8" s="3">
        <v>0.5</v>
      </c>
    </row>
    <row r="9" spans="1:47" x14ac:dyDescent="0.3">
      <c r="A9" t="s">
        <v>132</v>
      </c>
      <c r="B9" s="1">
        <v>45673</v>
      </c>
      <c r="C9">
        <v>2025</v>
      </c>
      <c r="D9" t="s">
        <v>64</v>
      </c>
      <c r="E9">
        <v>1</v>
      </c>
      <c r="F9">
        <v>3</v>
      </c>
      <c r="G9">
        <v>3</v>
      </c>
      <c r="H9" t="s">
        <v>131</v>
      </c>
      <c r="I9">
        <v>16</v>
      </c>
      <c r="J9">
        <v>16</v>
      </c>
      <c r="K9">
        <v>0.87708333333333333</v>
      </c>
      <c r="L9" s="2">
        <v>45673.877083333333</v>
      </c>
      <c r="M9" s="3">
        <v>0.87708333333333333</v>
      </c>
      <c r="N9" s="1">
        <v>45673</v>
      </c>
      <c r="O9" s="3">
        <v>0.88611111111111107</v>
      </c>
      <c r="P9" s="1">
        <v>45674</v>
      </c>
      <c r="Q9" s="3">
        <v>0.51179398148148147</v>
      </c>
      <c r="R9" t="s">
        <v>95</v>
      </c>
      <c r="S9" t="s">
        <v>49</v>
      </c>
      <c r="T9" t="s">
        <v>49</v>
      </c>
      <c r="U9" t="s">
        <v>133</v>
      </c>
      <c r="V9" t="s">
        <v>134</v>
      </c>
      <c r="W9">
        <v>9</v>
      </c>
      <c r="X9" t="s">
        <v>135</v>
      </c>
      <c r="AB9" t="s">
        <v>136</v>
      </c>
      <c r="AC9" t="s">
        <v>137</v>
      </c>
      <c r="AI9" t="s">
        <v>86</v>
      </c>
      <c r="AJ9" t="s">
        <v>58</v>
      </c>
      <c r="AK9" t="s">
        <v>138</v>
      </c>
      <c r="AL9" t="s">
        <v>139</v>
      </c>
      <c r="AM9" t="s">
        <v>140</v>
      </c>
      <c r="AN9" t="s">
        <v>102</v>
      </c>
      <c r="AO9" t="s">
        <v>103</v>
      </c>
      <c r="AP9">
        <v>9</v>
      </c>
      <c r="AQ9" t="s">
        <v>95</v>
      </c>
      <c r="AR9" t="s">
        <v>135</v>
      </c>
      <c r="AS9" t="s">
        <v>66</v>
      </c>
      <c r="AT9" s="1">
        <v>45673</v>
      </c>
      <c r="AU9" s="3">
        <v>0.875</v>
      </c>
    </row>
    <row r="10" spans="1:47" x14ac:dyDescent="0.3">
      <c r="A10" t="s">
        <v>141</v>
      </c>
      <c r="B10" s="1">
        <v>45678</v>
      </c>
      <c r="C10">
        <v>2025</v>
      </c>
      <c r="D10" t="s">
        <v>64</v>
      </c>
      <c r="E10">
        <v>1</v>
      </c>
      <c r="F10">
        <v>4</v>
      </c>
      <c r="G10">
        <v>4</v>
      </c>
      <c r="H10" t="s">
        <v>79</v>
      </c>
      <c r="I10">
        <v>21</v>
      </c>
      <c r="J10">
        <v>21</v>
      </c>
      <c r="K10">
        <v>0.79166666666666663</v>
      </c>
      <c r="L10" s="2">
        <v>45678.791666666664</v>
      </c>
      <c r="M10" s="3">
        <v>0.79166666666666663</v>
      </c>
      <c r="N10" s="1">
        <v>45679</v>
      </c>
      <c r="O10" s="3">
        <v>0.13125000000000001</v>
      </c>
      <c r="P10" s="1">
        <v>45679</v>
      </c>
      <c r="Q10" s="3">
        <v>0.13255787037037037</v>
      </c>
      <c r="R10" t="s">
        <v>48</v>
      </c>
      <c r="S10" t="s">
        <v>49</v>
      </c>
      <c r="T10" t="s">
        <v>49</v>
      </c>
      <c r="U10" t="s">
        <v>142</v>
      </c>
      <c r="V10" t="s">
        <v>134</v>
      </c>
      <c r="W10">
        <v>9</v>
      </c>
      <c r="X10" t="s">
        <v>143</v>
      </c>
      <c r="AA10" t="s">
        <v>144</v>
      </c>
      <c r="AB10" t="s">
        <v>54</v>
      </c>
      <c r="AC10" t="s">
        <v>145</v>
      </c>
      <c r="AD10" t="s">
        <v>56</v>
      </c>
      <c r="AI10" t="s">
        <v>146</v>
      </c>
      <c r="AJ10" t="s">
        <v>58</v>
      </c>
      <c r="AK10" t="s">
        <v>147</v>
      </c>
      <c r="AL10" t="s">
        <v>60</v>
      </c>
      <c r="AM10" t="s">
        <v>116</v>
      </c>
      <c r="AN10" t="s">
        <v>62</v>
      </c>
      <c r="AO10" t="s">
        <v>63</v>
      </c>
      <c r="AP10">
        <v>9</v>
      </c>
      <c r="AQ10" t="s">
        <v>48</v>
      </c>
      <c r="AR10" t="s">
        <v>143</v>
      </c>
      <c r="AS10" t="s">
        <v>66</v>
      </c>
      <c r="AT10" s="1">
        <v>45678</v>
      </c>
      <c r="AU10" s="3">
        <v>0.79166666666666663</v>
      </c>
    </row>
    <row r="11" spans="1:47" x14ac:dyDescent="0.3">
      <c r="A11" t="s">
        <v>148</v>
      </c>
      <c r="B11" s="1">
        <v>45679</v>
      </c>
      <c r="C11">
        <v>2025</v>
      </c>
      <c r="D11" t="s">
        <v>64</v>
      </c>
      <c r="E11">
        <v>1</v>
      </c>
      <c r="F11">
        <v>4</v>
      </c>
      <c r="G11">
        <v>4</v>
      </c>
      <c r="H11" t="s">
        <v>124</v>
      </c>
      <c r="I11">
        <v>22</v>
      </c>
      <c r="J11">
        <v>22</v>
      </c>
      <c r="K11">
        <v>0.33333333333333331</v>
      </c>
      <c r="L11" s="2">
        <v>45679.333333333336</v>
      </c>
      <c r="M11" s="3">
        <v>0.33333333333333331</v>
      </c>
      <c r="N11" s="1">
        <v>45679</v>
      </c>
      <c r="O11" s="3">
        <v>0.80069444444444449</v>
      </c>
      <c r="P11" s="1">
        <v>45679</v>
      </c>
      <c r="Q11" s="3">
        <v>0.80203703703703699</v>
      </c>
      <c r="R11" t="s">
        <v>48</v>
      </c>
      <c r="S11" t="s">
        <v>49</v>
      </c>
      <c r="T11" t="s">
        <v>49</v>
      </c>
      <c r="U11" t="s">
        <v>149</v>
      </c>
      <c r="V11" t="s">
        <v>150</v>
      </c>
      <c r="W11">
        <v>5</v>
      </c>
      <c r="X11" t="s">
        <v>151</v>
      </c>
      <c r="AA11" t="s">
        <v>152</v>
      </c>
      <c r="AB11" t="s">
        <v>153</v>
      </c>
      <c r="AC11" t="s">
        <v>154</v>
      </c>
      <c r="AD11" t="s">
        <v>56</v>
      </c>
      <c r="AI11" t="s">
        <v>114</v>
      </c>
      <c r="AJ11" t="s">
        <v>58</v>
      </c>
      <c r="AK11" t="s">
        <v>147</v>
      </c>
      <c r="AL11" t="s">
        <v>60</v>
      </c>
      <c r="AM11" t="s">
        <v>155</v>
      </c>
      <c r="AN11" t="s">
        <v>62</v>
      </c>
      <c r="AO11" t="s">
        <v>63</v>
      </c>
      <c r="AP11">
        <v>9</v>
      </c>
      <c r="AQ11" t="s">
        <v>48</v>
      </c>
      <c r="AR11" t="s">
        <v>151</v>
      </c>
      <c r="AS11" t="s">
        <v>66</v>
      </c>
      <c r="AT11" s="1">
        <v>45679</v>
      </c>
      <c r="AU11" s="3">
        <v>0.33333333333333331</v>
      </c>
    </row>
    <row r="12" spans="1:47" x14ac:dyDescent="0.3">
      <c r="A12" t="s">
        <v>156</v>
      </c>
      <c r="B12" s="1">
        <v>45680</v>
      </c>
      <c r="C12">
        <v>2025</v>
      </c>
      <c r="D12" t="s">
        <v>64</v>
      </c>
      <c r="E12">
        <v>1</v>
      </c>
      <c r="F12">
        <v>4</v>
      </c>
      <c r="G12">
        <v>4</v>
      </c>
      <c r="H12" t="s">
        <v>131</v>
      </c>
      <c r="I12">
        <v>23</v>
      </c>
      <c r="J12">
        <v>23</v>
      </c>
      <c r="K12">
        <v>0.625</v>
      </c>
      <c r="L12" s="2">
        <v>45680.625</v>
      </c>
      <c r="M12" s="3">
        <v>0.625</v>
      </c>
      <c r="N12" s="1"/>
      <c r="O12" s="3"/>
      <c r="P12" s="1">
        <v>45680</v>
      </c>
      <c r="Q12" s="3">
        <v>0.66545138888888888</v>
      </c>
      <c r="R12" t="s">
        <v>157</v>
      </c>
      <c r="S12" t="s">
        <v>69</v>
      </c>
      <c r="T12" t="s">
        <v>49</v>
      </c>
      <c r="U12" t="s">
        <v>158</v>
      </c>
      <c r="V12" t="s">
        <v>97</v>
      </c>
      <c r="W12">
        <v>8</v>
      </c>
      <c r="X12" t="s">
        <v>159</v>
      </c>
      <c r="AI12" t="s">
        <v>160</v>
      </c>
      <c r="AJ12" t="s">
        <v>58</v>
      </c>
      <c r="AK12" t="s">
        <v>101</v>
      </c>
      <c r="AL12" t="s">
        <v>161</v>
      </c>
      <c r="AM12" t="s">
        <v>76</v>
      </c>
      <c r="AN12" t="s">
        <v>162</v>
      </c>
      <c r="AP12">
        <v>9</v>
      </c>
      <c r="AQ12" t="s">
        <v>163</v>
      </c>
      <c r="AR12" t="s">
        <v>159</v>
      </c>
      <c r="AS12" t="s">
        <v>66</v>
      </c>
      <c r="AT12" s="1">
        <v>45680</v>
      </c>
      <c r="AU12" s="3">
        <v>0.625</v>
      </c>
    </row>
    <row r="13" spans="1:47" x14ac:dyDescent="0.3">
      <c r="A13" t="s">
        <v>164</v>
      </c>
      <c r="B13" s="1">
        <v>45682</v>
      </c>
      <c r="C13">
        <v>2025</v>
      </c>
      <c r="D13" t="s">
        <v>64</v>
      </c>
      <c r="E13">
        <v>1</v>
      </c>
      <c r="F13">
        <v>4</v>
      </c>
      <c r="G13">
        <v>4</v>
      </c>
      <c r="H13" t="s">
        <v>170</v>
      </c>
      <c r="I13">
        <v>25</v>
      </c>
      <c r="J13">
        <v>25</v>
      </c>
      <c r="K13">
        <v>0.45833333333333331</v>
      </c>
      <c r="L13" s="2">
        <v>45682.458333333336</v>
      </c>
      <c r="M13" s="3">
        <v>0.45833333333333331</v>
      </c>
      <c r="N13" s="1">
        <v>45682</v>
      </c>
      <c r="O13" s="3">
        <v>0.58333333333333337</v>
      </c>
      <c r="P13" s="1">
        <v>45682</v>
      </c>
      <c r="Q13" s="3">
        <v>0.58054398148148145</v>
      </c>
      <c r="R13" t="s">
        <v>126</v>
      </c>
      <c r="S13" t="s">
        <v>49</v>
      </c>
      <c r="T13" t="s">
        <v>49</v>
      </c>
      <c r="U13" t="s">
        <v>165</v>
      </c>
      <c r="V13" t="s">
        <v>166</v>
      </c>
      <c r="W13">
        <v>5</v>
      </c>
      <c r="X13" t="s">
        <v>167</v>
      </c>
      <c r="AI13" t="s">
        <v>168</v>
      </c>
      <c r="AJ13" t="s">
        <v>58</v>
      </c>
      <c r="AK13" t="s">
        <v>169</v>
      </c>
      <c r="AL13" t="s">
        <v>139</v>
      </c>
      <c r="AM13" t="s">
        <v>89</v>
      </c>
      <c r="AN13" t="s">
        <v>102</v>
      </c>
      <c r="AO13" t="s">
        <v>130</v>
      </c>
      <c r="AP13">
        <v>9</v>
      </c>
      <c r="AQ13" t="s">
        <v>126</v>
      </c>
      <c r="AR13" t="s">
        <v>167</v>
      </c>
      <c r="AS13" t="s">
        <v>66</v>
      </c>
      <c r="AT13" s="1">
        <v>45682</v>
      </c>
      <c r="AU13" s="3">
        <v>0.45833333333333331</v>
      </c>
    </row>
    <row r="14" spans="1:47" x14ac:dyDescent="0.3">
      <c r="A14" t="s">
        <v>171</v>
      </c>
      <c r="B14" s="1">
        <v>45682</v>
      </c>
      <c r="C14">
        <v>2025</v>
      </c>
      <c r="D14" t="s">
        <v>64</v>
      </c>
      <c r="E14">
        <v>1</v>
      </c>
      <c r="F14">
        <v>4</v>
      </c>
      <c r="G14">
        <v>4</v>
      </c>
      <c r="H14" t="s">
        <v>170</v>
      </c>
      <c r="I14">
        <v>25</v>
      </c>
      <c r="J14">
        <v>25</v>
      </c>
      <c r="K14">
        <v>0.76875000000000004</v>
      </c>
      <c r="L14" s="2">
        <v>45682.768750000003</v>
      </c>
      <c r="M14" s="3">
        <v>0.76875000000000004</v>
      </c>
      <c r="N14" s="1"/>
      <c r="O14" s="3"/>
      <c r="P14" s="1">
        <v>45683</v>
      </c>
      <c r="Q14" s="3">
        <v>0.44056712962962963</v>
      </c>
      <c r="R14" t="s">
        <v>81</v>
      </c>
      <c r="S14" t="s">
        <v>172</v>
      </c>
      <c r="T14" t="s">
        <v>49</v>
      </c>
      <c r="U14" t="s">
        <v>173</v>
      </c>
      <c r="V14" t="s">
        <v>97</v>
      </c>
      <c r="W14">
        <v>8</v>
      </c>
      <c r="X14" t="s">
        <v>174</v>
      </c>
      <c r="AA14" t="s">
        <v>175</v>
      </c>
      <c r="AB14" t="s">
        <v>54</v>
      </c>
      <c r="AC14" t="s">
        <v>176</v>
      </c>
      <c r="AD14" t="s">
        <v>56</v>
      </c>
      <c r="AI14" t="s">
        <v>168</v>
      </c>
      <c r="AJ14" t="s">
        <v>58</v>
      </c>
      <c r="AK14" t="s">
        <v>138</v>
      </c>
      <c r="AL14" t="s">
        <v>139</v>
      </c>
      <c r="AM14" t="s">
        <v>177</v>
      </c>
      <c r="AN14" t="s">
        <v>178</v>
      </c>
      <c r="AO14" t="s">
        <v>90</v>
      </c>
      <c r="AP14">
        <v>9</v>
      </c>
      <c r="AQ14" t="s">
        <v>179</v>
      </c>
      <c r="AR14" t="s">
        <v>174</v>
      </c>
      <c r="AS14" t="s">
        <v>66</v>
      </c>
      <c r="AT14" s="1">
        <v>45682</v>
      </c>
      <c r="AU14" s="3">
        <v>0.75</v>
      </c>
    </row>
    <row r="15" spans="1:47" x14ac:dyDescent="0.3">
      <c r="A15" t="s">
        <v>180</v>
      </c>
      <c r="B15" s="1">
        <v>45683</v>
      </c>
      <c r="C15">
        <v>2025</v>
      </c>
      <c r="D15" t="s">
        <v>64</v>
      </c>
      <c r="E15">
        <v>1</v>
      </c>
      <c r="F15">
        <v>5</v>
      </c>
      <c r="G15">
        <v>5</v>
      </c>
      <c r="H15" t="s">
        <v>188</v>
      </c>
      <c r="I15">
        <v>26</v>
      </c>
      <c r="J15">
        <v>26</v>
      </c>
      <c r="K15">
        <v>0.84027777777777779</v>
      </c>
      <c r="L15" s="2">
        <v>45683.840277777781</v>
      </c>
      <c r="M15" s="3">
        <v>0.84027777777777779</v>
      </c>
      <c r="N15" s="1">
        <v>45683</v>
      </c>
      <c r="O15" s="3">
        <v>0.84652777777777777</v>
      </c>
      <c r="P15" s="1">
        <v>45683</v>
      </c>
      <c r="Q15" s="3">
        <v>0.85009259259259262</v>
      </c>
      <c r="R15" t="s">
        <v>81</v>
      </c>
      <c r="S15" t="s">
        <v>172</v>
      </c>
      <c r="T15" t="s">
        <v>49</v>
      </c>
      <c r="U15" t="s">
        <v>181</v>
      </c>
      <c r="V15" t="s">
        <v>182</v>
      </c>
      <c r="W15">
        <v>9</v>
      </c>
      <c r="X15" t="s">
        <v>183</v>
      </c>
      <c r="AA15" t="s">
        <v>184</v>
      </c>
      <c r="AB15" t="s">
        <v>54</v>
      </c>
      <c r="AC15" t="s">
        <v>185</v>
      </c>
      <c r="AD15" t="s">
        <v>56</v>
      </c>
      <c r="AI15" t="s">
        <v>86</v>
      </c>
      <c r="AJ15" t="s">
        <v>58</v>
      </c>
      <c r="AK15" t="s">
        <v>186</v>
      </c>
      <c r="AL15" t="s">
        <v>88</v>
      </c>
      <c r="AM15" t="s">
        <v>187</v>
      </c>
      <c r="AN15" t="s">
        <v>102</v>
      </c>
      <c r="AO15" t="s">
        <v>90</v>
      </c>
      <c r="AP15">
        <v>9</v>
      </c>
      <c r="AQ15" t="s">
        <v>179</v>
      </c>
      <c r="AR15" t="s">
        <v>183</v>
      </c>
      <c r="AS15" t="s">
        <v>66</v>
      </c>
      <c r="AT15" s="1">
        <v>45683</v>
      </c>
      <c r="AU15" s="3">
        <v>0.83333333333333337</v>
      </c>
    </row>
    <row r="16" spans="1:47" x14ac:dyDescent="0.3">
      <c r="A16" t="s">
        <v>189</v>
      </c>
      <c r="B16" s="1">
        <v>45685</v>
      </c>
      <c r="C16">
        <v>2025</v>
      </c>
      <c r="D16" t="s">
        <v>64</v>
      </c>
      <c r="E16">
        <v>1</v>
      </c>
      <c r="F16">
        <v>5</v>
      </c>
      <c r="G16">
        <v>5</v>
      </c>
      <c r="H16" t="s">
        <v>79</v>
      </c>
      <c r="I16">
        <v>28</v>
      </c>
      <c r="J16">
        <v>28</v>
      </c>
      <c r="K16">
        <v>0.625</v>
      </c>
      <c r="L16" s="2">
        <v>45685.625</v>
      </c>
      <c r="M16" s="3">
        <v>0.625</v>
      </c>
      <c r="N16" s="1">
        <v>45686</v>
      </c>
      <c r="O16" s="3">
        <v>0.91736111111111107</v>
      </c>
      <c r="P16" s="1">
        <v>45686</v>
      </c>
      <c r="Q16" s="3">
        <v>0.91833333333333333</v>
      </c>
      <c r="R16" t="s">
        <v>48</v>
      </c>
      <c r="S16" t="s">
        <v>172</v>
      </c>
      <c r="T16" t="s">
        <v>49</v>
      </c>
      <c r="U16" t="s">
        <v>190</v>
      </c>
      <c r="V16" t="s">
        <v>191</v>
      </c>
      <c r="W16">
        <v>6</v>
      </c>
      <c r="X16" t="s">
        <v>192</v>
      </c>
      <c r="AA16" t="s">
        <v>193</v>
      </c>
      <c r="AB16" t="s">
        <v>194</v>
      </c>
      <c r="AC16" t="s">
        <v>195</v>
      </c>
      <c r="AD16" t="s">
        <v>56</v>
      </c>
      <c r="AI16" t="s">
        <v>114</v>
      </c>
      <c r="AJ16" t="s">
        <v>58</v>
      </c>
      <c r="AK16" t="s">
        <v>147</v>
      </c>
      <c r="AL16" t="s">
        <v>60</v>
      </c>
      <c r="AM16" t="s">
        <v>89</v>
      </c>
      <c r="AN16" t="s">
        <v>196</v>
      </c>
      <c r="AO16" t="s">
        <v>63</v>
      </c>
      <c r="AP16">
        <v>9</v>
      </c>
      <c r="AQ16" t="s">
        <v>197</v>
      </c>
      <c r="AR16" t="s">
        <v>192</v>
      </c>
      <c r="AS16" t="s">
        <v>66</v>
      </c>
      <c r="AT16" s="1">
        <v>45685</v>
      </c>
      <c r="AU16" s="3">
        <v>0.625</v>
      </c>
    </row>
    <row r="17" spans="1:47" x14ac:dyDescent="0.3">
      <c r="A17" t="s">
        <v>198</v>
      </c>
      <c r="B17" s="1">
        <v>45688</v>
      </c>
      <c r="C17">
        <v>2025</v>
      </c>
      <c r="D17" t="s">
        <v>64</v>
      </c>
      <c r="E17">
        <v>1</v>
      </c>
      <c r="F17">
        <v>5</v>
      </c>
      <c r="G17">
        <v>5</v>
      </c>
      <c r="H17" t="s">
        <v>65</v>
      </c>
      <c r="I17">
        <v>31</v>
      </c>
      <c r="J17">
        <v>31</v>
      </c>
      <c r="K17">
        <v>0.49988425925925928</v>
      </c>
      <c r="L17" s="2">
        <v>45688.499305555553</v>
      </c>
      <c r="M17" s="3">
        <v>0.49988425925925928</v>
      </c>
      <c r="N17" s="1"/>
      <c r="O17" s="3"/>
      <c r="P17" s="1">
        <v>45688</v>
      </c>
      <c r="Q17" s="3">
        <v>0.49988425925925928</v>
      </c>
      <c r="R17" t="s">
        <v>126</v>
      </c>
      <c r="S17" t="s">
        <v>49</v>
      </c>
      <c r="T17" t="s">
        <v>49</v>
      </c>
      <c r="U17" t="s">
        <v>199</v>
      </c>
      <c r="V17" t="s">
        <v>200</v>
      </c>
      <c r="W17">
        <v>8</v>
      </c>
      <c r="X17" t="s">
        <v>201</v>
      </c>
      <c r="AI17" t="s">
        <v>57</v>
      </c>
      <c r="AJ17" t="s">
        <v>58</v>
      </c>
      <c r="AK17" t="s">
        <v>202</v>
      </c>
      <c r="AL17" t="s">
        <v>115</v>
      </c>
      <c r="AM17" t="s">
        <v>116</v>
      </c>
      <c r="AN17" t="s">
        <v>62</v>
      </c>
      <c r="AO17" t="s">
        <v>130</v>
      </c>
      <c r="AP17">
        <v>9</v>
      </c>
      <c r="AQ17" t="s">
        <v>126</v>
      </c>
      <c r="AR17" t="s">
        <v>201</v>
      </c>
      <c r="AS17" t="s">
        <v>66</v>
      </c>
      <c r="AT17" s="1">
        <v>45688</v>
      </c>
      <c r="AU17" s="3">
        <v>0.45833333333333331</v>
      </c>
    </row>
    <row r="18" spans="1:47" x14ac:dyDescent="0.3">
      <c r="A18" t="s">
        <v>203</v>
      </c>
      <c r="B18" s="1">
        <v>45689</v>
      </c>
      <c r="C18">
        <v>2025</v>
      </c>
      <c r="D18" t="s">
        <v>210</v>
      </c>
      <c r="E18">
        <v>1</v>
      </c>
      <c r="F18">
        <v>5</v>
      </c>
      <c r="G18">
        <v>1</v>
      </c>
      <c r="H18" t="s">
        <v>170</v>
      </c>
      <c r="I18">
        <v>32</v>
      </c>
      <c r="J18">
        <v>1</v>
      </c>
      <c r="K18">
        <v>4.1666666666666664E-2</v>
      </c>
      <c r="L18" s="2">
        <v>45689.041666666664</v>
      </c>
      <c r="M18" s="3">
        <v>4.1666666666666664E-2</v>
      </c>
      <c r="N18" s="1"/>
      <c r="O18" s="3">
        <v>0.10416666666666667</v>
      </c>
      <c r="P18" s="1">
        <v>45689</v>
      </c>
      <c r="Q18" s="3">
        <v>0.11982638888888889</v>
      </c>
      <c r="R18" t="s">
        <v>48</v>
      </c>
      <c r="S18" t="s">
        <v>49</v>
      </c>
      <c r="T18" t="s">
        <v>49</v>
      </c>
      <c r="U18" t="s">
        <v>204</v>
      </c>
      <c r="V18" t="s">
        <v>205</v>
      </c>
      <c r="W18">
        <v>6</v>
      </c>
      <c r="X18" t="s">
        <v>206</v>
      </c>
      <c r="AA18" t="s">
        <v>207</v>
      </c>
      <c r="AB18" t="s">
        <v>208</v>
      </c>
      <c r="AC18" t="s">
        <v>209</v>
      </c>
      <c r="AD18" t="s">
        <v>56</v>
      </c>
      <c r="AI18" t="s">
        <v>114</v>
      </c>
      <c r="AJ18" t="s">
        <v>58</v>
      </c>
      <c r="AK18" t="s">
        <v>147</v>
      </c>
      <c r="AL18" t="s">
        <v>60</v>
      </c>
      <c r="AM18" t="s">
        <v>155</v>
      </c>
      <c r="AN18" t="s">
        <v>62</v>
      </c>
      <c r="AO18" t="s">
        <v>63</v>
      </c>
      <c r="AP18">
        <v>9</v>
      </c>
      <c r="AQ18" t="s">
        <v>48</v>
      </c>
      <c r="AR18" t="s">
        <v>206</v>
      </c>
      <c r="AS18" t="s">
        <v>66</v>
      </c>
      <c r="AT18" s="1">
        <v>45689</v>
      </c>
      <c r="AU18" s="3">
        <v>4.1666666666666664E-2</v>
      </c>
    </row>
    <row r="19" spans="1:47" x14ac:dyDescent="0.3">
      <c r="A19" t="s">
        <v>211</v>
      </c>
      <c r="B19" s="1">
        <v>45690</v>
      </c>
      <c r="C19">
        <v>2025</v>
      </c>
      <c r="D19" t="s">
        <v>210</v>
      </c>
      <c r="E19">
        <v>1</v>
      </c>
      <c r="F19">
        <v>6</v>
      </c>
      <c r="G19">
        <v>2</v>
      </c>
      <c r="H19" t="s">
        <v>188</v>
      </c>
      <c r="I19">
        <v>33</v>
      </c>
      <c r="J19">
        <v>2</v>
      </c>
      <c r="K19">
        <v>0.72569444444444442</v>
      </c>
      <c r="L19" s="2">
        <v>45690.725694444445</v>
      </c>
      <c r="M19" s="3">
        <v>0.72569444444444442</v>
      </c>
      <c r="N19" s="1">
        <v>45690</v>
      </c>
      <c r="O19" s="3">
        <v>0.75</v>
      </c>
      <c r="P19" s="1">
        <v>45691</v>
      </c>
      <c r="Q19" s="3">
        <v>0.50143518518518515</v>
      </c>
      <c r="R19" t="s">
        <v>212</v>
      </c>
      <c r="S19" t="s">
        <v>95</v>
      </c>
      <c r="T19" t="s">
        <v>49</v>
      </c>
      <c r="U19" t="s">
        <v>213</v>
      </c>
      <c r="V19" t="s">
        <v>166</v>
      </c>
      <c r="W19">
        <v>5</v>
      </c>
      <c r="X19" t="s">
        <v>214</v>
      </c>
      <c r="AI19" t="s">
        <v>86</v>
      </c>
      <c r="AJ19" t="s">
        <v>58</v>
      </c>
      <c r="AK19" t="s">
        <v>186</v>
      </c>
      <c r="AL19" t="s">
        <v>88</v>
      </c>
      <c r="AM19" t="s">
        <v>215</v>
      </c>
      <c r="AN19" t="s">
        <v>178</v>
      </c>
      <c r="AP19">
        <v>9</v>
      </c>
      <c r="AQ19" t="s">
        <v>216</v>
      </c>
      <c r="AR19" t="s">
        <v>214</v>
      </c>
      <c r="AS19" t="s">
        <v>66</v>
      </c>
      <c r="AT19" s="1">
        <v>45690</v>
      </c>
      <c r="AU19" s="3">
        <v>0.70833333333333337</v>
      </c>
    </row>
    <row r="20" spans="1:47" x14ac:dyDescent="0.3">
      <c r="A20" t="s">
        <v>217</v>
      </c>
      <c r="B20" s="1">
        <v>45691</v>
      </c>
      <c r="C20">
        <v>2025</v>
      </c>
      <c r="D20" t="s">
        <v>210</v>
      </c>
      <c r="E20">
        <v>1</v>
      </c>
      <c r="F20">
        <v>6</v>
      </c>
      <c r="G20">
        <v>2</v>
      </c>
      <c r="H20" t="s">
        <v>91</v>
      </c>
      <c r="I20">
        <v>34</v>
      </c>
      <c r="J20">
        <v>3</v>
      </c>
      <c r="K20">
        <v>0.694849537037037</v>
      </c>
      <c r="L20" s="2">
        <v>45691.694444444445</v>
      </c>
      <c r="M20" s="3"/>
      <c r="N20" s="1"/>
      <c r="O20" s="3"/>
      <c r="P20" s="1">
        <v>45691</v>
      </c>
      <c r="Q20" s="3">
        <v>0.694849537037037</v>
      </c>
      <c r="R20" t="s">
        <v>95</v>
      </c>
      <c r="S20" t="s">
        <v>49</v>
      </c>
      <c r="T20" t="s">
        <v>49</v>
      </c>
      <c r="U20" t="s">
        <v>218</v>
      </c>
      <c r="V20" t="s">
        <v>109</v>
      </c>
      <c r="W20">
        <v>9</v>
      </c>
      <c r="X20" t="s">
        <v>219</v>
      </c>
      <c r="AI20" t="s">
        <v>168</v>
      </c>
      <c r="AJ20" t="s">
        <v>58</v>
      </c>
      <c r="AK20" t="s">
        <v>129</v>
      </c>
      <c r="AL20" t="s">
        <v>88</v>
      </c>
      <c r="AM20" t="s">
        <v>187</v>
      </c>
      <c r="AN20" t="s">
        <v>62</v>
      </c>
      <c r="AO20" t="s">
        <v>103</v>
      </c>
      <c r="AP20">
        <v>9</v>
      </c>
      <c r="AQ20" t="s">
        <v>95</v>
      </c>
      <c r="AR20" t="s">
        <v>219</v>
      </c>
      <c r="AS20" t="s">
        <v>66</v>
      </c>
      <c r="AT20" s="1"/>
      <c r="AU20" s="3">
        <v>0.66666666666666663</v>
      </c>
    </row>
    <row r="21" spans="1:47" x14ac:dyDescent="0.3">
      <c r="A21" t="s">
        <v>220</v>
      </c>
      <c r="B21" s="1">
        <v>45691</v>
      </c>
      <c r="C21">
        <v>2025</v>
      </c>
      <c r="D21" t="s">
        <v>210</v>
      </c>
      <c r="E21">
        <v>1</v>
      </c>
      <c r="F21">
        <v>6</v>
      </c>
      <c r="G21">
        <v>2</v>
      </c>
      <c r="H21" t="s">
        <v>91</v>
      </c>
      <c r="I21">
        <v>34</v>
      </c>
      <c r="J21">
        <v>3</v>
      </c>
      <c r="K21">
        <v>0.77083333333333337</v>
      </c>
      <c r="L21" s="2">
        <v>45691.770833333336</v>
      </c>
      <c r="M21" s="3">
        <v>0.77083333333333337</v>
      </c>
      <c r="N21" s="1">
        <v>45692</v>
      </c>
      <c r="O21" s="3">
        <v>0.79166666666666663</v>
      </c>
      <c r="P21" s="1">
        <v>45692</v>
      </c>
      <c r="Q21" s="3">
        <v>0.53023148148148147</v>
      </c>
      <c r="R21" t="s">
        <v>48</v>
      </c>
      <c r="S21" t="s">
        <v>49</v>
      </c>
      <c r="T21" t="s">
        <v>49</v>
      </c>
      <c r="U21" t="s">
        <v>221</v>
      </c>
      <c r="V21" t="s">
        <v>222</v>
      </c>
      <c r="W21">
        <v>8</v>
      </c>
      <c r="X21" t="s">
        <v>223</v>
      </c>
      <c r="AA21" t="s">
        <v>224</v>
      </c>
      <c r="AB21" t="s">
        <v>225</v>
      </c>
      <c r="AC21" t="s">
        <v>226</v>
      </c>
      <c r="AD21" t="s">
        <v>227</v>
      </c>
      <c r="AI21" t="s">
        <v>86</v>
      </c>
      <c r="AJ21" t="s">
        <v>58</v>
      </c>
      <c r="AK21" t="s">
        <v>186</v>
      </c>
      <c r="AL21" t="s">
        <v>88</v>
      </c>
      <c r="AM21" t="s">
        <v>89</v>
      </c>
      <c r="AN21" t="s">
        <v>228</v>
      </c>
      <c r="AO21" t="s">
        <v>63</v>
      </c>
      <c r="AP21">
        <v>9</v>
      </c>
      <c r="AQ21" t="s">
        <v>48</v>
      </c>
      <c r="AR21" t="s">
        <v>223</v>
      </c>
      <c r="AS21" t="s">
        <v>66</v>
      </c>
      <c r="AT21" s="1">
        <v>45691</v>
      </c>
      <c r="AU21" s="3">
        <v>0.75</v>
      </c>
    </row>
    <row r="22" spans="1:47" x14ac:dyDescent="0.3">
      <c r="A22" t="s">
        <v>229</v>
      </c>
      <c r="B22" s="1">
        <v>45693</v>
      </c>
      <c r="C22">
        <v>2025</v>
      </c>
      <c r="D22" t="s">
        <v>210</v>
      </c>
      <c r="E22">
        <v>1</v>
      </c>
      <c r="F22">
        <v>6</v>
      </c>
      <c r="G22">
        <v>2</v>
      </c>
      <c r="H22" t="s">
        <v>124</v>
      </c>
      <c r="I22">
        <v>36</v>
      </c>
      <c r="J22">
        <v>5</v>
      </c>
      <c r="K22">
        <v>0.12291666666666666</v>
      </c>
      <c r="L22" s="2">
        <v>45693.122916666667</v>
      </c>
      <c r="M22" s="3">
        <v>0.12291666666666666</v>
      </c>
      <c r="N22" s="1"/>
      <c r="O22" s="3"/>
      <c r="P22" s="1">
        <v>45693</v>
      </c>
      <c r="Q22" s="3">
        <v>0.1233912037037037</v>
      </c>
      <c r="R22" t="s">
        <v>230</v>
      </c>
      <c r="S22" t="s">
        <v>231</v>
      </c>
      <c r="T22" t="s">
        <v>49</v>
      </c>
      <c r="U22" t="s">
        <v>232</v>
      </c>
      <c r="V22" t="s">
        <v>200</v>
      </c>
      <c r="W22">
        <v>8</v>
      </c>
      <c r="X22" t="s">
        <v>233</v>
      </c>
      <c r="AI22" t="s">
        <v>114</v>
      </c>
      <c r="AJ22" t="s">
        <v>58</v>
      </c>
      <c r="AK22" t="s">
        <v>234</v>
      </c>
      <c r="AL22" t="s">
        <v>139</v>
      </c>
      <c r="AM22" t="s">
        <v>235</v>
      </c>
      <c r="AN22" t="s">
        <v>102</v>
      </c>
      <c r="AO22" t="s">
        <v>130</v>
      </c>
      <c r="AP22">
        <v>9</v>
      </c>
      <c r="AQ22" t="s">
        <v>236</v>
      </c>
      <c r="AR22" t="s">
        <v>233</v>
      </c>
      <c r="AS22" t="s">
        <v>66</v>
      </c>
      <c r="AT22" s="1">
        <v>45693</v>
      </c>
      <c r="AU22" s="3">
        <v>8.3333333333333329E-2</v>
      </c>
    </row>
    <row r="23" spans="1:47" x14ac:dyDescent="0.3">
      <c r="A23" t="s">
        <v>237</v>
      </c>
      <c r="B23" s="1">
        <v>45695</v>
      </c>
      <c r="C23">
        <v>2025</v>
      </c>
      <c r="D23" t="s">
        <v>210</v>
      </c>
      <c r="E23">
        <v>1</v>
      </c>
      <c r="F23">
        <v>6</v>
      </c>
      <c r="G23">
        <v>2</v>
      </c>
      <c r="H23" t="s">
        <v>65</v>
      </c>
      <c r="I23">
        <v>38</v>
      </c>
      <c r="J23">
        <v>7</v>
      </c>
      <c r="K23">
        <v>0.27430555555555558</v>
      </c>
      <c r="L23" s="2">
        <v>45695.274305555555</v>
      </c>
      <c r="M23" s="3">
        <v>0.27430555555555558</v>
      </c>
      <c r="N23" s="1">
        <v>45695</v>
      </c>
      <c r="O23" s="3">
        <v>0.28472222222222221</v>
      </c>
      <c r="P23" s="1">
        <v>45695</v>
      </c>
      <c r="Q23" s="3">
        <v>0.30738425925925927</v>
      </c>
      <c r="R23" t="s">
        <v>48</v>
      </c>
      <c r="S23" t="s">
        <v>49</v>
      </c>
      <c r="T23" t="s">
        <v>49</v>
      </c>
      <c r="U23" t="s">
        <v>238</v>
      </c>
      <c r="V23" t="s">
        <v>239</v>
      </c>
      <c r="W23">
        <v>5</v>
      </c>
      <c r="X23" t="s">
        <v>240</v>
      </c>
      <c r="AA23" t="s">
        <v>241</v>
      </c>
      <c r="AB23" t="s">
        <v>242</v>
      </c>
      <c r="AC23" t="s">
        <v>243</v>
      </c>
      <c r="AD23" t="s">
        <v>56</v>
      </c>
      <c r="AI23" t="s">
        <v>114</v>
      </c>
      <c r="AJ23" t="s">
        <v>58</v>
      </c>
      <c r="AK23" t="s">
        <v>244</v>
      </c>
      <c r="AL23" t="s">
        <v>245</v>
      </c>
      <c r="AM23" t="s">
        <v>215</v>
      </c>
      <c r="AN23" t="s">
        <v>178</v>
      </c>
      <c r="AO23" t="s">
        <v>63</v>
      </c>
      <c r="AP23">
        <v>9</v>
      </c>
      <c r="AQ23" t="s">
        <v>48</v>
      </c>
      <c r="AR23" t="s">
        <v>240</v>
      </c>
      <c r="AS23" t="s">
        <v>66</v>
      </c>
      <c r="AT23" s="1">
        <v>45695</v>
      </c>
      <c r="AU23" s="3">
        <v>0.25</v>
      </c>
    </row>
    <row r="24" spans="1:47" x14ac:dyDescent="0.3">
      <c r="A24" t="s">
        <v>246</v>
      </c>
      <c r="B24" s="1">
        <v>45688</v>
      </c>
      <c r="C24">
        <v>2025</v>
      </c>
      <c r="D24" t="s">
        <v>64</v>
      </c>
      <c r="E24">
        <v>1</v>
      </c>
      <c r="F24">
        <v>5</v>
      </c>
      <c r="G24">
        <v>5</v>
      </c>
      <c r="H24" t="s">
        <v>65</v>
      </c>
      <c r="I24">
        <v>31</v>
      </c>
      <c r="J24">
        <v>31</v>
      </c>
      <c r="K24">
        <v>0.5</v>
      </c>
      <c r="L24" s="2">
        <v>45688.5</v>
      </c>
      <c r="M24" s="3">
        <v>0.5</v>
      </c>
      <c r="N24" s="1">
        <v>45695</v>
      </c>
      <c r="O24" s="3">
        <v>0.54166666666666663</v>
      </c>
      <c r="P24" s="1">
        <v>45696</v>
      </c>
      <c r="Q24" s="3">
        <v>0.3903240740740741</v>
      </c>
      <c r="R24" t="s">
        <v>48</v>
      </c>
      <c r="S24" t="s">
        <v>49</v>
      </c>
      <c r="T24" t="s">
        <v>49</v>
      </c>
      <c r="U24" t="s">
        <v>247</v>
      </c>
      <c r="V24" t="s">
        <v>150</v>
      </c>
      <c r="W24">
        <v>5</v>
      </c>
      <c r="X24" t="s">
        <v>248</v>
      </c>
      <c r="AA24" t="s">
        <v>249</v>
      </c>
      <c r="AC24" t="s">
        <v>122</v>
      </c>
      <c r="AD24" t="s">
        <v>56</v>
      </c>
      <c r="AI24" t="s">
        <v>114</v>
      </c>
      <c r="AJ24" t="s">
        <v>58</v>
      </c>
      <c r="AK24" t="s">
        <v>250</v>
      </c>
      <c r="AL24" t="s">
        <v>60</v>
      </c>
      <c r="AM24" t="s">
        <v>187</v>
      </c>
      <c r="AN24" t="s">
        <v>102</v>
      </c>
      <c r="AO24" t="s">
        <v>63</v>
      </c>
      <c r="AP24">
        <v>9</v>
      </c>
      <c r="AQ24" t="s">
        <v>48</v>
      </c>
      <c r="AR24" t="s">
        <v>248</v>
      </c>
      <c r="AS24" t="s">
        <v>66</v>
      </c>
      <c r="AT24" s="1">
        <v>45688</v>
      </c>
      <c r="AU24" s="3">
        <v>0.5</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85B58-7D2D-40EA-978E-C5B34A75241D}">
  <sheetPr codeName="Sheet16">
    <tabColor rgb="FFAA72D4"/>
  </sheetPr>
  <dimension ref="B3:I17"/>
  <sheetViews>
    <sheetView topLeftCell="A32" workbookViewId="0">
      <selection activeCell="B3" sqref="B3:C17"/>
    </sheetView>
  </sheetViews>
  <sheetFormatPr defaultRowHeight="14.4" x14ac:dyDescent="0.3"/>
  <cols>
    <col min="2" max="2" width="45.5546875" bestFit="1" customWidth="1"/>
    <col min="3" max="3" width="21.109375" bestFit="1" customWidth="1"/>
    <col min="5" max="5" width="45.5546875" bestFit="1" customWidth="1"/>
    <col min="6" max="6" width="21.109375" bestFit="1" customWidth="1"/>
    <col min="8" max="8" width="45.5546875" bestFit="1" customWidth="1"/>
    <col min="9" max="9" width="21.109375" bestFit="1" customWidth="1"/>
  </cols>
  <sheetData>
    <row r="3" spans="2:9" ht="18" x14ac:dyDescent="0.35">
      <c r="B3" s="75" t="s">
        <v>257</v>
      </c>
      <c r="C3" s="75"/>
      <c r="E3" s="75" t="s">
        <v>258</v>
      </c>
      <c r="F3" s="75"/>
      <c r="H3" s="75" t="s">
        <v>259</v>
      </c>
      <c r="I3" s="75"/>
    </row>
    <row r="4" spans="2:9" x14ac:dyDescent="0.3">
      <c r="B4" s="21" t="s">
        <v>33</v>
      </c>
      <c r="C4" t="s">
        <v>254</v>
      </c>
      <c r="E4" s="21" t="s">
        <v>33</v>
      </c>
      <c r="F4" t="s">
        <v>254</v>
      </c>
      <c r="H4" s="21" t="s">
        <v>33</v>
      </c>
      <c r="I4" t="s">
        <v>254</v>
      </c>
    </row>
    <row r="5" spans="2:9" x14ac:dyDescent="0.3">
      <c r="B5" s="4"/>
      <c r="C5" s="4"/>
      <c r="E5" s="4"/>
      <c r="F5" s="4"/>
      <c r="H5" s="4"/>
      <c r="I5" s="4"/>
    </row>
    <row r="6" spans="2:9" x14ac:dyDescent="0.3">
      <c r="B6" s="21" t="s">
        <v>255</v>
      </c>
      <c r="C6" t="s">
        <v>253</v>
      </c>
      <c r="E6" s="21" t="s">
        <v>255</v>
      </c>
      <c r="F6" t="s">
        <v>253</v>
      </c>
      <c r="H6" s="21" t="s">
        <v>255</v>
      </c>
      <c r="I6" t="s">
        <v>253</v>
      </c>
    </row>
    <row r="7" spans="2:9" x14ac:dyDescent="0.3">
      <c r="B7" s="22" t="s">
        <v>81</v>
      </c>
      <c r="E7" s="22" t="s">
        <v>81</v>
      </c>
      <c r="H7" s="22" t="s">
        <v>81</v>
      </c>
    </row>
    <row r="8" spans="2:9" x14ac:dyDescent="0.3">
      <c r="B8" s="23" t="s">
        <v>91</v>
      </c>
      <c r="C8">
        <v>1</v>
      </c>
      <c r="E8" s="23" t="s">
        <v>91</v>
      </c>
      <c r="F8">
        <v>1</v>
      </c>
      <c r="H8" s="23" t="s">
        <v>91</v>
      </c>
      <c r="I8">
        <v>1</v>
      </c>
    </row>
    <row r="9" spans="2:9" x14ac:dyDescent="0.3">
      <c r="B9" s="22" t="s">
        <v>126</v>
      </c>
      <c r="E9" s="22" t="s">
        <v>126</v>
      </c>
      <c r="H9" s="22" t="s">
        <v>126</v>
      </c>
    </row>
    <row r="10" spans="2:9" x14ac:dyDescent="0.3">
      <c r="B10" s="23" t="s">
        <v>131</v>
      </c>
      <c r="C10">
        <v>1</v>
      </c>
      <c r="E10" s="23" t="s">
        <v>131</v>
      </c>
      <c r="F10">
        <v>1</v>
      </c>
      <c r="H10" s="23" t="s">
        <v>131</v>
      </c>
      <c r="I10">
        <v>1</v>
      </c>
    </row>
    <row r="11" spans="2:9" x14ac:dyDescent="0.3">
      <c r="B11" s="22" t="s">
        <v>78</v>
      </c>
      <c r="E11" s="22" t="s">
        <v>78</v>
      </c>
      <c r="H11" s="22" t="s">
        <v>78</v>
      </c>
    </row>
    <row r="12" spans="2:9" x14ac:dyDescent="0.3">
      <c r="B12" s="23" t="s">
        <v>79</v>
      </c>
      <c r="C12">
        <v>1</v>
      </c>
      <c r="E12" s="23" t="s">
        <v>79</v>
      </c>
      <c r="F12">
        <v>1</v>
      </c>
      <c r="H12" s="23" t="s">
        <v>79</v>
      </c>
      <c r="I12">
        <v>1</v>
      </c>
    </row>
    <row r="13" spans="2:9" x14ac:dyDescent="0.3">
      <c r="B13" s="22" t="s">
        <v>470</v>
      </c>
      <c r="E13" s="22" t="s">
        <v>470</v>
      </c>
      <c r="H13" s="22" t="s">
        <v>470</v>
      </c>
    </row>
    <row r="14" spans="2:9" x14ac:dyDescent="0.3">
      <c r="B14" s="23" t="s">
        <v>91</v>
      </c>
      <c r="C14">
        <v>1</v>
      </c>
      <c r="E14" s="23" t="s">
        <v>91</v>
      </c>
      <c r="F14">
        <v>1</v>
      </c>
      <c r="H14" s="23" t="s">
        <v>91</v>
      </c>
      <c r="I14">
        <v>1</v>
      </c>
    </row>
    <row r="15" spans="2:9" x14ac:dyDescent="0.3">
      <c r="B15" s="22" t="s">
        <v>48</v>
      </c>
      <c r="E15" s="22" t="s">
        <v>48</v>
      </c>
      <c r="H15" s="22" t="s">
        <v>48</v>
      </c>
    </row>
    <row r="16" spans="2:9" x14ac:dyDescent="0.3">
      <c r="B16" s="23" t="s">
        <v>91</v>
      </c>
      <c r="C16">
        <v>1</v>
      </c>
      <c r="E16" s="23" t="s">
        <v>91</v>
      </c>
      <c r="F16">
        <v>1</v>
      </c>
      <c r="H16" s="23" t="s">
        <v>91</v>
      </c>
      <c r="I16">
        <v>1</v>
      </c>
    </row>
    <row r="17" spans="2:9" x14ac:dyDescent="0.3">
      <c r="B17" s="22" t="s">
        <v>256</v>
      </c>
      <c r="C17">
        <v>5</v>
      </c>
      <c r="E17" s="22" t="s">
        <v>256</v>
      </c>
      <c r="F17">
        <v>5</v>
      </c>
      <c r="H17" s="22" t="s">
        <v>256</v>
      </c>
      <c r="I17">
        <v>5</v>
      </c>
    </row>
  </sheetData>
  <mergeCells count="3">
    <mergeCell ref="B3:C3"/>
    <mergeCell ref="E3:F3"/>
    <mergeCell ref="H3:I3"/>
  </mergeCells>
  <pageMargins left="0.7" right="0.7" top="0.75" bottom="0.75" header="0.3" footer="0.3"/>
  <pageSetup orientation="portrait" r:id="rId4"/>
  <drawing r:id="rId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99D7E-98DC-429C-BC10-38F862FA92C4}">
  <dimension ref="A1:C55"/>
  <sheetViews>
    <sheetView workbookViewId="0"/>
  </sheetViews>
  <sheetFormatPr defaultRowHeight="14.4" x14ac:dyDescent="0.3"/>
  <cols>
    <col min="1" max="1" width="18.88671875" bestFit="1" customWidth="1"/>
    <col min="2" max="2" width="13.109375" bestFit="1" customWidth="1"/>
    <col min="3" max="3" width="12.33203125" bestFit="1" customWidth="1"/>
  </cols>
  <sheetData>
    <row r="1" spans="1:3" x14ac:dyDescent="0.3">
      <c r="A1" t="s">
        <v>387</v>
      </c>
      <c r="B1" t="s">
        <v>388</v>
      </c>
      <c r="C1" t="s">
        <v>389</v>
      </c>
    </row>
    <row r="2" spans="1:3" x14ac:dyDescent="0.3">
      <c r="A2" t="s">
        <v>390</v>
      </c>
      <c r="B2" s="1">
        <v>45657</v>
      </c>
      <c r="C2" s="1">
        <v>45663</v>
      </c>
    </row>
    <row r="3" spans="1:3" x14ac:dyDescent="0.3">
      <c r="A3" t="s">
        <v>391</v>
      </c>
      <c r="B3" s="1">
        <v>45664</v>
      </c>
      <c r="C3" s="1">
        <v>45670</v>
      </c>
    </row>
    <row r="4" spans="1:3" x14ac:dyDescent="0.3">
      <c r="A4" t="s">
        <v>392</v>
      </c>
      <c r="B4" s="1">
        <v>45671</v>
      </c>
      <c r="C4" s="1">
        <v>45677</v>
      </c>
    </row>
    <row r="5" spans="1:3" x14ac:dyDescent="0.3">
      <c r="A5" t="s">
        <v>393</v>
      </c>
      <c r="B5" s="1">
        <v>45678</v>
      </c>
      <c r="C5" s="1">
        <v>45684</v>
      </c>
    </row>
    <row r="6" spans="1:3" x14ac:dyDescent="0.3">
      <c r="A6" t="s">
        <v>394</v>
      </c>
      <c r="B6" s="1">
        <v>45685</v>
      </c>
      <c r="C6" s="1">
        <v>45691</v>
      </c>
    </row>
    <row r="7" spans="1:3" x14ac:dyDescent="0.3">
      <c r="A7" t="s">
        <v>395</v>
      </c>
      <c r="B7" s="1">
        <v>45692</v>
      </c>
      <c r="C7" s="1">
        <v>45698</v>
      </c>
    </row>
    <row r="8" spans="1:3" x14ac:dyDescent="0.3">
      <c r="A8" t="s">
        <v>396</v>
      </c>
      <c r="B8" s="1">
        <v>45699</v>
      </c>
      <c r="C8" s="1">
        <v>45705</v>
      </c>
    </row>
    <row r="9" spans="1:3" x14ac:dyDescent="0.3">
      <c r="A9" t="s">
        <v>397</v>
      </c>
      <c r="B9" s="1">
        <v>45706</v>
      </c>
      <c r="C9" s="1">
        <v>45712</v>
      </c>
    </row>
    <row r="10" spans="1:3" x14ac:dyDescent="0.3">
      <c r="A10" t="s">
        <v>398</v>
      </c>
      <c r="B10" s="1">
        <v>45713</v>
      </c>
      <c r="C10" s="1">
        <v>45719</v>
      </c>
    </row>
    <row r="11" spans="1:3" x14ac:dyDescent="0.3">
      <c r="A11" t="s">
        <v>399</v>
      </c>
      <c r="B11" s="1">
        <v>45720</v>
      </c>
      <c r="C11" s="1">
        <v>45726</v>
      </c>
    </row>
    <row r="12" spans="1:3" x14ac:dyDescent="0.3">
      <c r="A12" t="s">
        <v>400</v>
      </c>
      <c r="B12" s="1">
        <v>45727</v>
      </c>
      <c r="C12" s="1">
        <v>45733</v>
      </c>
    </row>
    <row r="13" spans="1:3" x14ac:dyDescent="0.3">
      <c r="A13" t="s">
        <v>401</v>
      </c>
      <c r="B13" s="1">
        <v>45734</v>
      </c>
      <c r="C13" s="1">
        <v>45740</v>
      </c>
    </row>
    <row r="14" spans="1:3" x14ac:dyDescent="0.3">
      <c r="A14" t="s">
        <v>402</v>
      </c>
      <c r="B14" s="1">
        <v>45741</v>
      </c>
      <c r="C14" s="1">
        <v>45747</v>
      </c>
    </row>
    <row r="15" spans="1:3" x14ac:dyDescent="0.3">
      <c r="A15" t="s">
        <v>403</v>
      </c>
      <c r="B15" s="1">
        <v>45748</v>
      </c>
      <c r="C15" s="1">
        <v>45754</v>
      </c>
    </row>
    <row r="16" spans="1:3" x14ac:dyDescent="0.3">
      <c r="A16" t="s">
        <v>404</v>
      </c>
      <c r="B16" s="1">
        <v>45755</v>
      </c>
      <c r="C16" s="1">
        <v>45761</v>
      </c>
    </row>
    <row r="17" spans="1:3" x14ac:dyDescent="0.3">
      <c r="A17" t="s">
        <v>405</v>
      </c>
      <c r="B17" s="1">
        <v>45762</v>
      </c>
      <c r="C17" s="1">
        <v>45768</v>
      </c>
    </row>
    <row r="18" spans="1:3" x14ac:dyDescent="0.3">
      <c r="A18" t="s">
        <v>406</v>
      </c>
      <c r="B18" s="1">
        <v>45769</v>
      </c>
      <c r="C18" s="1">
        <v>45775</v>
      </c>
    </row>
    <row r="19" spans="1:3" x14ac:dyDescent="0.3">
      <c r="A19" t="s">
        <v>407</v>
      </c>
      <c r="B19" s="1">
        <v>45776</v>
      </c>
      <c r="C19" s="1">
        <v>45782</v>
      </c>
    </row>
    <row r="20" spans="1:3" x14ac:dyDescent="0.3">
      <c r="A20" t="s">
        <v>408</v>
      </c>
      <c r="B20" s="1">
        <v>45783</v>
      </c>
      <c r="C20" s="1">
        <v>45789</v>
      </c>
    </row>
    <row r="21" spans="1:3" x14ac:dyDescent="0.3">
      <c r="A21" t="s">
        <v>409</v>
      </c>
      <c r="B21" s="1">
        <v>45790</v>
      </c>
      <c r="C21" s="1">
        <v>45796</v>
      </c>
    </row>
    <row r="22" spans="1:3" x14ac:dyDescent="0.3">
      <c r="A22" t="s">
        <v>410</v>
      </c>
      <c r="B22" s="1">
        <v>45797</v>
      </c>
      <c r="C22" s="1">
        <v>45803</v>
      </c>
    </row>
    <row r="23" spans="1:3" x14ac:dyDescent="0.3">
      <c r="A23" t="s">
        <v>411</v>
      </c>
      <c r="B23" s="1">
        <v>45804</v>
      </c>
      <c r="C23" s="1">
        <v>45810</v>
      </c>
    </row>
    <row r="24" spans="1:3" x14ac:dyDescent="0.3">
      <c r="A24" t="s">
        <v>412</v>
      </c>
      <c r="B24" s="1">
        <v>45811</v>
      </c>
      <c r="C24" s="1">
        <v>45817</v>
      </c>
    </row>
    <row r="25" spans="1:3" x14ac:dyDescent="0.3">
      <c r="A25" t="s">
        <v>413</v>
      </c>
      <c r="B25" s="1">
        <v>45818</v>
      </c>
      <c r="C25" s="1">
        <v>45824</v>
      </c>
    </row>
    <row r="26" spans="1:3" x14ac:dyDescent="0.3">
      <c r="A26" t="s">
        <v>414</v>
      </c>
      <c r="B26" s="1">
        <v>45825</v>
      </c>
      <c r="C26" s="1">
        <v>45831</v>
      </c>
    </row>
    <row r="27" spans="1:3" x14ac:dyDescent="0.3">
      <c r="A27" t="s">
        <v>415</v>
      </c>
      <c r="B27" s="1">
        <v>45832</v>
      </c>
      <c r="C27" s="1">
        <v>45838</v>
      </c>
    </row>
    <row r="28" spans="1:3" x14ac:dyDescent="0.3">
      <c r="A28" t="s">
        <v>416</v>
      </c>
      <c r="B28" s="1">
        <v>45839</v>
      </c>
      <c r="C28" s="1">
        <v>45845</v>
      </c>
    </row>
    <row r="29" spans="1:3" x14ac:dyDescent="0.3">
      <c r="A29" t="s">
        <v>417</v>
      </c>
      <c r="B29" s="1">
        <v>45846</v>
      </c>
      <c r="C29" s="1">
        <v>45852</v>
      </c>
    </row>
    <row r="30" spans="1:3" x14ac:dyDescent="0.3">
      <c r="A30" t="s">
        <v>418</v>
      </c>
      <c r="B30" s="1">
        <v>45853</v>
      </c>
      <c r="C30" s="1">
        <v>45859</v>
      </c>
    </row>
    <row r="31" spans="1:3" x14ac:dyDescent="0.3">
      <c r="A31" t="s">
        <v>419</v>
      </c>
      <c r="B31" s="1">
        <v>45860</v>
      </c>
      <c r="C31" s="1">
        <v>45866</v>
      </c>
    </row>
    <row r="32" spans="1:3" x14ac:dyDescent="0.3">
      <c r="A32" t="s">
        <v>420</v>
      </c>
      <c r="B32" s="1">
        <v>45867</v>
      </c>
      <c r="C32" s="1">
        <v>45873</v>
      </c>
    </row>
    <row r="33" spans="1:3" x14ac:dyDescent="0.3">
      <c r="A33" t="s">
        <v>421</v>
      </c>
      <c r="B33" s="1">
        <v>45874</v>
      </c>
      <c r="C33" s="1">
        <v>45880</v>
      </c>
    </row>
    <row r="34" spans="1:3" x14ac:dyDescent="0.3">
      <c r="A34" t="s">
        <v>422</v>
      </c>
      <c r="B34" s="1">
        <v>45881</v>
      </c>
      <c r="C34" s="1">
        <v>45887</v>
      </c>
    </row>
    <row r="35" spans="1:3" x14ac:dyDescent="0.3">
      <c r="A35" t="s">
        <v>423</v>
      </c>
      <c r="B35" s="1">
        <v>45888</v>
      </c>
      <c r="C35" s="1">
        <v>45894</v>
      </c>
    </row>
    <row r="36" spans="1:3" x14ac:dyDescent="0.3">
      <c r="A36" t="s">
        <v>424</v>
      </c>
      <c r="B36" s="1">
        <v>45895</v>
      </c>
      <c r="C36" s="1">
        <v>45901</v>
      </c>
    </row>
    <row r="37" spans="1:3" x14ac:dyDescent="0.3">
      <c r="A37" t="s">
        <v>425</v>
      </c>
      <c r="B37" s="1">
        <v>45902</v>
      </c>
      <c r="C37" s="1">
        <v>45908</v>
      </c>
    </row>
    <row r="38" spans="1:3" x14ac:dyDescent="0.3">
      <c r="A38" t="s">
        <v>426</v>
      </c>
      <c r="B38" s="1">
        <v>45909</v>
      </c>
      <c r="C38" s="1">
        <v>45915</v>
      </c>
    </row>
    <row r="39" spans="1:3" x14ac:dyDescent="0.3">
      <c r="A39" t="s">
        <v>427</v>
      </c>
      <c r="B39" s="1">
        <v>45916</v>
      </c>
      <c r="C39" s="1">
        <v>45922</v>
      </c>
    </row>
    <row r="40" spans="1:3" x14ac:dyDescent="0.3">
      <c r="A40" t="s">
        <v>428</v>
      </c>
      <c r="B40" s="1">
        <v>45923</v>
      </c>
      <c r="C40" s="1">
        <v>45929</v>
      </c>
    </row>
    <row r="41" spans="1:3" x14ac:dyDescent="0.3">
      <c r="A41" t="s">
        <v>429</v>
      </c>
      <c r="B41" s="1">
        <v>45930</v>
      </c>
      <c r="C41" s="1">
        <v>45936</v>
      </c>
    </row>
    <row r="42" spans="1:3" x14ac:dyDescent="0.3">
      <c r="A42" t="s">
        <v>430</v>
      </c>
      <c r="B42" s="1">
        <v>45937</v>
      </c>
      <c r="C42" s="1">
        <v>45943</v>
      </c>
    </row>
    <row r="43" spans="1:3" x14ac:dyDescent="0.3">
      <c r="A43" t="s">
        <v>431</v>
      </c>
      <c r="B43" s="1">
        <v>45944</v>
      </c>
      <c r="C43" s="1">
        <v>45950</v>
      </c>
    </row>
    <row r="44" spans="1:3" x14ac:dyDescent="0.3">
      <c r="A44" t="s">
        <v>432</v>
      </c>
      <c r="B44" s="1">
        <v>45951</v>
      </c>
      <c r="C44" s="1">
        <v>45957</v>
      </c>
    </row>
    <row r="45" spans="1:3" x14ac:dyDescent="0.3">
      <c r="A45" t="s">
        <v>433</v>
      </c>
      <c r="B45" s="1">
        <v>45958</v>
      </c>
      <c r="C45" s="1">
        <v>45964</v>
      </c>
    </row>
    <row r="46" spans="1:3" x14ac:dyDescent="0.3">
      <c r="A46" t="s">
        <v>434</v>
      </c>
      <c r="B46" s="1">
        <v>45965</v>
      </c>
      <c r="C46" s="1">
        <v>45971</v>
      </c>
    </row>
    <row r="47" spans="1:3" x14ac:dyDescent="0.3">
      <c r="A47" t="s">
        <v>435</v>
      </c>
      <c r="B47" s="1">
        <v>45972</v>
      </c>
      <c r="C47" s="1">
        <v>45978</v>
      </c>
    </row>
    <row r="48" spans="1:3" x14ac:dyDescent="0.3">
      <c r="A48" t="s">
        <v>436</v>
      </c>
      <c r="B48" s="1">
        <v>45979</v>
      </c>
      <c r="C48" s="1">
        <v>45985</v>
      </c>
    </row>
    <row r="49" spans="1:3" x14ac:dyDescent="0.3">
      <c r="A49" t="s">
        <v>437</v>
      </c>
      <c r="B49" s="1">
        <v>45986</v>
      </c>
      <c r="C49" s="1">
        <v>45992</v>
      </c>
    </row>
    <row r="50" spans="1:3" x14ac:dyDescent="0.3">
      <c r="A50" t="s">
        <v>438</v>
      </c>
      <c r="B50" s="1">
        <v>45993</v>
      </c>
      <c r="C50" s="1">
        <v>45999</v>
      </c>
    </row>
    <row r="51" spans="1:3" x14ac:dyDescent="0.3">
      <c r="A51" t="s">
        <v>439</v>
      </c>
      <c r="B51" s="1">
        <v>46000</v>
      </c>
      <c r="C51" s="1">
        <v>46006</v>
      </c>
    </row>
    <row r="52" spans="1:3" x14ac:dyDescent="0.3">
      <c r="A52" t="s">
        <v>440</v>
      </c>
      <c r="B52" s="1">
        <v>46007</v>
      </c>
      <c r="C52" s="1">
        <v>46013</v>
      </c>
    </row>
    <row r="53" spans="1:3" x14ac:dyDescent="0.3">
      <c r="A53" t="s">
        <v>441</v>
      </c>
      <c r="B53" s="1">
        <v>46014</v>
      </c>
      <c r="C53" s="1">
        <v>46020</v>
      </c>
    </row>
    <row r="54" spans="1:3" x14ac:dyDescent="0.3">
      <c r="A54" t="s">
        <v>442</v>
      </c>
      <c r="B54" s="1">
        <v>46021</v>
      </c>
      <c r="C54" s="1">
        <v>46027</v>
      </c>
    </row>
    <row r="55" spans="1:3" x14ac:dyDescent="0.3">
      <c r="A55" t="s">
        <v>443</v>
      </c>
      <c r="B55" s="1">
        <v>46028</v>
      </c>
      <c r="C55" s="1">
        <v>46034</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6DFD2-1A15-4524-AAFC-05AECCFFA20C}">
  <dimension ref="A1:C15"/>
  <sheetViews>
    <sheetView workbookViewId="0">
      <selection activeCell="A11" sqref="A11:B22"/>
    </sheetView>
  </sheetViews>
  <sheetFormatPr defaultRowHeight="14.4" x14ac:dyDescent="0.3"/>
  <cols>
    <col min="1" max="1" width="18.44140625" bestFit="1" customWidth="1"/>
    <col min="2" max="2" width="13.109375" bestFit="1" customWidth="1"/>
    <col min="3" max="3" width="12.33203125" bestFit="1" customWidth="1"/>
  </cols>
  <sheetData>
    <row r="1" spans="1:3" x14ac:dyDescent="0.3">
      <c r="A1" t="s">
        <v>444</v>
      </c>
      <c r="B1" t="s">
        <v>388</v>
      </c>
      <c r="C1" t="s">
        <v>389</v>
      </c>
    </row>
    <row r="2" spans="1:3" x14ac:dyDescent="0.3">
      <c r="A2" t="s">
        <v>445</v>
      </c>
      <c r="B2" s="1">
        <v>45657</v>
      </c>
      <c r="C2" s="1">
        <v>45684</v>
      </c>
    </row>
    <row r="3" spans="1:3" x14ac:dyDescent="0.3">
      <c r="A3" t="s">
        <v>446</v>
      </c>
      <c r="B3" s="1">
        <v>45685</v>
      </c>
      <c r="C3" s="1">
        <v>45712</v>
      </c>
    </row>
    <row r="4" spans="1:3" x14ac:dyDescent="0.3">
      <c r="A4" t="s">
        <v>447</v>
      </c>
      <c r="B4" s="1">
        <v>45713</v>
      </c>
      <c r="C4" s="1">
        <v>45740</v>
      </c>
    </row>
    <row r="5" spans="1:3" x14ac:dyDescent="0.3">
      <c r="A5" t="s">
        <v>448</v>
      </c>
      <c r="B5" s="1">
        <v>45741</v>
      </c>
      <c r="C5" s="1">
        <v>45768</v>
      </c>
    </row>
    <row r="6" spans="1:3" x14ac:dyDescent="0.3">
      <c r="A6" t="s">
        <v>449</v>
      </c>
      <c r="B6" s="1">
        <v>45769</v>
      </c>
      <c r="C6" s="1">
        <v>45796</v>
      </c>
    </row>
    <row r="7" spans="1:3" x14ac:dyDescent="0.3">
      <c r="A7" t="s">
        <v>450</v>
      </c>
      <c r="B7" s="1">
        <v>45797</v>
      </c>
      <c r="C7" s="1">
        <v>45824</v>
      </c>
    </row>
    <row r="8" spans="1:3" x14ac:dyDescent="0.3">
      <c r="A8" t="s">
        <v>451</v>
      </c>
      <c r="B8" s="1">
        <v>45825</v>
      </c>
      <c r="C8" s="1">
        <v>45852</v>
      </c>
    </row>
    <row r="9" spans="1:3" x14ac:dyDescent="0.3">
      <c r="A9" t="s">
        <v>452</v>
      </c>
      <c r="B9" s="1">
        <v>45853</v>
      </c>
      <c r="C9" s="1">
        <v>45880</v>
      </c>
    </row>
    <row r="10" spans="1:3" x14ac:dyDescent="0.3">
      <c r="A10" t="s">
        <v>453</v>
      </c>
      <c r="B10" s="1">
        <v>45881</v>
      </c>
      <c r="C10" s="1">
        <v>45908</v>
      </c>
    </row>
    <row r="11" spans="1:3" x14ac:dyDescent="0.3">
      <c r="A11" t="s">
        <v>454</v>
      </c>
      <c r="B11" s="1">
        <v>45909</v>
      </c>
      <c r="C11" s="1">
        <v>45936</v>
      </c>
    </row>
    <row r="12" spans="1:3" x14ac:dyDescent="0.3">
      <c r="A12" t="s">
        <v>455</v>
      </c>
      <c r="B12" s="1">
        <v>45937</v>
      </c>
      <c r="C12" s="1">
        <v>45964</v>
      </c>
    </row>
    <row r="13" spans="1:3" x14ac:dyDescent="0.3">
      <c r="A13" t="s">
        <v>456</v>
      </c>
      <c r="B13" s="1">
        <v>45965</v>
      </c>
      <c r="C13" s="1">
        <v>45992</v>
      </c>
    </row>
    <row r="14" spans="1:3" x14ac:dyDescent="0.3">
      <c r="A14" t="s">
        <v>457</v>
      </c>
      <c r="B14" s="1">
        <v>45993</v>
      </c>
      <c r="C14" s="1">
        <v>46020</v>
      </c>
    </row>
    <row r="15" spans="1:3" x14ac:dyDescent="0.3">
      <c r="A15" t="s">
        <v>458</v>
      </c>
      <c r="B15" s="1">
        <v>46021</v>
      </c>
      <c r="C15" s="1">
        <v>46048</v>
      </c>
    </row>
  </sheetData>
  <pageMargins left="0.7" right="0.7" top="0.75" bottom="0.75" header="0.3" footer="0.3"/>
  <pageSetup orientation="portrait" horizontalDpi="1200" verticalDpi="1200"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
  <sheetViews>
    <sheetView rightToLeft="1" workbookViewId="0"/>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7F450B4-A76A-4900-BA2E-E2761C27D3D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C_RPT</vt:lpstr>
      <vt:lpstr>C_R_Burg</vt:lpstr>
      <vt:lpstr>MV_Burg</vt:lpstr>
      <vt:lpstr>MV_BPT</vt:lpstr>
      <vt:lpstr>MV_Theft</vt:lpstr>
      <vt:lpstr>MV_TPT</vt:lpstr>
      <vt:lpstr>Robbery</vt:lpstr>
      <vt:lpstr>RobPT</vt:lpstr>
      <vt:lpstr>Sheet5</vt:lpstr>
      <vt:lpstr>ALL_CRIME</vt:lpstr>
      <vt:lpstr>Sex_Offenses</vt:lpstr>
      <vt:lpstr>5_6</vt:lpstr>
      <vt:lpstr>5_6PT</vt:lpstr>
      <vt:lpstr>7</vt:lpstr>
      <vt:lpstr>7PT</vt:lpstr>
      <vt:lpstr>8</vt:lpstr>
      <vt:lpstr>8pt</vt:lpstr>
      <vt:lpstr>9</vt:lpstr>
      <vt:lpstr>9PT</vt:lpstr>
      <vt:lpstr>SCRPA (2)</vt:lpstr>
      <vt:lpstr>SCRPA</vt:lpstr>
      <vt:lpstr>Templet</vt:lpstr>
      <vt:lpstr>Week_Cycle</vt:lpstr>
      <vt:lpstr>28_cycle</vt:lpstr>
      <vt:lpstr>ورقة1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Carucci</dc:creator>
  <cp:lastModifiedBy>Robert Carucci</cp:lastModifiedBy>
  <dcterms:created xsi:type="dcterms:W3CDTF">2015-06-05T18:17:20Z</dcterms:created>
  <dcterms:modified xsi:type="dcterms:W3CDTF">2025-02-24T21:32:41Z</dcterms:modified>
</cp:coreProperties>
</file>