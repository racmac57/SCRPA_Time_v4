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10.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https://hackensack-my.sharepoint.com/personal/rcarucci_hackensackpd_org/Documents/_25_SCRPA/Place_Based/"/>
    </mc:Choice>
  </mc:AlternateContent>
  <xr:revisionPtr revIDLastSave="439" documentId="8_{A9691D8B-719B-45EE-BDC4-A4230E23A4D8}" xr6:coauthVersionLast="47" xr6:coauthVersionMax="47" xr10:uidLastSave="{6A7396EF-9941-4740-AC61-721100CFEAFB}"/>
  <bookViews>
    <workbookView xWindow="30" yWindow="-16545" windowWidth="31140" windowHeight="15345" tabRatio="746" firstSheet="2" activeTab="4" xr2:uid="{00000000-000D-0000-FFFF-FFFF00000000}"/>
  </bookViews>
  <sheets>
    <sheet name="Bur_C_R_28D (2)" sheetId="34" state="hidden" r:id="rId1"/>
    <sheet name="_7Day_28Day_250414_" sheetId="61" r:id="rId2"/>
    <sheet name="All_Crimes" sheetId="54" r:id="rId3"/>
    <sheet name="Sexual_Offenses" sheetId="53" r:id="rId4"/>
    <sheet name="Robbery" sheetId="52" r:id="rId5"/>
    <sheet name="EXPORT_RMS" sheetId="60" r:id="rId6"/>
    <sheet name="Motor_Vehicle_Theft" sheetId="51" r:id="rId7"/>
    <sheet name="Auto_Burglary" sheetId="50" r:id="rId8"/>
    <sheet name="Burglary_Commercial_Residential" sheetId="49" r:id="rId9"/>
    <sheet name="BUR_C_R_PT" sheetId="11" r:id="rId10"/>
    <sheet name="BUR_AUTO_PT" sheetId="12" r:id="rId11"/>
    <sheet name="_7Day_28Day_250414_ (2)" sheetId="31" state="hidden" r:id="rId12"/>
  </sheets>
  <definedNames>
    <definedName name="_xlcn.WorksheetConnection_Time_SCRPA_Master_2.0.xlsmAll_Crimes1" hidden="1">All_Crimes[]</definedName>
    <definedName name="ExternalData_1" localSheetId="1" hidden="1">'_7Day_28Day_250414_'!$A$1:$G$53</definedName>
    <definedName name="ExternalData_1" localSheetId="11" hidden="1">'_7Day_28Day_250414_ (2)'!$A$1:$G$53</definedName>
    <definedName name="ExternalData_10" localSheetId="2" hidden="1">All_Crimes!$A$1:$AP$117</definedName>
    <definedName name="ExternalData_2" localSheetId="10" hidden="1">BUR_AUTO_PT!#REF!</definedName>
    <definedName name="ExternalData_3" localSheetId="9" hidden="1">BUR_C_R_PT!$M$1:$BN$11</definedName>
    <definedName name="ExternalData_5" localSheetId="8" hidden="1">Burglary_Commercial_Residential!$A$1:$BI$32</definedName>
    <definedName name="ExternalData_6" localSheetId="7" hidden="1">Auto_Burglary!$A$1:$BI$27</definedName>
    <definedName name="ExternalData_6" localSheetId="0" hidden="1">'Bur_C_R_28D (2)'!$A$1:$H$7</definedName>
    <definedName name="ExternalData_7" localSheetId="6" hidden="1">Motor_Vehicle_Theft!$A$1:$AM$29</definedName>
    <definedName name="ExternalData_8" localSheetId="5" hidden="1">EXPORT_RMS!$A$1:$AZ$117</definedName>
    <definedName name="ExternalData_8" localSheetId="4" hidden="1">'Robbery'!$A$1:$BJ$20</definedName>
    <definedName name="ExternalData_9" localSheetId="3" hidden="1">Sexual_Offenses!$A$1:$BJ$12</definedName>
  </definedNames>
  <calcPr calcId="191028"/>
  <pivotCaches>
    <pivotCache cacheId="13" r:id="rId13"/>
    <pivotCache cacheId="21" r:id="rId14"/>
    <pivotCache cacheId="28" r:id="rId1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ll_Crimes" name="All_Crimes" connection="WorksheetConnection_Time_SCRPA_Master_2.0.xlsm!All_Crime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3" i="11" l="1" a="1"/>
  <c r="A33" i="11" s="1"/>
  <c r="A15" i="11" a="1"/>
  <c r="A15" i="11" s="1"/>
  <c r="A35" i="12" a="1"/>
  <c r="A35" i="12" s="1"/>
  <c r="A17" i="12" a="1"/>
  <c r="A17"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_7Day_28Day_250414_" description="Connection to the '_7Day_28Day_250414_' query in the workbook." type="5" refreshedVersion="8" background="1" saveData="1">
    <dbPr connection="Provider=Microsoft.Mashup.OleDb.1;Data Source=$Workbook$;Location=_7Day_28Day_250414_;Extended Properties=&quot;&quot;" command="SELECT * FROM [_7Day_28Day_250414_]"/>
  </connection>
  <connection id="2" xr16:uid="{00000000-0015-0000-FFFF-FFFF01000000}" keepAlive="1" name="Query - All_Crimes" description="Connection to the 'All_Crimes' query in the workbook." type="5" refreshedVersion="8" background="1" saveData="1">
    <dbPr connection="Provider=Microsoft.Mashup.OleDb.1;Data Source=$Workbook$;Location=All_Crimes;Extended Properties=&quot;&quot;" command="SELECT * FROM [All_Crimes]"/>
  </connection>
  <connection id="3" xr16:uid="{00000000-0015-0000-FFFF-FFFF02000000}" keepAlive="1" name="Query - Auto_Burglary" description="Connection to the 'Auto_Burglary' query in the workbook." type="5" refreshedVersion="8" background="1" saveData="1">
    <dbPr connection="Provider=Microsoft.Mashup.OleDb.1;Data Source=$Workbook$;Location=Auto_Burglary;Extended Properties=&quot;&quot;" command="SELECT * FROM [Auto_Burglary]"/>
  </connection>
  <connection id="4" xr16:uid="{00000000-0015-0000-FFFF-FFFF03000000}" keepAlive="1" name="Query - Burglary_Commercial_Residential" description="Connection to the 'Burglary_Commercial_Residential' query in the workbook." type="5" refreshedVersion="8" background="1" saveData="1">
    <dbPr connection="Provider=Microsoft.Mashup.OleDb.1;Data Source=$Workbook$;Location=Burglary_Commercial_Residential;Extended Properties=&quot;&quot;" command="SELECT * FROM [Burglary_Commercial_Residential]"/>
  </connection>
  <connection id="5" xr16:uid="{00000000-0015-0000-FFFF-FFFF04000000}" keepAlive="1" name="Query - EXPORT_RMS" description="Connection to the 'EXPORT_RMS' query in the workbook." type="5" refreshedVersion="8" background="1" saveData="1">
    <dbPr connection="Provider=Microsoft.Mashup.OleDb.1;Data Source=$Workbook$;Location=EXPORT_RMS;Extended Properties=&quot;&quot;" command="SELECT * FROM [EXPORT_RMS]"/>
  </connection>
  <connection id="6" xr16:uid="{00000000-0015-0000-FFFF-FFFF05000000}" keepAlive="1" name="Query - fnExtractAfterKeyword" description="Connection to the 'fnExtractAfterKeyword' query in the workbook." type="5" refreshedVersion="0" background="1">
    <dbPr connection="Provider=Microsoft.Mashup.OleDb.1;Data Source=$Workbook$;Location=fnExtractAfterKeyword;Extended Properties=&quot;&quot;" command="SELECT * FROM [fnExtractAfterKeyword]"/>
  </connection>
  <connection id="7" xr16:uid="{00000000-0015-0000-FFFF-FFFF06000000}" keepAlive="1" name="Query - Motor_Vehicle_Theft" description="Connection to the 'Motor_Vehicle_Theft' query in the workbook." type="5" refreshedVersion="8" background="1" saveData="1">
    <dbPr connection="Provider=Microsoft.Mashup.OleDb.1;Data Source=$Workbook$;Location=Motor_Vehicle_Theft;Extended Properties=&quot;&quot;" command="SELECT * FROM [Motor_Vehicle_Theft]"/>
  </connection>
  <connection id="8" xr16:uid="{00000000-0015-0000-FFFF-FFFF07000000}"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0000000-0015-0000-FFFF-FFFF08000000}"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00000000-0015-0000-FFFF-FFFF09000000}" keepAlive="1" name="Query - Robbery(1)" description="Connection to the 'Robbery' query in the workbook." type="5" refreshedVersion="8" background="1" saveData="1">
    <dbPr connection="Provider=Microsoft.Mashup.OleDb.1;Data Source=$Workbook$;Location=Robbery;Extended Properties=&quot;&quot;" command="SELECT * FROM [Robbery]"/>
  </connection>
  <connection id="11" xr16:uid="{00000000-0015-0000-FFFF-FFFF0A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2" xr16:uid="{00000000-0015-0000-FFFF-FFFF0B000000}"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3" xr16:uid="{00000000-0015-0000-FFFF-FFFF0C000000}" keepAlive="1" name="Query - Sexual_Offenses(1)" description="Connection to the 'Sexual_Offenses' query in the workbook." type="5" refreshedVersion="8" background="1" saveData="1">
    <dbPr connection="Provider=Microsoft.Mashup.OleDb.1;Data Source=$Workbook$;Location=Sexual_Offenses;Extended Properties=&quot;&quot;" command="SELECT * FROM [Sexual_Offenses]"/>
  </connection>
  <connection id="14" xr16:uid="{00000000-0015-0000-FFFF-FFFF0D000000}" keepAlive="1" name="Query - Transform FileB1" description="Connection to the 'Transform FileB1' query in the workbook." type="5" refreshedVersion="0" background="1">
    <dbPr connection="Provider=Microsoft.Mashup.OleDb.1;Data Source=$Workbook$;Location=&quot;Transform FileB1&quot;;Extended Properties=&quot;&quot;" command="SELECT * FROM [Transform FileB1]"/>
  </connection>
  <connection id="15" xr16:uid="{00000000-0015-0000-FFFF-FFFF0E000000}"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6" xr16:uid="{00000000-0015-0000-FFFF-FFFF0F000000}" keepAlive="1" name="Query - Transform_FileA1" description="Connection to the 'Transform_FileA1' query in the workbook." type="5" refreshedVersion="0" background="1">
    <dbPr connection="Provider=Microsoft.Mashup.OleDb.1;Data Source=$Workbook$;Location=Transform_FileA1;Extended Properties=&quot;&quot;" command="SELECT * FROM [Transform_FileA1]"/>
  </connection>
  <connection id="17" xr16:uid="{00000000-0015-0000-FFFF-FFFF10000000}" keepAlive="1" name="Query - Transform_FileA2" description="Connection to the 'Transform_FileA2' query in the workbook." type="5" refreshedVersion="0" background="1">
    <dbPr connection="Provider=Microsoft.Mashup.OleDb.1;Data Source=$Workbook$;Location=Transform_FileA2;Extended Properties=&quot;&quot;" command="SELECT * FROM [Transform_FileA2]"/>
  </connection>
  <connection id="18" xr16:uid="{00000000-0015-0000-FFFF-FFFF11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00000000-0015-0000-FFFF-FFFF12000000}" name="WorksheetConnection_Time_SCRPA_Master_2.0.xlsm!All_Crimes" type="102" refreshedVersion="8" minRefreshableVersion="5">
    <extLst>
      <ext xmlns:x15="http://schemas.microsoft.com/office/spreadsheetml/2010/11/main" uri="{DE250136-89BD-433C-8126-D09CA5730AF9}">
        <x15:connection id="All_Crimes" autoDelete="1">
          <x15:rangePr sourceName="_xlcn.WorksheetConnection_Time_SCRPA_Master_2.0.xlsmAll_Crimes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All_Crimes].[ALL_INCIDENTS].&amp;[Sexual Assault - 2C:14-2b],[All_Crimes].[ALL_INCIDENTS].&amp;[Criminal Sexual Contact - 2C:14-3a],[All_Crimes].[ALL_INCIDENTS].&amp;[Sexual Assault - 2C:14-2b - Juvenile Investigation],[All_Crimes].[ALL_INCIDENTS].&amp;[Exceptionally Cleared/Closed - Sexual Assault - 2C:14-2b],[All_Crimes].[ALL_INCIDENTS].&amp;[Criminal Sexual Contact - 2C:14-3a - Juvenile Investigation],[All_Crimes].[ALL_INCIDENTS].&amp;[Mental Health Incident - Sexual Assault - 2C:14-2b - Juvenile Investigation]}"/>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<sst xmlns="http://schemas.openxmlformats.org/spreadsheetml/2006/main" count="9289" uniqueCount="1134">
  <si>
    <t>CaseID</t>
  </si>
  <si>
    <t>Block</t>
  </si>
  <si>
    <t>Incident Date</t>
  </si>
  <si>
    <t>Day of Week</t>
  </si>
  <si>
    <t>Time of Day</t>
  </si>
  <si>
    <t>Suspect</t>
  </si>
  <si>
    <t>Property Stolen</t>
  </si>
  <si>
    <t>Notes</t>
  </si>
  <si>
    <t>Essex St, 200 Block</t>
  </si>
  <si>
    <t>Thur</t>
  </si>
  <si>
    <t>Night (20:00-23:59)</t>
  </si>
  <si>
    <t/>
  </si>
  <si>
    <t>$26.99. Melanie Esquiveo then responded to police headquarters to provide a statement to detectives</t>
  </si>
  <si>
    <t>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"Jorge Williams".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t>
  </si>
  <si>
    <t>Park Ave, 0 Block</t>
  </si>
  <si>
    <t>suspect stated after observing the broken door, he entered his apartment and found drawers, cabinets, and his bedroom door were opened suspects suspect departed his residence suspects appeared to only have gone into a select pair of jeans which contained the rolex watch suspects entered stairwell 3, located across from the victim's apartment at approximately 0030 hours suspects were then viewed leaving the apartment approximately six (6) minutes later at 0036 hours suspects involved, please refer to detective sergeant williams case report suspects if identified</t>
  </si>
  <si>
    <t>$10,000.00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$8,000.00 dollars was stolen. The bracelet was located on the top of the TV stand $8,000.00 dollars was stolen. The necklace was located in the apartment bedroom $4,000.00 dollars.   A Nintendo Switch (Gaming Console) valued at approximately  $300.00 dollars was stolen. The gaming console was located on the living room couch</t>
  </si>
  <si>
    <t>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t>
  </si>
  <si>
    <t>Essex St, 100 Block</t>
  </si>
  <si>
    <t>Mon</t>
  </si>
  <si>
    <t>Afternoon (12:00-15:59)</t>
  </si>
  <si>
    <t>suspect was inside his apartment, were visible suspect suspect a few weeks prior and seeing him briefly today</t>
  </si>
  <si>
    <t>$50.00 USD inside, attached to four (4) keys and one (1) safety deposit box key. Total loss of  $200.00 USD.     The victim stated in effect that he took a shower at approximately 0500 hours today</t>
  </si>
  <si>
    <t>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"Asaad Martinez-Pollard" may be the suspect. The victim reported being assaulted by the suspect a few weeks prior and seeing him briefly today. See Case #25-010292 for further. A NJ Victim Notification form was completed and a copy was provided to the victim. Detective DeBonis was advised.</t>
  </si>
  <si>
    <t>Fair St, 0 Block</t>
  </si>
  <si>
    <t>Tue</t>
  </si>
  <si>
    <t>On Friday, April 4, 2025, at approximately 13:15 hours, I responded in marked radio car #108 to 75 Fair Street, Apt. 1, for a report of a burglary to a residence.  Upon arrival, I spoke to SANDY JOHNSON, the victim's neighbor, who stated that the listed residence was burglarized.     JOHNSON stated that the victim has been at New Bridge Medical Center's intensive care unit for over month and she has permission from the victim to check on her apartment.  JOHNSON further stated that she regularly checks the victim's mailbox and puts the victim's mail inside the victim's apartment which is reported to be left unlocked at all times.  On Tuesday, 04/01/2025 at approximately 12:00 hours, JOHNSON entered the apartment to drop off the victim's mail and check the apartment, specifically checking to make sure that the TV in the victim's bedroom was still there.  The TV was last seen at this time.  On today's date at approximately 12:30 hours,  JOHNSON entered the apartment and noticed that the TV in the victim's bedroom was missing.  JOHNSON left the apartment and notified the complainant (victim's son).       I requested a supervisor to which Sgt. Tovbin responded.  Upon his arrival, we cleared the apartment which yielded negative results for unwanted persons.  Sgt. Tovbin notified Det. Sgt. Tripodi regarding the incident.  Det. Sgt. Tripodi received consent to process the scene from the complainant on the victim's behalf via telephone.  Det. Sgt. Tripodi, Det. G. Lara-Nunez and Det. Dogali responded on scene.  Bergen County Sheriff's Office BCI Unit responded on scene.  Det. Colon #1952 photographed the scene, see BCI case number #2025-0211.  The door to the apartment was secured by JOHNSON.</t>
  </si>
  <si>
    <t>Hudson St, 100 Block</t>
  </si>
  <si>
    <t>$26.00 Manuel stated he believes the total loss is  $400.00.    Tomas Lopez stated he was missing:          3 Dewalt drill sets          A necklace          A watch           2 Samsung Tablets           $50.00.Tomas stated he believes the total loss is  $700.00.     There was also no sign of forced entry</t>
  </si>
  <si>
    <t>I responded to the listed location on a report of a suspicious incident. Upon arrival, I spoke to the home residents who stated somebody entered their apartment and took their belongings. The victims explained that they were going through an eviction process so they were unable to enter the apartment for a couple of days. They then explained that they fixed the issue and when they returned to their apartment, some of their belongings were missing.    The victims advised that they left the apartment on April 8th, 2025 and returned on today's date.    Manuel Vasquez stated he was missing:           3 Citizen watches           3 Gold necklaces           $26.00 Manuel stated he believes the total loss is $400.00.    Tomas Lopez stated he was missing:          3 Dewalt drill sets          A necklace          A watch           2 Samsung Tablets          $50.00.Tomas stated he believes the total loss is $700.00.     There was also no sign of forced entry.     The victims stated that prior to contacting the police they touched several items in the apartment thus contaminating the scene.</t>
  </si>
  <si>
    <t>Prospect Ave, 0 Block</t>
  </si>
  <si>
    <t>Sun</t>
  </si>
  <si>
    <t>Evening Peak (16:00-19:59)</t>
  </si>
  <si>
    <t>$50.00 to repair. The victim also reported a broken mirror which cost him approximately  $150.00.     The victim reported he has never had issues with the arrestee until the divorce proceeding with his daughter was initiated</t>
  </si>
  <si>
    <t>On April 13, 2025 at approximately 18:44 hours, P.O. Alvarez, SPO Abueg, and I responded to 64 prospect ave apt #B9 for a 911 call for a possible fight.     Upon arrival, I observed a black male, wearing a black leather jacket with white on the boarders, grey jeans, black and red shoes, with short hair, running out of the apartment complex. I attempted to stop the party but he fled running to the rear of 77 Prospect Ave. As I was unaware if the person who fled was involved in the incident I responded to apartment #B9 where I observed the door half open, glass on the floor, and the apartment to be in disarray.     At that moment, Anthony Campbell (victim hereafter), walked out. I observed a laceration to his forehead. The victim also complained of right leg pain. I observed a laceration to his right leg. Hackensack EMS #134 were on scene. They evaluated the victim and he signed an RMA form.     The victim reported he was sitting in his apartment when he began to hear loud banging. The victim reported he made his way to the front door to investigate the sound. The victim reported as he approached the door, it swung open violently. The victim reported he then saw Michael Dearmas (arrestee hereafter) standing on the outside. It should be noted that Dearmas matched the description of the person who fled upon my arrival to the building. The victim reported the arrestee then ran into the apartment and grabbed him by the shirt striking him in the head in the process. The victim reported he then attempted to back up to call 911 to which the arrestee then yelled " I am going to kill you ". The victim reported the arrestee then ran out of the apartment.      The victim reported damage to the front door which would cost approximately $50.00 to repair. The victim also reported a broken mirror which cost him approximately $150.00.     The victim reported he has never had issues with the arrestee until the divorce proceeding with his daughter was initiated. Sgt. Ghirardi arrived on scene. Sgt. Ghirardi notified Det. Tanucilli. Det. Tanucilli arrived on scene.  I asked the victim if he wished to have the scene processed to which he accepted. A Hackensack Police Consent to Search form was completed and turned over to Det. Tanucilli upon his arrival on scene. BCSO Det. S. Delacruz #1955 arrived on scene. Det. Delacruz photographed and processed the scene. See BCSO case number #2025-0233 for more.       While on scene, Sgt. Ghirardi was speaking to the victims daughter on the phone when she received a call from the arrestee. The victims daughter placed the call on 3-way where he disclosed he was standing in front of a liquor store on Lehigh St. Communications was able to confirm the arrestees location via security cameras. P.O. Vicale, SPO Abueg, P.O. Voorhis, P.O. Caero, and P.O. Alvarez made their way to the arrestees location. Upon arrival, the arrestee again fled on an electric bicycle heading south into the NJ Transit Station Lot on Essex St. P.O. Vicale activated his exterior emergency warning lights in attempted to stop the arrestee.     Upon reaching the back of the parking lot the arrestee jumped off the bicycle and ran onto the train tracks. The arrestee then jumped into a small creek but surrendered to P.O. Vicale shortly after. The arrestee was pulled out of the creek by P.O. Vicale and handcuffed behind his back. The arrestee then requested an ambulance for leg pain. The arrestee was transported to Hackensack Hospital. The arrestee was searched before and after the transported which yielded negative results for contraband. P.O. Voorhis rode in the ambulance with the arrestee while P.O. Vicale followed.     At approximately 21:00 the victim contacted the Hackensack Police Headquarters advising he had located the arrestees phone inside the apartment. I responded to the apartment to secure the phone as evidence. The phone was tagged and secured in evidence locker #2.      Communication confirmed the arrestee had active warrant #W-2025-000167 out of this jurisdiction.        The arrestee also had warrant # W-2025-000078 and 1604-W-2025-000080 from Hawthrone PD.     The victims daughter, Toya Campbell-Dearmas, had active FRO #FV-14-001021-25 against the arrestee. The victims address is listed on the FRO.      The bicycle the arrestee was on was logged into property and secured in bulk storage in the old police garage.       A New Jersey Victim Notification form was filled out and a copy was provided to the victim.      Lt. Klosk authored complainant #W 2025 000178 0223 on my behalf for the charges of 2C:18-2, 2C:12-3, 2C12-1a, 2C:17-3, 2C:25-31.</t>
  </si>
  <si>
    <t>Report_Due_Date</t>
  </si>
  <si>
    <t>7_Day_Start</t>
  </si>
  <si>
    <t>7_Day_End</t>
  </si>
  <si>
    <t>28_Day_Start</t>
  </si>
  <si>
    <t>28_Day_End</t>
  </si>
  <si>
    <t>Report_Name</t>
  </si>
  <si>
    <t>Is_Due</t>
  </si>
  <si>
    <t>C01W01</t>
  </si>
  <si>
    <t>C01W02</t>
  </si>
  <si>
    <t>C01W03</t>
  </si>
  <si>
    <t>C01W04</t>
  </si>
  <si>
    <t>C02W05</t>
  </si>
  <si>
    <t>C02W06</t>
  </si>
  <si>
    <t>C02W07</t>
  </si>
  <si>
    <t>C02W08</t>
  </si>
  <si>
    <t>C03W09</t>
  </si>
  <si>
    <t>C03W10</t>
  </si>
  <si>
    <t>C03W11</t>
  </si>
  <si>
    <t>C03W12</t>
  </si>
  <si>
    <t>C04W13</t>
  </si>
  <si>
    <t>C04W14</t>
  </si>
  <si>
    <t>C04W15</t>
  </si>
  <si>
    <t>C04W16</t>
  </si>
  <si>
    <t>C05W17</t>
  </si>
  <si>
    <t>C05W18</t>
  </si>
  <si>
    <t>C05W19</t>
  </si>
  <si>
    <t>C05W20</t>
  </si>
  <si>
    <t>C06W21</t>
  </si>
  <si>
    <t>C06W23</t>
  </si>
  <si>
    <t>C06W24</t>
  </si>
  <si>
    <t>C07W25</t>
  </si>
  <si>
    <t>C07W26</t>
  </si>
  <si>
    <t>C07W27</t>
  </si>
  <si>
    <t>C07W28</t>
  </si>
  <si>
    <t>C08W29</t>
  </si>
  <si>
    <t>C08W30</t>
  </si>
  <si>
    <t>C08W31</t>
  </si>
  <si>
    <t>C08W32</t>
  </si>
  <si>
    <t>C09W33</t>
  </si>
  <si>
    <t>C09W34</t>
  </si>
  <si>
    <t>C09W35</t>
  </si>
  <si>
    <t>C09W36</t>
  </si>
  <si>
    <t>C10W37</t>
  </si>
  <si>
    <t>C10W38</t>
  </si>
  <si>
    <t>C10W39</t>
  </si>
  <si>
    <t>C10W40</t>
  </si>
  <si>
    <t>C11W41</t>
  </si>
  <si>
    <t>C11W42</t>
  </si>
  <si>
    <t>C11W43</t>
  </si>
  <si>
    <t>C11W44</t>
  </si>
  <si>
    <t>C12W45</t>
  </si>
  <si>
    <t>C12W46</t>
  </si>
  <si>
    <t>C12W47</t>
  </si>
  <si>
    <t>C12W48</t>
  </si>
  <si>
    <t>C13W49</t>
  </si>
  <si>
    <t>C13W50</t>
  </si>
  <si>
    <t>C13W51</t>
  </si>
  <si>
    <t>C13W52</t>
  </si>
  <si>
    <t>Case Number</t>
  </si>
  <si>
    <t>IncidentDate</t>
  </si>
  <si>
    <t>Incident Time</t>
  </si>
  <si>
    <t>Incident Type_1</t>
  </si>
  <si>
    <t>Incident Type_2</t>
  </si>
  <si>
    <t>Incident Type_3</t>
  </si>
  <si>
    <t>FullAddress</t>
  </si>
  <si>
    <t>Grid</t>
  </si>
  <si>
    <t>Zone</t>
  </si>
  <si>
    <t>Narrative</t>
  </si>
  <si>
    <t>Total Value Stolen</t>
  </si>
  <si>
    <t>Total Value Recover</t>
  </si>
  <si>
    <t>Registration 1</t>
  </si>
  <si>
    <t>Make1</t>
  </si>
  <si>
    <t>Model1</t>
  </si>
  <si>
    <t>Reg State 1</t>
  </si>
  <si>
    <t>Registration 2</t>
  </si>
  <si>
    <t>Reg State 2</t>
  </si>
  <si>
    <t>Make2</t>
  </si>
  <si>
    <t>Model2</t>
  </si>
  <si>
    <t>Reviewed By</t>
  </si>
  <si>
    <t>Officer of Record</t>
  </si>
  <si>
    <t>Squad</t>
  </si>
  <si>
    <t>Det_Assigned</t>
  </si>
  <si>
    <t>Case_Status</t>
  </si>
  <si>
    <t>NibrsClassification</t>
  </si>
  <si>
    <t>IncDate</t>
  </si>
  <si>
    <t>IncTime</t>
  </si>
  <si>
    <t>StartOfHour</t>
  </si>
  <si>
    <t>TimeOfDay</t>
  </si>
  <si>
    <t>ALL_INCIDENTS</t>
  </si>
  <si>
    <t>Period</t>
  </si>
  <si>
    <t>INC_TIME</t>
  </si>
  <si>
    <t>INC_DATE</t>
  </si>
  <si>
    <t>Enhanced_TimeOfDay</t>
  </si>
  <si>
    <t>Day Name</t>
  </si>
  <si>
    <t>Month Name</t>
  </si>
  <si>
    <t>Year</t>
  </si>
  <si>
    <t>Week of Year</t>
  </si>
  <si>
    <t>Day</t>
  </si>
  <si>
    <t>BLOCK_Enhanced</t>
  </si>
  <si>
    <t>Crime_Category</t>
  </si>
  <si>
    <t>25-014007</t>
  </si>
  <si>
    <t>Sexual Assault - 2C:14-2b</t>
  </si>
  <si>
    <t>360 Union Street, Hackensack, NJ, 07601</t>
  </si>
  <si>
    <t>H2</t>
  </si>
  <si>
    <t>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Detectives.</t>
  </si>
  <si>
    <t>Deleon_A</t>
  </si>
  <si>
    <t>P.O. Angie Tabares 363</t>
  </si>
  <si>
    <t>A3</t>
  </si>
  <si>
    <t>Det. Frankie Garrett 323</t>
  </si>
  <si>
    <t>Cleared - Arrest</t>
  </si>
  <si>
    <t>36A = Incest</t>
  </si>
  <si>
    <t>Afternoon (12:00–15:59)</t>
  </si>
  <si>
    <t>Historical</t>
  </si>
  <si>
    <t>Tuesday</t>
  </si>
  <si>
    <t>June</t>
  </si>
  <si>
    <t>Union Street, 300 Block</t>
  </si>
  <si>
    <t>Criminal Incidents</t>
  </si>
  <si>
    <t>(Multiple Items)</t>
  </si>
  <si>
    <t>25-000813</t>
  </si>
  <si>
    <t>Motor Vehicle Theft - 2C:20-3</t>
  </si>
  <si>
    <t>309 Lookout Avenue, Hackensack, NJ, 07601</t>
  </si>
  <si>
    <t>I2</t>
  </si>
  <si>
    <t>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t>
  </si>
  <si>
    <t>W46ULY</t>
  </si>
  <si>
    <t>HONDA</t>
  </si>
  <si>
    <t>ACC</t>
  </si>
  <si>
    <t>NJ</t>
  </si>
  <si>
    <t>Klosk_J</t>
  </si>
  <si>
    <t>P.O. Nicholas Mazzaccaro 377</t>
  </si>
  <si>
    <t>B4</t>
  </si>
  <si>
    <t>Det. Robert Ghirardi 150</t>
  </si>
  <si>
    <t>Active/Administratively Closed</t>
  </si>
  <si>
    <t>240 = Theft of Motor Vehicle</t>
  </si>
  <si>
    <t>Night (20:00–23:59)</t>
  </si>
  <si>
    <t>YTD</t>
  </si>
  <si>
    <t>Friday</t>
  </si>
  <si>
    <t>January</t>
  </si>
  <si>
    <t>Lookout Avenue, 300 Block</t>
  </si>
  <si>
    <t>25-002635</t>
  </si>
  <si>
    <t>Burglary - Auto - 2C:18-2</t>
  </si>
  <si>
    <t>90 Prospect Avenue, Hackensack, NJ, 07601</t>
  </si>
  <si>
    <t>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t>
  </si>
  <si>
    <t>XCSW43</t>
  </si>
  <si>
    <t>PIL</t>
  </si>
  <si>
    <t>P.O. Ruben Almonte 359</t>
  </si>
  <si>
    <t>Det. Matthew DeBonis 325</t>
  </si>
  <si>
    <t>Active Investigation</t>
  </si>
  <si>
    <t>23F = Theft From Motor Vehicle</t>
  </si>
  <si>
    <t>Monday</t>
  </si>
  <si>
    <t>Prospect Avenue, 0 Block</t>
  </si>
  <si>
    <t>Count of Case Number</t>
  </si>
  <si>
    <t>Column Labels</t>
  </si>
  <si>
    <t>25-002564</t>
  </si>
  <si>
    <t>Criminal Sexual Contact - 2C:14-3a</t>
  </si>
  <si>
    <t>Juvenile Investigation</t>
  </si>
  <si>
    <t>135 First Street, Hackensack, NJ, 07601</t>
  </si>
  <si>
    <t>G3</t>
  </si>
  <si>
    <t>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t>
  </si>
  <si>
    <t>Dominguez_L</t>
  </si>
  <si>
    <t>Det. Cristobal Lara-Nunez 341</t>
  </si>
  <si>
    <t>STA</t>
  </si>
  <si>
    <t>Det. Evelyn Reyes 336</t>
  </si>
  <si>
    <t>11D = Fondling</t>
  </si>
  <si>
    <t>Criminal Sexual Contact - 2C:14-3a - Juvenile Investigation</t>
  </si>
  <si>
    <t>First Street, 100 Block</t>
  </si>
  <si>
    <t>Juvenile-Related Incidents</t>
  </si>
  <si>
    <t>Row Labels</t>
  </si>
  <si>
    <t>Grand Total</t>
  </si>
  <si>
    <t>25-003362</t>
  </si>
  <si>
    <t>Dispute</t>
  </si>
  <si>
    <t>Criminal Attempt - 2C:5-1</t>
  </si>
  <si>
    <t>Robbery - 2C:15-1</t>
  </si>
  <si>
    <t>204 Clay Street, Hackensack, NJ, 07601</t>
  </si>
  <si>
    <t>H3</t>
  </si>
  <si>
    <t>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t>
  </si>
  <si>
    <t>P.O. Forrod Bonsu 353</t>
  </si>
  <si>
    <t>B1</t>
  </si>
  <si>
    <t>Station House Adjustment</t>
  </si>
  <si>
    <t>120 = Robbery</t>
  </si>
  <si>
    <t>Dispute - Criminal Attempt - 2C:5-1 - Robbery - 2C:15-1</t>
  </si>
  <si>
    <t>Clay Street, 200 Block</t>
  </si>
  <si>
    <t>Public Safety and Welfare</t>
  </si>
  <si>
    <t>25-003813</t>
  </si>
  <si>
    <t>Resisting Arrest/Eluding - 2C:29-2</t>
  </si>
  <si>
    <t>Suspicious Person</t>
  </si>
  <si>
    <t>450 Hackensack Avenue, Hackensack, NJ, 07601</t>
  </si>
  <si>
    <t>I6</t>
  </si>
  <si>
    <t>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t>
  </si>
  <si>
    <t>Y82VDS</t>
  </si>
  <si>
    <t>VOLKS</t>
  </si>
  <si>
    <t>ATL</t>
  </si>
  <si>
    <t>Swetits_M</t>
  </si>
  <si>
    <t>b2</t>
  </si>
  <si>
    <t>Det. John Tanucilli 335</t>
  </si>
  <si>
    <t>Robbery - 2C:15-1 - Resisting Arrest/Eluding - 2C:29-2 - Suspicious Person</t>
  </si>
  <si>
    <t>Hackensack Avenue, 400 Block</t>
  </si>
  <si>
    <t>Investigations and Follow-Ups</t>
  </si>
  <si>
    <t>25-004097</t>
  </si>
  <si>
    <t>244 First Street, Hackensack, NJ, 07601</t>
  </si>
  <si>
    <t>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t>
  </si>
  <si>
    <t>U38ULG</t>
  </si>
  <si>
    <t>CIV</t>
  </si>
  <si>
    <t>P.O. Frank Lorenzo 371</t>
  </si>
  <si>
    <t>b1</t>
  </si>
  <si>
    <t>Wednesday</t>
  </si>
  <si>
    <t>First Street, 200 Block</t>
  </si>
  <si>
    <t>25-004478</t>
  </si>
  <si>
    <t>Burglary - Residence - 2C:18-2</t>
  </si>
  <si>
    <t>30 Second Street, Hackensack, NJ, 07601</t>
  </si>
  <si>
    <t>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t>
  </si>
  <si>
    <t>P.O. Aziah Miller 357</t>
  </si>
  <si>
    <t>220 = Burglary/Breaking &amp; Entering</t>
  </si>
  <si>
    <t>Thursday</t>
  </si>
  <si>
    <t>Second Street, 0 Block</t>
  </si>
  <si>
    <t>25-004629</t>
  </si>
  <si>
    <t>630 Main Street, Hackensack, NJ, 07601</t>
  </si>
  <si>
    <t>I1</t>
  </si>
  <si>
    <t>Suspect 1: Hispanic male, approximately early 30' s in age, approximately 5'10" in height, approximately 180 in weight, wearing a tan hooded sweater, brown "NY" Yankees logo hat, black sweatpants and white sneakers.Suspect 2: Hispanic female, approximately mid 20's in age, approximately 5'5"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t>
  </si>
  <si>
    <t>HYUNDAI</t>
  </si>
  <si>
    <t>SONATA</t>
  </si>
  <si>
    <t>P.O. Massimo Gallorini 379</t>
  </si>
  <si>
    <t>A2</t>
  </si>
  <si>
    <t>Det. John Mora 257</t>
  </si>
  <si>
    <t>Main Street, 600 Block</t>
  </si>
  <si>
    <t>25-005871</t>
  </si>
  <si>
    <t>33 Ross Avenue, Hackensack, NJ, 07601</t>
  </si>
  <si>
    <t>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t>
  </si>
  <si>
    <t>U22RSV</t>
  </si>
  <si>
    <t>PAS</t>
  </si>
  <si>
    <t>Tovbin_S</t>
  </si>
  <si>
    <t>P.O. Roselys Salas 369</t>
  </si>
  <si>
    <t>Evening Peak (16:00–19:59)</t>
  </si>
  <si>
    <t>Ross Avenue, 0 Block</t>
  </si>
  <si>
    <t>25-006083</t>
  </si>
  <si>
    <t>443 Hudson Street, Hackensack, NJ, 07601</t>
  </si>
  <si>
    <t>E3</t>
  </si>
  <si>
    <t>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"the vehicle was towed off the property early morning and he got some money for it."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t>
  </si>
  <si>
    <t>Y62SRJ</t>
  </si>
  <si>
    <t>NISSAN</t>
  </si>
  <si>
    <t>PTH</t>
  </si>
  <si>
    <t>Det. Demetrius Carroll 133</t>
  </si>
  <si>
    <t>Morning Peak (08:00–11:59)</t>
  </si>
  <si>
    <t>Hudson Street, 400 Block</t>
  </si>
  <si>
    <t>25-006324</t>
  </si>
  <si>
    <t>176  Berdan Place, Hackensack, NJ, 07601</t>
  </si>
  <si>
    <t>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t>
  </si>
  <si>
    <t>Bay_F</t>
  </si>
  <si>
    <t>DET</t>
  </si>
  <si>
    <t>TOT DCP&amp;P</t>
  </si>
  <si>
    <t>Sexual Assault - 2C:14-2b - Juvenile Investigation</t>
  </si>
  <si>
    <t>Berdan Place, 100 Block</t>
  </si>
  <si>
    <t>25-006864</t>
  </si>
  <si>
    <t>60 Kansas Street, Hackensack, NJ, 07601</t>
  </si>
  <si>
    <t>E1</t>
  </si>
  <si>
    <t>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t>
  </si>
  <si>
    <t>Levis_R</t>
  </si>
  <si>
    <t>P.O. Andres Lopez 375</t>
  </si>
  <si>
    <t>Saturday</t>
  </si>
  <si>
    <t>Kansas Street, 0 Block</t>
  </si>
  <si>
    <t>25-007074</t>
  </si>
  <si>
    <t>Theft - 2C:20-3</t>
  </si>
  <si>
    <t>206 Stanley Place, Hackensack, NJ, 07601</t>
  </si>
  <si>
    <t>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t>
  </si>
  <si>
    <t>R36GBB</t>
  </si>
  <si>
    <t>CRV</t>
  </si>
  <si>
    <t>Sgt. Franklin Bay 162</t>
  </si>
  <si>
    <t>No Investigation</t>
  </si>
  <si>
    <t>Burglary - Auto - 2C:18-2 - Theft - 2C:20-3</t>
  </si>
  <si>
    <t>Stanley Place, 200 Block</t>
  </si>
  <si>
    <t>25-007197</t>
  </si>
  <si>
    <t>5 Pangborn Place, Hackensack, NJ, 07601</t>
  </si>
  <si>
    <t>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t>
  </si>
  <si>
    <t>R97RYW</t>
  </si>
  <si>
    <t>ODY</t>
  </si>
  <si>
    <t>P.O. Micah Gibson 365</t>
  </si>
  <si>
    <t>Det. Matthew Dogali 338</t>
  </si>
  <si>
    <t>Sunday</t>
  </si>
  <si>
    <t>Pangborn Place, 0 Block</t>
  </si>
  <si>
    <t>25-008075</t>
  </si>
  <si>
    <t>119 Essex Street, Hackensack, NJ, 07601</t>
  </si>
  <si>
    <t>F1</t>
  </si>
  <si>
    <t>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t>
  </si>
  <si>
    <t>K84CXU</t>
  </si>
  <si>
    <t>LEXUS</t>
  </si>
  <si>
    <t>ES</t>
  </si>
  <si>
    <t>Ex-Cleared / Closed</t>
  </si>
  <si>
    <t>Motor Vehicle Theft - 2C:20-3 - Theft - 2C:20-3</t>
  </si>
  <si>
    <t>Essex Street, 100 Block</t>
  </si>
  <si>
    <t>25-008551</t>
  </si>
  <si>
    <t>292 The Esplanade, Hackensack, NJ, 07601</t>
  </si>
  <si>
    <t>H5</t>
  </si>
  <si>
    <t>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t>
  </si>
  <si>
    <t>P.O. Denisse Caero 367</t>
  </si>
  <si>
    <t>B2</t>
  </si>
  <si>
    <t>The Esplanade, 200 Block</t>
  </si>
  <si>
    <t>25-010788</t>
  </si>
  <si>
    <t>535 Hudson Street, Hackensack, NJ, 07601</t>
  </si>
  <si>
    <t>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t>
  </si>
  <si>
    <t>S70MPZ</t>
  </si>
  <si>
    <t>P.O. Daniel Francavilla 329</t>
  </si>
  <si>
    <t>Hudson Street, 500 Block</t>
  </si>
  <si>
    <t>25-008777</t>
  </si>
  <si>
    <t>453 Sutton Avenue, Hackensack, NJ, 07601</t>
  </si>
  <si>
    <t>F2</t>
  </si>
  <si>
    <t>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t>
  </si>
  <si>
    <t>P77UZJ</t>
  </si>
  <si>
    <t>FORD</t>
  </si>
  <si>
    <t>CRO</t>
  </si>
  <si>
    <t>Early Morning (00:00–03:59)</t>
  </si>
  <si>
    <t>February</t>
  </si>
  <si>
    <t>Sutton Avenue, 400 Block</t>
  </si>
  <si>
    <t>25-009348</t>
  </si>
  <si>
    <t>Suspicious Incident</t>
  </si>
  <si>
    <t>144 Hudson Street, Hackensack, NJ, 07601</t>
  </si>
  <si>
    <t>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t>
  </si>
  <si>
    <t>Sgt. Francesco Tripodi 134</t>
  </si>
  <si>
    <t>Suspicious Incident - Robbery - 2C:15-1</t>
  </si>
  <si>
    <t>Hudson Street, 100 Block</t>
  </si>
  <si>
    <t>25-009438</t>
  </si>
  <si>
    <t>400 Hackensack Avenue, Hackensack, NJ, 07601</t>
  </si>
  <si>
    <t>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</si>
  <si>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25-009657</t>
  </si>
  <si>
    <t>55 Midtown Bridge Approach, Hackensack, NJ, 07601</t>
  </si>
  <si>
    <t>H1</t>
  </si>
  <si>
    <t>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t>
  </si>
  <si>
    <t>AM82732</t>
  </si>
  <si>
    <t>RAM</t>
  </si>
  <si>
    <t>PROMASTER</t>
  </si>
  <si>
    <t>AZ</t>
  </si>
  <si>
    <t>Complaint Signed</t>
  </si>
  <si>
    <t>Midtown Bridge Approach, 0 Block</t>
  </si>
  <si>
    <t>25-009831</t>
  </si>
  <si>
    <t>Burglary - Commercial - 2C:18-2</t>
  </si>
  <si>
    <t>Alarm - Burglar</t>
  </si>
  <si>
    <t>441 Passaic Street, Hackensack, NJ, 07601</t>
  </si>
  <si>
    <t>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t>
  </si>
  <si>
    <t>P.O. Benjamin Estrada 350</t>
  </si>
  <si>
    <t>Det. Frank Scarpa 348</t>
  </si>
  <si>
    <t>Burglary - Commercial - 2C:18-2 - Alarm - Burglar</t>
  </si>
  <si>
    <t>Passaic Street, 400 Block</t>
  </si>
  <si>
    <t>Emergency Response</t>
  </si>
  <si>
    <t>25-010474</t>
  </si>
  <si>
    <t>170 Hudson Street, Hackensack, NJ, 07601</t>
  </si>
  <si>
    <t>E2</t>
  </si>
  <si>
    <t>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t>
  </si>
  <si>
    <t>T12SSE</t>
  </si>
  <si>
    <t>DODGE</t>
  </si>
  <si>
    <t>CAR</t>
  </si>
  <si>
    <t>P.O. Matthew Tedesco 316</t>
  </si>
  <si>
    <t>B3</t>
  </si>
  <si>
    <t>Morning (04:00–07:59)</t>
  </si>
  <si>
    <t>25-012110</t>
  </si>
  <si>
    <t>Assist Other Agency</t>
  </si>
  <si>
    <t>Aggravated Assault - 2C:12-1b</t>
  </si>
  <si>
    <t>128 Christopher Columbus Drive, Jersey City, NJ 07302, Hackensack, NJ, 07601</t>
  </si>
  <si>
    <t>I5</t>
  </si>
  <si>
    <t>Victim and suspect were in a dating relationship for approximately 9 months.    I responded to Police Headquarters on a report of Domestic Violence. Upon arrival I met with the Victim who stated on 02/13/2025 at approximately 0200 hours she was at a bar called "Six26"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t>
  </si>
  <si>
    <t>Briggs_S</t>
  </si>
  <si>
    <t>P.O. Angelo Vicale 370</t>
  </si>
  <si>
    <t>TOT Outside Jurisdiction</t>
  </si>
  <si>
    <t>Assist Other Agency - Aggravated Assault - 2C:12-1b - Robbery - 2C:15-1</t>
  </si>
  <si>
    <t>Christopher Columbus Drive, 100 Block</t>
  </si>
  <si>
    <t>Assistance and Mutual Aid</t>
  </si>
  <si>
    <t>25-012325</t>
  </si>
  <si>
    <t>East Pleasantview Avenue &amp; Kipp Street, Hackensack, NJ, 07601</t>
  </si>
  <si>
    <t>F3</t>
  </si>
  <si>
    <t>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t>
  </si>
  <si>
    <t>XGDR55</t>
  </si>
  <si>
    <t>R1Z</t>
  </si>
  <si>
    <t>Pleasantview Avenue &amp; Kipp Street, Unknown Block</t>
  </si>
  <si>
    <t>25-013091</t>
  </si>
  <si>
    <t>Recovered Stolen Vehicle</t>
  </si>
  <si>
    <t>100 Second Street, Hackensack, NJ, 07601</t>
  </si>
  <si>
    <t>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t>
  </si>
  <si>
    <t>L17PUM</t>
  </si>
  <si>
    <t>Motor Vehicle Theft - 2C:20-3 - Recovered Stolen Vehicle</t>
  </si>
  <si>
    <t>Second Street, 100 Block</t>
  </si>
  <si>
    <t>25-013106</t>
  </si>
  <si>
    <t>30 Prospect Avenue, Hackensack, NJ, 07601</t>
  </si>
  <si>
    <t>G4</t>
  </si>
  <si>
    <t>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t>
  </si>
  <si>
    <t>Z53RVG</t>
  </si>
  <si>
    <t>P.O. Anzour Marza 356</t>
  </si>
  <si>
    <t>25-013147</t>
  </si>
  <si>
    <t>35 Pangborn Place, Hackensack, NJ, 07601</t>
  </si>
  <si>
    <t>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t>
  </si>
  <si>
    <t>Burglary - Commercial - 2C:18-2 - Suspicious Incident</t>
  </si>
  <si>
    <t>25-013527</t>
  </si>
  <si>
    <t>Exceptionally Cleared/Closed</t>
  </si>
  <si>
    <t>240  Prospect Avenue, Hackensack, NJ, 07601</t>
  </si>
  <si>
    <t>H4</t>
  </si>
  <si>
    <t>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t>
  </si>
  <si>
    <t>Exceptionally Cleared/Closed - Sexual Assault - 2C:14-2b</t>
  </si>
  <si>
    <t>Prospect Avenue, 200 Block</t>
  </si>
  <si>
    <t>25-015290</t>
  </si>
  <si>
    <t>430 Washington Avenue, Hackensack, NJ, 07601</t>
  </si>
  <si>
    <t>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t>
  </si>
  <si>
    <t>8FL4661</t>
  </si>
  <si>
    <t>PILOT</t>
  </si>
  <si>
    <t>MD</t>
  </si>
  <si>
    <t>Unfounded / Closed</t>
  </si>
  <si>
    <t>Washington Avenue, 400 Block</t>
  </si>
  <si>
    <t>25-036368</t>
  </si>
  <si>
    <t>326 Prospect Avenue, Hackensack, NJ, 07601</t>
  </si>
  <si>
    <t>On 05/03/25, I responded to 326 Prospect Avenue on a report of a motor vehicle theft. Upon arrival, I spoke with the victim who reported her motorcycle (2023 Yamaha CZD black &amp; gray bearing NJ-3HRC7) was stolen from 326 Prospect Avenue Garage Level C #22. The victim stated she last saw the motorcycle on approximately 03/01/25.      The value of the motorcycle was approximately $9,700.00. The victim also stated inside the motorcycles storage compartments were:       Vehicle registration worth approximately $5.00      Helmet worth approximately $375.00      2 pair of leather gloves worth approximately $100.00      Battery Booster approximately $160.00      Miscellaneous Tools worth approximately $50.00           Total lost value approximately $10,390.00      There are surveillance cameras throughout the garage and on each level. Surveillance Camera footage is available per management (Spencer Ross) if requested.      A New Jersey Victim Notification Form was completed. A copy was explained and given to the victim. The victim requested the motorcycle be processed for evidence if located and a Hackensack Police Consent To Search Form was completed and signed by the victim. The vehicle was entered into NCIC and the NJ State Police ATTF web site as stolen.</t>
  </si>
  <si>
    <t>3HRC7</t>
  </si>
  <si>
    <t>YAMAHA</t>
  </si>
  <si>
    <t>CZD</t>
  </si>
  <si>
    <t>P.O. Juda DeOliveira 376</t>
  </si>
  <si>
    <t>A4</t>
  </si>
  <si>
    <t>March</t>
  </si>
  <si>
    <t>Prospect Avenue, 300 Block</t>
  </si>
  <si>
    <t>25-017488</t>
  </si>
  <si>
    <t>Unlawful Possess./Weapons - 2C:39-5</t>
  </si>
  <si>
    <t>195 High Street, Hackensack, NJ, 07601</t>
  </si>
  <si>
    <t>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 I will fuck both of ya up" and began demanding the money Foster owed him.     Hunt reported that, he told the suspect that he was going to call the police. The suspect then stated ' I ain't scared of no police"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t>
  </si>
  <si>
    <t>D78PNR</t>
  </si>
  <si>
    <t>BMW</t>
  </si>
  <si>
    <t>430</t>
  </si>
  <si>
    <t>P.O. Bobby Rivera 361</t>
  </si>
  <si>
    <t>Robbery - 2C:15-1 - Unlawful Possess./Weapons - 2C:39-5 - Dispute</t>
  </si>
  <si>
    <t>High Street, 100 Block</t>
  </si>
  <si>
    <t>25-017536</t>
  </si>
  <si>
    <t>216 Essex Street, Hackensack, NJ, 07601</t>
  </si>
  <si>
    <t>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"If you call the police, I will kill you."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"No."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t>
  </si>
  <si>
    <t>P.O. Steven Lemanowicz 347</t>
  </si>
  <si>
    <t>Essex Street, 200 Block</t>
  </si>
  <si>
    <t>25-018160</t>
  </si>
  <si>
    <t>216 Central Avenue, Hackensack, NJ, 07601</t>
  </si>
  <si>
    <t>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"Mike Williams"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t>
  </si>
  <si>
    <t>R64NVW</t>
  </si>
  <si>
    <t>EXP</t>
  </si>
  <si>
    <t>Farhi_B</t>
  </si>
  <si>
    <t>Central Avenue, 200 Block</t>
  </si>
  <si>
    <t>25-019245</t>
  </si>
  <si>
    <t>282 American Legion Drive, Hackensack, NJ, 07601</t>
  </si>
  <si>
    <t>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t>
  </si>
  <si>
    <t>K46PXJ</t>
  </si>
  <si>
    <t>HYN</t>
  </si>
  <si>
    <t>TIB</t>
  </si>
  <si>
    <t>P.O. Peter Voorhis 380</t>
  </si>
  <si>
    <t>American Legion Drive, 200 Block</t>
  </si>
  <si>
    <t>25-019648</t>
  </si>
  <si>
    <t>1 Park Avenue, Hackensack, NJ, 07601</t>
  </si>
  <si>
    <t>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t>
  </si>
  <si>
    <t>Ghirardi_R</t>
  </si>
  <si>
    <t>Park Avenue, 0 Block</t>
  </si>
  <si>
    <t>25-019756</t>
  </si>
  <si>
    <t>123 Anderson Street, Hackensack, NJ, 07601</t>
  </si>
  <si>
    <t>***Spanish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t>
  </si>
  <si>
    <t>K87VEF</t>
  </si>
  <si>
    <t>SUBARU</t>
  </si>
  <si>
    <t>TRI</t>
  </si>
  <si>
    <t>Det. Gunther Lara-Nunez 351</t>
  </si>
  <si>
    <t>Anderson Street, 100 Block</t>
  </si>
  <si>
    <t>25-021703</t>
  </si>
  <si>
    <t>414 Hackensack Avenue, Hackensack, NJ, 07601</t>
  </si>
  <si>
    <t>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t>
  </si>
  <si>
    <t>Y52RXA</t>
  </si>
  <si>
    <t>KIA</t>
  </si>
  <si>
    <t>TEL</t>
  </si>
  <si>
    <t>Lt. John Knapp 141</t>
  </si>
  <si>
    <t>HACSOC</t>
  </si>
  <si>
    <t>Assist Other Agency - Burglary - Residence - 2C:18-2</t>
  </si>
  <si>
    <t>25-022902</t>
  </si>
  <si>
    <t>171 Kenneth Street, Hackensack, NJ, 07601</t>
  </si>
  <si>
    <t>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t>
  </si>
  <si>
    <t>JWG42F</t>
  </si>
  <si>
    <t>CHEVROLET</t>
  </si>
  <si>
    <t>Kenneth Street, 100 Block</t>
  </si>
  <si>
    <t>25-023424</t>
  </si>
  <si>
    <t>Criminal Mischief - Vehicle - 2C:17-3</t>
  </si>
  <si>
    <t>24 Pulaski Place, Hackensack, NJ, 07601</t>
  </si>
  <si>
    <t>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t>
  </si>
  <si>
    <t>M88KXU</t>
  </si>
  <si>
    <t>ECO</t>
  </si>
  <si>
    <t>Competiello_Fa</t>
  </si>
  <si>
    <t>Burglary - Auto - 2C:18-2 - Criminal Mischief - Vehicle - 2C:17-3</t>
  </si>
  <si>
    <t>Pulaski Place, 0 Block</t>
  </si>
  <si>
    <t>25-030391</t>
  </si>
  <si>
    <t>2 Kinderkamack Road, Hackensack, NJ, 07601</t>
  </si>
  <si>
    <t>I4</t>
  </si>
  <si>
    <t>Suspect: White Hispanic male, approximately 30-40 years old, facial hair, named "Jean"     On 04/14/25, I responded to police headquarters for a walk-in that reported being sexually assaulted on 03/23/2025. The victim reported that on 03/23/25 she requested a 'Lyft' ride from her residence to her friend's house that resides at 169 Passaic Street, Hackensack. The Lyft ride arrived at the victim's residence at approximately 14:53 hours.     During the course of the transportation, the victim believed she had left her cellphone at home. The suspect offered to return to retrieve her cellphone. The victim then realizes her cellphone was in her bag that was inside the vehicle. The victim apologized multiple times to the suspect for returning to her home. The victim then offered $40.00 in cash to the suspect who then accepted the cash.      During the course of the transportation, the victim reported the suspect was asking her personal questions such as: "when was the last time you kissed someone and/or had sex?" The victim stated "about a year and a half ago or more". The suspect pulled over near Jefferson Street. The suspect then stated "kiss me ,come to the front seat and kiss me". The victim then entered the front seat. The suspect then grabbed the victim's face and kissed her for approximately 10 seconds. While kissing the victim, the suspect groped the victim's chest from outer clothing, then down to her hips, to her vagina. The suspect then rubbed the victim's vagina over her clothing. The victim stated she was "frozen" and unable to react to the suspects action. The suspect then stopped and asked to kiss her again. The victim stated the second kiss lasted 2-3 seconds. The victim stated to the suspect she had bad experiences in the past and did not feel comfortable continuing. The suspect then stopped; however, kept his right hand on her thighs.     Over the course of the ride, the suspect attempted to pull over again but this time on Prospect Avenue and Atlantic Street. The victim's friend called her during this time,  questioning her about her location due to the time that she had left from home. Upon arrival to her destination, as the victim exited the vehicle, the suspect stated "You can call me if you want to get a better experience."     A New Jersey Victim Notification Form was completed. A copy was given and explained to the victim. The Detective Bureau was notified and Det. Carroll responded to speak with the victim.  Reference initial reported taken by River Edge Police on 4/12/2025: Case # 2025-03824</t>
  </si>
  <si>
    <t>Gretkowski_J</t>
  </si>
  <si>
    <t>Kinderkamack Road, 0 Block</t>
  </si>
  <si>
    <t>25-024100</t>
  </si>
  <si>
    <t>Medical Call</t>
  </si>
  <si>
    <t>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t>
  </si>
  <si>
    <t>C73VBN</t>
  </si>
  <si>
    <t>IMP</t>
  </si>
  <si>
    <t>P.O. Christian Alvarez 364</t>
  </si>
  <si>
    <t>Robbery - 2C:15-1 - Theft - 2C:20-3 - Medical Call</t>
  </si>
  <si>
    <t>25-024952</t>
  </si>
  <si>
    <t>Hindering Apprehension - 2C:29-3</t>
  </si>
  <si>
    <t>211 Essex Street, Hackensack, NJ, 07601</t>
  </si>
  <si>
    <t>P.O. Laura Lopez-Amaya 374</t>
  </si>
  <si>
    <t>Burglary - Commercial - 2C:18-2 - Hindering Apprehension - 2C:29-3 - Resisting Arrest/Eluding - 2C:29-2</t>
  </si>
  <si>
    <t>25-025078</t>
  </si>
  <si>
    <t>2 Park Avenue, Hackensack, NJ, 07601</t>
  </si>
  <si>
    <t>Sgt. Patrick Williams 143</t>
  </si>
  <si>
    <t>25-025341</t>
  </si>
  <si>
    <t>296 Berry Street, Hackensack, NJ, 07601</t>
  </si>
  <si>
    <t>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t>
  </si>
  <si>
    <t>T41VHN</t>
  </si>
  <si>
    <t>ACURA</t>
  </si>
  <si>
    <t>TLX</t>
  </si>
  <si>
    <t>P.O. Wanda Rivera 161</t>
  </si>
  <si>
    <t>A1</t>
  </si>
  <si>
    <t>Berry Street, 200 Block</t>
  </si>
  <si>
    <t>25-025304</t>
  </si>
  <si>
    <t>Attempted Burglary - 2C:18-2</t>
  </si>
  <si>
    <t>15 Parkway, Hackensack, NJ, 07601</t>
  </si>
  <si>
    <t>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"what are you doing" to which the suspect responded "construction work"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t>
  </si>
  <si>
    <t>Z85SBR</t>
  </si>
  <si>
    <t>Suspicious Incident - Attempted Burglary - 2C:18-2</t>
  </si>
  <si>
    <t>Parkway, 0 Block</t>
  </si>
  <si>
    <t>25-025926</t>
  </si>
  <si>
    <t>100 Essex Street, Hackensack, NJ, 07601</t>
  </si>
  <si>
    <t>G2</t>
  </si>
  <si>
    <t>P.O. Anthony Mattalian 83</t>
  </si>
  <si>
    <t>25-026077</t>
  </si>
  <si>
    <t>Criminal Mischief - 2C:17-3</t>
  </si>
  <si>
    <t>Second Street &amp; American Legion Drive, Hackensack, NJ, 07601</t>
  </si>
  <si>
    <t>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t>
  </si>
  <si>
    <t>J72JJJ</t>
  </si>
  <si>
    <t>TOYOTA</t>
  </si>
  <si>
    <t>SIENNA</t>
  </si>
  <si>
    <t>P.O. Jeffrey Rodriguez 342</t>
  </si>
  <si>
    <t>290 = Destruction/Damage/Vandalism of Property</t>
  </si>
  <si>
    <t>Burglary - Auto - 2C:18-2 - Theft - 2C:20-3 - Criminal Mischief - 2C:17-3</t>
  </si>
  <si>
    <t>Street &amp; American Legion Drive, Unknown Block</t>
  </si>
  <si>
    <t>25-026113</t>
  </si>
  <si>
    <t>310 Lookout Avenue, Hackensack, NJ, 07601</t>
  </si>
  <si>
    <t>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t>
  </si>
  <si>
    <t>IMKR57</t>
  </si>
  <si>
    <t>ROGUE</t>
  </si>
  <si>
    <t>P.O. Matthew Antista 135</t>
  </si>
  <si>
    <t>25-026103</t>
  </si>
  <si>
    <t>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t>
  </si>
  <si>
    <t>UTU50W</t>
  </si>
  <si>
    <t>RGE</t>
  </si>
  <si>
    <t>25-026357</t>
  </si>
  <si>
    <t>77 Prospect Avenue, Hackensack, NJ, 07601</t>
  </si>
  <si>
    <t>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t>
  </si>
  <si>
    <t>U57SNU</t>
  </si>
  <si>
    <t>MAZDA</t>
  </si>
  <si>
    <t>C30</t>
  </si>
  <si>
    <t>April</t>
  </si>
  <si>
    <t>25-027338</t>
  </si>
  <si>
    <t>75 Fair Street, Hackensack, NJ, 07601</t>
  </si>
  <si>
    <t>P.O. Alexander Reyes 355</t>
  </si>
  <si>
    <t>Fair Street, 0 Block</t>
  </si>
  <si>
    <t>25-026716</t>
  </si>
  <si>
    <t>Mental Health Incident</t>
  </si>
  <si>
    <t>260 Union Street, Hackensack, NJ, 07601</t>
  </si>
  <si>
    <t>On April 2, 2025, at approximately 2140 hours P.O. Bonsu and I responded to 260 Union Avenue on a reported mental health incident. We spoke with Janice Reid, who is a supervisor at the Holly Center, and she reported that A.M.C. was arguing with O.L.. They began to fight and the Holly Center staff were able to separate both of them. After the fight, A.M.C began becoming verbally aggressive with the staff and wrote a note that stated, "You dumb bitch's I ain't telling yall that yall but I going my gang to shoot this place up." Janice Reid further reported that that A.M.C. kept threatening to get a gang to shoot up the Holly Center.       While on scene, A.M.C. made statements that she wanted "to go down for attempted murder" and that she wanted to get CPC High Point shot up. CPC High Point is a school A.M.C. previously attended. Then A.M.C. began to state that she was sexually assaulted by Holly Center staff and specifically named Tyrone Bagley and Randall White who were on scene. Sgt. Donnerstag and Sgt. Ghirardi responded to the scene to assist. P.O. Bonsu asked A.M.C. more about her allegations. A.M.C. reported the incident occurred approximately a month ago on a weekend but did not recall if it was in the morning, afternoon, or evening. A.M.C. further reported it happened in her room at the Holly Center but she did not want to discuss any further. Hackensack University Medical Center BLS responded and transported A.M.C. to Hackensack University Medical Center. Janice Reid accompanied A.M.C.. I followed the ambulance to Hackensack University Medical Center.      Detective Garrett was notified and responded to Hackensack University Medical Center. I notified Alexandra #1576 from DCP&amp;P of the incident. She reported that DCP&amp;P would be making an immediate response to the hospital. Detective Garrett stated he was familiar with the patient and of the prior sexual assault allegation from previous encounters.  T.O.T. to detectives. See supplement for further contact information. A CBH care form was completed.</t>
  </si>
  <si>
    <t>Mental Health Incident - Sexual Assault - 2C:14-2b - Juvenile Investigation</t>
  </si>
  <si>
    <t>Union Street, 200 Block</t>
  </si>
  <si>
    <t>25-028451</t>
  </si>
  <si>
    <t>Property - Found</t>
  </si>
  <si>
    <t>120 Atlantic Street, Hackensack, NJ, 07601</t>
  </si>
  <si>
    <t>Suspect description: Slim build, black male, approximately 5'11 in height, wearing all black / dark clothing.     On 4/8/25 at approximately 00:52 hours,  I responded to the area of 120 Atlantic Street on a reported suspicious person. It was reported an unknown male suspect attempted to open a vehicle door and fled the area on foot. P.O. Papanikolaou and Sgt. Butler responded to assist.   Upon arrival I met with the complainant / witness, Sherif Abraham. The complainant reported on 4/8/25 at approximately 00:47 hours, he observed the suspect inside vehicle 1 (NJ T21VBK). Vehicle 1 was parked curbside on the north side of Atlantic Street, in front of 118 Atlantic Street. The complainant further reported the suspect fled the area on foot traveling north, last seen jumping the fence of 118 Atlantic Street. The complainant reported while the suspect fled, he dropped a black duffle bag, which was located on the west side of 118 Atlantic Street.  Upon inspecting vehicle 1, the interior did not appear disturbed. Upon further investigation, the front passenger side door to vehicle 1 was left insecure. The front passenger door to vehicle 1 was unable to be secured. Vehicle 1 also had a dash camera fixed to the front windshield. At this time it was unknown if the dash camera was recording / operable.  Upon responding to the west side of 118 Atlantic Street, I observed a medium size black in color "Jordan" duffle bag containing clothing / property. Upon further checking the area, a tied / knotted mint colored small size towel was also observed. All found property was secured in radio car 104.   A DMV check of vehicle 1 was conducted, which resulted the registered owner, Luis Moreno Colmenares, resided at 107 Atlantic Street. P.O. Papanikolaou later responded to 107 Atlantic Street in attempt to locate / speak with the owner, which resulted negative.  A Hackensack Notification Card was completed and secured on vehicle 1. Additionally a Hackensack Notification Card was completed and secured in the mail box of 107 Atlantic Street.   P.O. Estrada and P.O. Mena checked the area in an attempt to locate the suspect, which resulted negative.   At this time, I was unable to confirm vehicle 1 was burglarized or what proceeds may have been stolen from the vehicle. All evidence / found property was transported to headquarters. At headquarters all property was inventoried.   The medium size black in color "Jordan" duffle bag containing a white in color Adidas hat, a pair of white and blue colored socks, black colored shorts, white colored shirt, clear glass bottle of cologne / perfume and a pair of white and orange colored puma sneakers.  The tied / knotted mint colored small size towel contained a black plastic organizing tray inside. Inside the tray contained the following: - A black  plastic ash tray cup- Juicy J's rolling paper(s)- "OCB" slim premium rolling paper(s) with tip(s)- Three multi color plastic lighters - White in color USB car charger - A backwoods magnet - Two "UFOND" headband lights - White colored paper matches - A silver and black in color "driven" ammunition style key chain- $4.53 in assorted change- A small clear glass bottle with a silver in color metal screw cap. Attached to the screw cap was a small silver in color spoon / scooper. Within the bottle contained an unknown white powdered substance (suspected cocaine).    The mint in color towel containing multiple items was later placed in a brown paper bag. The currency was later placed in currency security bag # 0588856. The small clear glass bottle containing the suspected cocaine was later placed in evidence bag # 7824140. All evidence / found property was later secured in evidence locker 6. See evidence report for further.   The immediate area was checked for any other vehicles possibly burglarized with negative results.</t>
  </si>
  <si>
    <t>T21VBK</t>
  </si>
  <si>
    <t>530</t>
  </si>
  <si>
    <t>Butler_J</t>
  </si>
  <si>
    <t>Burglary - Auto - 2C:18-2 - Suspicious Person - Property - Found</t>
  </si>
  <si>
    <t>Atlantic Street, 100 Block</t>
  </si>
  <si>
    <t>25-029829</t>
  </si>
  <si>
    <t>140 Hudson Street, Hackensack, NJ, 07601</t>
  </si>
  <si>
    <t>25-032505</t>
  </si>
  <si>
    <t>395 South River Street, Hackensack, NJ, 07601</t>
  </si>
  <si>
    <t>On April 21, 2025 at approximately 12:46 hours, the victim responded to headquarters to report a burglary to his vehicle that happened in the past.  I met with the victim in headquarters where I escorted him to report room 2 to conduct my investigation.       The victim stated that some of his collectable toy cars were stolen from the trunk of the listed vehicle.  The victim believes that the incident occurred at 395 South River Street (John Leckie Bus Company parking lot) between the dates of 04/08/2025 and 04/10/2025, between 05:00 and 09:00 hours.  During those times, the victim parks the listed vehicle in the parking lot of his workplace.  The victim stated that he usually locks his vehicle when it is parked at his workplace but recalls returning to his vehicle on 04/09 and had found his vehicle unlocked.  When asked if he believes the incident occurred elsewhere, the victim stated that he has coworkers that are aware that he keeps his collection of toy cars in his vehicle.  The victim stated that all twenty (20) toy cars are in their original boxes and the approximate total value of them is $600.00.The victim stated that his vehicle was parked in view of surveillance cameras.A New Jersey Victim Notification Form was completed and a copy was provided to the victim.List of property reported stolen:M2-1970 Nissan Fairlady Z432 -A51M2- Coca Cola Pop 1955 Chevy Bel Air Hard Top Custom2025 Gulf Mini Silver Tooned Set2025 M2 Machines Gulf Set and ChaseHot Wheels Silver Series Salt Flat Racers Set</t>
  </si>
  <si>
    <t>G15RSU</t>
  </si>
  <si>
    <t>GEN</t>
  </si>
  <si>
    <t>G80</t>
  </si>
  <si>
    <t>Peralta_K</t>
  </si>
  <si>
    <t>South River Street, 300 Block</t>
  </si>
  <si>
    <t>25-029155</t>
  </si>
  <si>
    <t>283 Summit Avenue, Hackensack, NJ, 07601</t>
  </si>
  <si>
    <t>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t>
  </si>
  <si>
    <t>Z73VFP</t>
  </si>
  <si>
    <t>SUB</t>
  </si>
  <si>
    <t>Summit Avenue, 200 Block</t>
  </si>
  <si>
    <t>25-030198</t>
  </si>
  <si>
    <t>Weapons - Unlawful Purposes - 2C:39-4</t>
  </si>
  <si>
    <t>157 Central Avenue, Hackensack, NJ, 07601</t>
  </si>
  <si>
    <t>On April 13, 2025, at approximately 1634 hours, P.O. McCarthy and I were dispatched to 157 Central Ave for a parking complaint. Upon our arrival, arrestee 1, Melanie Curry,  arrestee 2, Tyrone Miles, victim 1, Edwin Vasquez, and victim 2, Mirelis Lopez, were standing in the rear parking lot of 157 Central Ave arguing.  I spoke with arrestee 1, Melanie Curry, who stated that the victim, Edwin Lopez, has been parking in her parking spot, which has been an ongoing problem. Arrestee 1 also stated that she went into the rear seat of the Ford Explorer and took victim 2's pocketbook. She further stated the reason she took the pocketbook was so they would move their vehicle. I spoke with Victim 1, who stated that he was arguing with arrestee 1 and arrestee 2 over parking. Arrestee 2 walked over to the victim's 2005 Honda Accord, silver in color, New Jersey Registration N51UXW, and punctured both front tires with a knife.  I spoke with victim 2, who stated that arrestee 2 walked over to her 2019 Ford Explorer, black in color, New Jersey Registration D478UTT, which was also parked in the parking lot. The arrestee opened the rear door without permission and took out her Michael Kors black pocketbook from the back seat, and brought it into her apartment. See below for a detailed list of the contents of the purse. Victim 2 showed us a video of arrestee 2 puncturing the front tires of victim 1's vehicle. The video shows a black male wearing different clothing than what arrestee 2 was wearing, but you could see that arrestee 2 had the same wedding ring and blue bracelet that he had on his left wrist. Victim 2 further stated that arrestee 2 went into his residence and changed his clothes and sneakers.  Sgt. Briggs and P.O. Marble arrived on the scene to assist. Sgt. Brigg advised me that while he was speaking with arrestee 2, the arrestee admitted that he did puncture the two front tires with a knife. Sgt. Briggs went with the arrestee and retrieved the knife, described at a 10" kitchen knife with a blue handle and five inch blade which he turned over to me to be secured and transported to headquarters.   Both arrestees were placed in handcuffs, arrestee 1 was placed in the rear of patrol vehicle 108, and arrestee 2 was placed in the rear of patrol vehicle 107, Both vehicles were checked before and after for contraband. Both arrestees were searched at the scene and back at headquarters with negative results for additional contraband.  Victim notification forms were filled out and provided to both victims. A Handle with Care form was completed and turned into the front desk.  The knife was placed in an evidence knife box, tagged and placed into evidence locker 1  I contacted DCPP and spoke with Alisha #1357 and informed her of the situation. She advised me that they would not be responding but would be documenting the incident at this time.  Vehicle 1: cost of two tires $300.00 eachGeico Insurance 6168591045 The following items were taken from Vehicle 2 Black Michael Kors pocketbook $300.00wallet                                          $50.00Cash                                           $70.00 Diapers                                       $50.00Medicationa single blank check for the victim's checking account which was loose in the purse. Detective Tanucilli was notified and responded to headquarters to take recorded statements. See his report for further.  Both suspects were processed without incident and Lt. Klosk authored complaints S2025-000176, S2025-000177 on my behalf. The suspects were then released from custody.</t>
  </si>
  <si>
    <t>N51UXW</t>
  </si>
  <si>
    <t>D48UTT</t>
  </si>
  <si>
    <t>XPL</t>
  </si>
  <si>
    <t>P.O. Michael Scangarella 349</t>
  </si>
  <si>
    <t>Burglary - Auto - 2C:18-2 - Weapons - Unlawful Purposes - 2C:39-4</t>
  </si>
  <si>
    <t>Central Avenue, 100 Block</t>
  </si>
  <si>
    <t>25-030220</t>
  </si>
  <si>
    <t>Terroristic Threats - 2C:12-3</t>
  </si>
  <si>
    <t>64 Prospect Avenue, Hackensack, NJ, 07601</t>
  </si>
  <si>
    <t>Burglary - Residence - 2C:18-2 - Terroristic Threats - 2C:12-3 - Criminal Mischief - 2C:17-3</t>
  </si>
  <si>
    <t>25-030780</t>
  </si>
  <si>
    <t>325 Union Street, Hackensack, NJ, 07601</t>
  </si>
  <si>
    <t>P.O. Mattalian and I responded to the listed location on a report of a burglary that took place in the past.  The victim's residence is occupied as a rooming house with multiple tenants. Upon arrival, we made contact with the victim, Gerard White.  The victim stated that he left his residence yesterday 4/14/2025 at approximately 2300 hours. The victim had slept in a hotel due to him and his girlfriend (Erica Best) getting into a verbal altercation. The victim stated Best was not in the room when he left to the hotel.  The victim returned back to his home today 4/15/2025 at approximately 1830 hours and was unable to open his door due to unknown object blocking his room door. The victim walked to the back of the structure to look through his window. The victim discovered his room window was ajar which appeared suspicious. The victim further discovered his apartment in complete disarray, with furniture flipped upside down, and tomato sauce smeared all over his walls.  The victim then discovered his pillow and some personal belongings in the garbage can that was across the driveway in the rear of the home.  Sgt. Competiello arrived on scene.     An anonymous neighbor from room # 5 advised us that at approximately 0400 hours on 4/15/2025 he observed the silhouette of a women dressed like a "ninja" coming from the rear of the listed location with unknown items. The female then entered into an unknown SUV.  The victim stated that he was missing a pair of suede "Jordan" shoes with an approximate cost of $300.00.  He also had damage to his dresser and bed that had an approximate cost of $550.00.  P.O. Mattalian was able to pry the bedroom door open and I observed tomato sauce and food smeared all over the walls of the room.  Det./Sgt. Williams and Det. Tanucilli arrived on scene.  The victim gave us verbal and written consent to have the room processed.  Det. Brielle Colon # 1952 from BCI arrived on scene to photograph and fingerprint the scene.  The victim was given a copy of the victim notification form and advised that detectives would follow up with him.        ****See Detective Tanucilli's supplement***</t>
  </si>
  <si>
    <t>P.O. Paula Lopez 362</t>
  </si>
  <si>
    <t>Burglary - Residence - 2C:18-2 - Theft - 2C:20-3 - Criminal Mischief - 2C:17-3</t>
  </si>
  <si>
    <t>25-031651</t>
  </si>
  <si>
    <t>28 Summit Avenue, Hackensack, NJ, 07601</t>
  </si>
  <si>
    <t>On April 18, 2025, at approximately 22:08 hours Sgt. Donnerstag, P.O. Bonsu, and I responded to 28 Summit Avenue for a report of a burglary that occurred in the past. The victims reported that they last saw their green Aipass electric bicycle and 58" TLC 4k TV  on Wednesday, April 16, 2025 at approximately 06:00 hours in their garage (located in the rear). They reported noticing that both the electric bicycle and 58" TV was gone earlier today. It should be noted, the garage door remains unlocked at all times and the victims do not have a key for it. There was no sign of forced entry observed. The victims reported the green Aipass electric bicycle costs approximately $758.00 and the 58" TV costs approximately $300.00 for a total loss of $1,058.00.       Due to the victims contaminating the area Bergen County BCI was not advised. The New Jersey Victim Notification Form was completed and a copy was provided.      Det./Sgt. Williams was notified.       The victims reported they would like to sign complaints if the suspects are identified.</t>
  </si>
  <si>
    <t>Summit Avenue, 0 Block</t>
  </si>
  <si>
    <t>25-031686</t>
  </si>
  <si>
    <t>Intoxicated Person</t>
  </si>
  <si>
    <t>125 River Street, Hackensack, NJ, 07601</t>
  </si>
  <si>
    <t>G1</t>
  </si>
  <si>
    <t>Suspect's description: 6'00 Hispanic males with medium skin color complexion.      On Friday, 04/19/2025, I responded to a bus shelter on Grand Avenue, River Edge and met with P.O. Colucci from River Edge Police Department. He reported that Mr. Michael Kennedy (victim) reported that he was robbed at the Hackensack Bus Terminal earlier today. The victim was intoxicated and does not remember exactly how the incident occurred. He remembers leaving Bergen Community Wellness Center on Hudson Street around 2000 hours.      While on scene, the victim reported that he and two other Hispanic males got into a mutual fight at the bus terminal. P.O. Colucci told me the victim changed his story and the last statement was not his original reporting. The victim then reported while outside the bus terminal, he was snatched from behind by the suspects, kicked on his right leg and punched in the head several times. Sgt. Donnerstag arrived to assist. We did not observe any injuries to the victim nor did he have a complaint of pain in the areas. The victim further reported that the suspects stole $30.00 and his bus pass (unknown value). The victim was turned back over to P.O. Colucci, who was subsequently transported to New Bridge Medical Center due to his level of intoxication.     I responded to the bus terminal and did not observed any possible evidence from the incident or a possible crime scene. Detectives were notified.</t>
  </si>
  <si>
    <t>P.O. Kevin Small 328</t>
  </si>
  <si>
    <t>Robbery - 2C:15-1 - Intoxicated Person - Assist Other Agency</t>
  </si>
  <si>
    <t>River Street, 100 Block</t>
  </si>
  <si>
    <t>25-031868</t>
  </si>
  <si>
    <t>11 Passaic Street, Hackensack, NJ, 07601</t>
  </si>
  <si>
    <t>I responded to the listed location on a report of a burglary. Upon arrival, I spoke to the complainant who explained that both of the vehicles they use for work had been burglarized.    Vehicle 1 is owned by Rusin Doru Electric but is driven by Victim Wilian daily for work. I spoke to Wilian who explained that he had his belongings inside the vehicle while he worked inside the building. He explained that his wallet was in the front passenger seat of the vehicle and the doors were left unlocked. Wilian then further explained that he is consistently grabbing tools out of the vehicle which is why he kept the doors unlocked, he also stated he was near the vehicle at all times except from 1400 to 1500 hours. Wilian then advised that his wallet was taken from the front seat of the vehicle with      His license     1 debit card from TD bank     1 WIC Card     1 ID from Guatemala      $375.00 and     1 key fob for his Acura that is parked at his residence.     Vehicle 2 is owned by Selvin Duarte but is driven daily by the complainant Victor Duarte for work. Victor explained that when they returned to both vehicles at approximately 1500 hours, both glove box compartments were opened. They started searching the vehicles once they realized Wilians wallet was missing, but nothing else was taken.       The vehicles were unable to be processed due to Wilian and Victor touching all handles and items inside.   2 New Jersey Victim Witness notification forms were completed and given to the victims.</t>
  </si>
  <si>
    <t>XKEM57</t>
  </si>
  <si>
    <t>E25</t>
  </si>
  <si>
    <t>H88KAG</t>
  </si>
  <si>
    <t>GMC</t>
  </si>
  <si>
    <t>SIE</t>
  </si>
  <si>
    <t>Donnerstag_R</t>
  </si>
  <si>
    <t>Passaic Street, 0 Block</t>
  </si>
  <si>
    <t>25-032420</t>
  </si>
  <si>
    <t>16 Johnson Avenue, Hackensack, NJ, 07601</t>
  </si>
  <si>
    <t>On Monday, April 21, 2025 at approximately 0800 hours,  P.O Francavilla and I responded to 16 Johnson Avenue on a report of a burglary.     Upon my arrival, I spoke to the complainant who escorted P.O. Francavilla and myself to the rear of the building where a window appeared to be forced open. I then spoke to Giustina who stated she arrived at the business and unlocked the door to set up the office. She advised that once she entered, she realized the alarm was going off and then noticed 3 alcohol bottles on the floor. Giustina stated that once she noticed the bottles, she exited the business and waited in the parking lot. P.O Francavilla and I made entry into the business and completed an interior check.  The interior check yielded negative results for any person(s) in the business.  While completing the interior check, I observed a safe on the floor pried open and the main office was torn apart. Upon further inspection, I observed that several other rooms had cabinets opened. Giustina then handed us the key for the outside gate that lead to the opened window. Upon further investigation, we noticed a crow bar on the floor next to the window. I requested for a supervisor and SGT. Tovbin arrived on scene. SGT. Tovbin requested detectives and DET. Dogali and D/SGT. Williams arrived on scene at approximately 0855 hours.    The complainant consented to the business to be processed and signed a Consent to Search form.    At 0850 hours, the scene was preserved and a crime scene log had commenced.-0908 hours, Det. Charlenea/Det. Delacruz/ D/SGT. Dilkes (BCI) arrived to process the scene.-1014 hours, detectives were completed and the scene was turned over to D/SGT. Williams and DET. Dogali.  Giustina advised $4,000.00 were taken but that she was unaware what else was taken.</t>
  </si>
  <si>
    <t>Johnson Avenue, 0 Block</t>
  </si>
  <si>
    <t>25-032451</t>
  </si>
  <si>
    <t>130 Overlook Avenue, Hackensack, NJ, 07601</t>
  </si>
  <si>
    <t>I responded to 130 Overlook Avenue for a report of a burglary.  Upon arrival, I met with the complainant in the lobby of the apartment building. She stated that she believes the suspect had stolen her wallet from her apartment.      The victim stated that approximately a week and a half ago the incident had occurred.  The victim was unable to provide a specific date and time of the incident.  The suspect is a neighbor of the victim and has had interactions with him in the past.  She further stated that on the day of the incident, the suspect appeared in her residence uninvited and did not see him come through the front door.  When inside, the suspect began asking the victim questions about her carpet and couch.  The victim said after he asked the questions, the suspect left.  After the incident, she realized her wallet was missing from her dining room table.  The victim reported that the wallet is of the brand Victoria's Secret which is black in color with a flower design (worth approximately $30.00), containing two NJ Transit bus tickets and approximately $7.00 in coin currency. She stated that she did not see the suspect take the wallet.  No signs of forced entry were reported to the victim's apartment door.      The suspect was on scene and he stated that he has never gone into the victim's residence, invited or uninvited.  The only time he's interacted with her was a few months ago he gave the victim containers of food after the victim had surgery.  The suspect stated that the victim might be going through early stages of dementia.A New Jersey Victim Notification form was completed and a copy was given to the victim.I notified Sgt. Tovbin who advised Det. Sgt. Williams of the incident.</t>
  </si>
  <si>
    <t>Overlook Avenue, 100 Block</t>
  </si>
  <si>
    <t>25-033529</t>
  </si>
  <si>
    <t>On Thursday April 25, 2025, I was assigned as the Hackensack High School SRO.  I was notified by the 11th grade assistant Principal Nicole Adams that there was a report of a possible sexual assault.      The victim M.T. made initial disclosure to her teacher Ms. Mitchell that while at lunch she was kissed and inappropriately touched by the suspect C.R.  After receiving the report Ms. Mitchell immediately notified Mrs. Adams.      I spoke to the victim who stated that she was kissed by the suspect without her consent during her lunch period. The victim added that on other unspecified days the suspect has touched her breast and buttocks without her consent. At this time the victim does not want to pursue any criminal complaints against the suspect.     Please note today's incident was captured by the school's surveillance camera ( HHS Cafeteria Comet Side #24). I requested a copy from the IT department.       I notified the victim's father Antonio Tapia of the incident. At this time he indicated that he does not want to sign complaints. He was advised how to do so if they changed their minds.</t>
  </si>
  <si>
    <t>Exceptionally Cleared/Closed - Criminal Sexual Contact - 2C:14-3a - Juvenile Investigation</t>
  </si>
  <si>
    <t>25-034836</t>
  </si>
  <si>
    <t>530 West Lookout Avenue, Hackensack, NJ, 07601</t>
  </si>
  <si>
    <t>I responded to the listed location on a report of a motor vehicle theft. Upon arrival, I spoke to the victim who stated the listed vehicle was taken out of her driveway. The victim advised that on Friday, April 25th, 2025 she parked her vehicle in her driveway and left for the weekend. She returned to her residence on April 28th, 2025 and realized the vehicle was missing.    The victim stated she has no possible suspects for the incident.    A New Jersey Victim Witness Notification form was completed and the victim was provided a copy. The victim also stated she would like to have the vehicle processed if it was found. The stolen vehicle check list was completed and given to dispatch to be entered into NCIC. The vehicle was also enetered into the ATTF website.    Total cost of vehicle: $45,000.  Vehicle Insurance:   Policy #: 6173947828         Code: 369</t>
  </si>
  <si>
    <t>G86REG</t>
  </si>
  <si>
    <t>TESLA</t>
  </si>
  <si>
    <t>MOD</t>
  </si>
  <si>
    <t>West Lookout Avenue, 500 Block</t>
  </si>
  <si>
    <t>25-035383</t>
  </si>
  <si>
    <t>East Pleasantview Avenue  &amp; Kipp Street, Hackensack, NJ, 07601</t>
  </si>
  <si>
    <t>On Tuesday, April 29th at approximately 0830 hours, while Detective Reo was on an extra duty traffic assignment, an anonymous male complainant approached him and disclosed the following. The anonymous complainant stated that on Sunday, April 29th at approximately 1830 hours, he witnessed an armed robbery committed by three (3) unknown male actors against an unknown Hispanic male in the area of Kipp Street and E. Pleasantview Avenue. The complainant further disclosed that the alleged "victim" was observed being dragged and thrown from the exterior hood of a vehicle, possibly car jacked and that one of the actor(s) displayed a firearm. No other information was provided at the time.   At approximately 1000 hours, after receiving the anonymous report and information from D/Sgt. Seretis, Detective Rios and I responded to the area to conduct a thorough canvass. Upon further investigation, we acquired numerous CCTV recordings of the incident, which corroborated the complainant's recollection of the events that occurred.     The Bergen County Prosecutor's Office Special Investigation Squad was notified and responded. The incident is under active investigation pending further development.</t>
  </si>
  <si>
    <t>UNKNOWN</t>
  </si>
  <si>
    <t>MERCEDES</t>
  </si>
  <si>
    <t>Dalton_Jo</t>
  </si>
  <si>
    <t>Det. Michael Koenig 153</t>
  </si>
  <si>
    <t>CSB</t>
  </si>
  <si>
    <t>Robbery - 2C:15-1 - Aggravated Assault - 2C:12-1b</t>
  </si>
  <si>
    <t>Pleasantview Avenue  &amp; Kipp Street, Unknown Block</t>
  </si>
  <si>
    <t>25-043063</t>
  </si>
  <si>
    <t>On Sunday, May 25, 2025 at approximately 19:23 hours, I responded to the lobby of 60 Kansas Street on a report of a theft. Upon my arrival, I met with Ms. Shannon Gaddy (Complainant) who wished to report several missing items from her deceased brother's apartment. The complainant advised me, that she had received an e-mail from the Housing Authority to clean out her deceased brother's (Norman Gaddy) apartment by June 1, 2025. The complainant further advised me, that she came to the apartment today at approximately 19:00 hours, and began removing her brother's belongings when she noticed several items belonging to her brother missing. At that point, I asked the complainant if she knew of anyone other than herself that had access to the apartment to which she stated "No". The complainant then stated that the last time she was in her brother's apartment was the day he passed which was on April 26, 2025 and since then, no one to her knowledge had entered the apartment.  As per the complainant, no other friend or family member had key access to the apartment other than her. The complainant stated, that the only other individuals with key access to the apartment were the building's maintenance department. I checked the exterior door to the apartment and it appeared to be secure and did not exhibit any signs of forced entry. I also checked the hallway for cameras and there were no cameras located anywhere in the hallway or corridor of the second floor or outside of the apartment. Due to the complainant's observations and statements, I believed a possible burglary had occurred and contacted headquarters and requested for a supervisor to respond. Shortly thereafter, Sgt. Farhi arrived on scene and was advised of the circumstances. After speaking with myself and the complainant, Sgt. Farhi concurred that a burglary may have occurred and contacted the on-call Detective. Sgt. Farhi spoke with Detective Lara-Nunez and it was determined that Detective Lara-Nunez would conduct a follow up investigation at a later date and time. Due to the complainant already entering the apartment and moving and touching items in the apartment, the Bergen County Sheriff's Office Bureau of Criminal Identification was not contacted. The list of belongings removed from the apartment are as follows: 1. (1)  Sony Playstation 7 valued at approximately $750.00 dollars. 2. (1) Poland Spring Water Jug containing a $20 dollar bill and a large quantity of coins valued at approximately $350 dollars.  3. (1) Pair of silver studded earings valued at approximately $60.00 dollars. 4. (1) Silver chain and cross valued at approximately $100.00 dollars.Total value of missing property is $1,260 dollars. The complainant was provided with a victim notification form and advised that she would be receiving a follow up call in a few days from the Detective Bureau.</t>
  </si>
  <si>
    <t>P.O. Reuven Lyak 318</t>
  </si>
  <si>
    <t>25-035174</t>
  </si>
  <si>
    <t>240 Prospect Avenue, Hackensack, NJ, 07601</t>
  </si>
  <si>
    <t>On April 29, 2025, I responded to the listed location for a report of a stolen vehicle.  Upon arrival, I spoke to the victim who stated her vehicle was stolen from the guest parking lot.     The victim stated that she parked her vehicle in guest spot #2 facing north at approximately 14:00 hours. The victim returned to her vehicle at approximately 14:40 hours where she realized her vehicle was missing.  Upon review of the surveillance footage, the vehicle was stolen at 14:15 hours.  At 14:14 hours, a blue colored SUV with front flashing lights (unknown registration, make or model) was seen pulling up to the listed vehicle and two white male parties exited.  The driver of the blue colored SUV entered the listed vehicle then fled in the vehicle and was last seen fleeing south on Prospect Avenue.  The other male party got into the driver seat of the blue SUV and also fled south on Prospect Avenue.       The victim was unable to articulate if she had left her vehicle unlocked and/or running but stated that she did not leave the key fob in the vehicle.   The victim stated that she had property that was left in the vehicle which included: a MCM handbag color brown (worth $500.00), her NJ driver's license, a Capital One credit card, a Wells Fargo debit card, hers and her daughter's birth certificates, Social Security card, U.S. Passport, and a car seat (worth approximately $50.00).  The estimated cost for the listed vehicle is $21,000.00. A New Jersey Victim Notification Form was completed and a copy was given to the victim.  The victim stated she does not want her vehicle processed.</t>
  </si>
  <si>
    <t>J73SXP</t>
  </si>
  <si>
    <t>ELANTA</t>
  </si>
  <si>
    <t>25-035499</t>
  </si>
  <si>
    <t>Park Street &amp; , Hackensack, NJ, 07601</t>
  </si>
  <si>
    <t>Suspects description: (1) Black Male wearing a black hoodie and a black ski mask black sweatpants and unknown sneakers. Possibly 20-30 yrs of age but difficult to tell with the ski masks.  (2) Black male wearing a black hoodie with black jeans and unknown sneakers with a maroon and black military pattern ski mask. Possibly 20-30 years of age but difficult to tell with the ski mask         The complainant and the victim responded to police headquarters to report a robbery. The victim stated he was walking West on Gamewell coming to the intersection of South Park street at approximately 1400-1430 hours when two Suspects approached him one standing behind him holding a sharp object to his back and another in front of him raiding his pockets. He stated the suspects were saying something to him in English but he did not understand any of it since he only speaks Spanish. The victim stated he was too afraid to fight back and the suspects took approximately $385-$387 cash and his blue IPhone 15 with a gray case from his pockets. The complainant was advised on how to sign complainant and may do so if the suspects are identified. A New Jersey Victim Notification form was completed and a copy was provided to the complainant.Det. Garrett was advised.</t>
  </si>
  <si>
    <t>Det. Felix Katsaroans 326</t>
  </si>
  <si>
    <t>Street &amp;, Unknown Block</t>
  </si>
  <si>
    <t>25-035868</t>
  </si>
  <si>
    <t>Warrant Arrest</t>
  </si>
  <si>
    <t>185 Central Avenue, Hackensack, NJ, 07601</t>
  </si>
  <si>
    <t>I responded to the listed location on theft of sneakers.  Upon arrival I made contact with the victim, Matese Shine, who stated that 15 pairs of her Jordan and Nike sneakers were missing from her home.  The victim stated that she has been staying at her boyfriends house but came back to her home this morning at approximately 1100 hours and realized a few of her sneaker boxes were missing.  She then called her son who stays in her home sometimes to ask him if he took her sneakers or had anyone in the home while she wasn't there in which he responded "no." The victim's son then stated that he left the door open to the home while he went to the corner store and came back home shortly after.  The victim then returned back to her home this evening at approximately 2200 hours and discovered that she had more sneakers missing from her home.  The estimated cost in sneakers that were taken is approximately $5000.00.  Due to the sneakers being taken from the home, I requested a Sgt. for a possible burglary.  Sgt. Butler arrived on scene.        I did not observe the door or handle to be tampered with and no other items were missing according to the victim.  The victim, however, did notice a pair of gray, white, and light blue Nike Air Force size 8 in a Black Nike Air show box size 9 that did not belong to her or her son.  Det. Tanucilli arrived on scene.  While confirming the victim's pedigree information through Info Cop, the results revealed that she had an outstanding warrant out of Waldwick (Warrant # E21 337).  The victim was given a copy of the R.O.R. form with a new court date from Walwick to appear in-person on May 19th, 2025.  The victim was also given a copy of the victim notification form.  If the suspect is identified, the victim would like to pursue with criminal complaints.  The sneakers were secured into evidence in Locker # 2  See Detective Tanucilli's report for further.</t>
  </si>
  <si>
    <t>Burglary - Residence - 2C:18-2 - Theft - 2C:20-3 - Warrant Arrest</t>
  </si>
  <si>
    <t>May</t>
  </si>
  <si>
    <t>25-039095</t>
  </si>
  <si>
    <t>343 Park Street, Hackensack, NJ, 07601</t>
  </si>
  <si>
    <t>On May 12th, 2025, I responded to Headquarters on a report of a burglary. Upon arrival, I met with Gnahore Gnegbo (Victim), who stated that on May 4th, 2025, at approximately 13:00 hours, his residence was burglarized. The victim stated that the front door did not have a lock and was very poorly secured which is how he supposed the suspect/s gained access. The victim stated that he did not know what exactly was missing other than what he reported.      Items stolen:      Old Social Security Card     Old New Jersey Drivers License     Unknown Miscellaneous items     The victim completed a Hackensack PD Fraud packet as a precaution in case there was any credit card fraud discovered on his banking account after the incident to which he did not disclose any suspicious activity.      Detectives notified</t>
  </si>
  <si>
    <t>Knapp_J</t>
  </si>
  <si>
    <t>Park Street, 300 Block</t>
  </si>
  <si>
    <t>25-037005</t>
  </si>
  <si>
    <t>Motor Vehicle - Private Property Tow</t>
  </si>
  <si>
    <t>233 Kinderkamack Road, Hackensack, NJ, 07601</t>
  </si>
  <si>
    <t>I responded to the listed address on a motor vehicle theft. Upon arrival I met with the registered owner of vehicle 1 who stated she parked her car in the driveway of 233 Kinderkamack Road at 1500 hours and when she returned at 1700 hours, her car was not there.     Prior to completing this report, P.O. Wouters discovered that Top Gun Towing towed Ms. Rivera's car. She was advised of the private property tow and how to retrieve her vehicle.     Vehicle 1 was taken out of NCIC.</t>
  </si>
  <si>
    <t>S41USM</t>
  </si>
  <si>
    <t>JET</t>
  </si>
  <si>
    <t>Motor Vehicle Theft - 2C:20-3 - Motor Vehicle - Private Property Tow</t>
  </si>
  <si>
    <t>Kinderkamack Road, 200 Block</t>
  </si>
  <si>
    <t>25-039778</t>
  </si>
  <si>
    <t>520 River Street, Hackensack, NJ, 07601</t>
  </si>
  <si>
    <t>On Wednesday, 05/14/2025, I responded to 520 Hackensack Avenue (All American Ford) for a motor vehicle theft. I met with Mr. Nelson Minier (Complainant), who is the general manager at All American Ford. He reported that Ms. Pegeen Callagy was the lease owner of a black 2022 Ford Bronco. Fusion Auto Finance (victim) owns the rights to the vehicle and made arrangements to pick the vehicle up with a third party towing company. The vehicle was parked and secured on the north side of the Ford lot.      The complainant reported that he has been in contact via e-mail with Mr. Sam Carter, who is the manager at Fusion Auto Finance. After arrangements were confirmed between both of them, Richie's Towing responded on 05/05/2025 at 1747 hours for the vehicle and took possession of the vehicle. Mr. Erol Hasan was the tow truck driver that day. Prior to taking the vehicle, he confirmed the vehicle's identification number and he was given a key fob by an employee at Ford. The complainant further reported that the victim contacted him later reporting the vehicle was never delivered.      Today, Mr. Hasan and Mr. Richard Cazassa (Owner of Richie's Towing) responded to Ford after being notified about the vehicle's whereabouts. Mr. Cazassa reported that he has been doing business with Noriega Towing for some time. He further reported that "Danny Noriega" contacted him about subletting a contract for him to pick the 2022 Bronco. Mr. Cazassa sent Mr. Hasan and the vehicle was towed back to his tow yard. Mr. Cazassa reported that he held the vehicle for an unusual amount of time (4 hours) and then "Danny" sent him a drop off location at JC Penny parking lot at Cherry Hill Mall. Mr. Hasan reported that he gave the vehicle to two (2) young black males and in return he was given $1,000.00 in cash for his services. The total value of the vehicle is approximately $36,000.00. Sgt. Det. Tripodi was notified. To be noted, the complainant reported that Ms. Pegeen Callagy received a suspicious phone call from a towing company wanting to pick up the vehicle from her house, in which she denied.</t>
  </si>
  <si>
    <t>BRO</t>
  </si>
  <si>
    <t>Motor Vehicle Theft - 2C:20-3 - Suspicious Incident</t>
  </si>
  <si>
    <t>River Street, 500 Block</t>
  </si>
  <si>
    <t>25-038214</t>
  </si>
  <si>
    <t>Shoplifting - 2C:20-11</t>
  </si>
  <si>
    <t>500 South River Street, Hackensack, NJ, 07601</t>
  </si>
  <si>
    <t>On 5/9/25 while at 500 South River Street Sgt. Competiello and I were approached by an unknown party stating a shoplifter was getting physical with ShopRite Loss Prevention Officer(s). Sgt. Competiello responded and made contact with the all parties. The suspect / arrestee, Virgil Kearney, was then placed under arrest. It was reported on 5/9/25 the victim / ShopRite Loss Prevention Officer observed Kearney on video surveillance conceal multiple items / merchandise in his pocket / backpack. Kearney was later observed walking towards the front register area and took two Red Bull drinks. Kearney is seen passing all points of sale(s), failing to pay, and exiting the store. While outside the store, ShopRite Loss Prevention approached Kearney. A physical altercation then started when Kearney tackled the victim, Conner Maret, to the ground and began wrestling the victim, while on the ground. Due to the physical altercation the victim sustained a minor scratch to his neck, left side. A witness / ShopRite Loss Prevention Officer, Martin Almonte-Tejada, was also present.Prior to transport to headquarters, Kearney was searched and multiple stolen merchandise were located in his pockets. All known stolen merchandise were later returned to ShopRite Loss Prevention. At this time the total amount of stolen proceed(s) were unknown, but ShopRite Loss Prevention estimated to be approximately $60.00 to $200.00.The arrestee was searched incident to arrest, yielding negative results for contraband. The arrestee was transported to Headquarters in marked radio car #115. P.O. Mattalian followed behind. Concurrently, Sgt. Competiello transported the victim to Headquarters in marked radio car #109. Upon arrival at Headquarters, the victim was turned over to Detective Dogali to provide a recorded statement. See Det. Dogali's supplement for further. The arrestee was fingerprinted and photographed.  I authored Complaint W 2025 000233 0223 for 2C:15-1A(1) robbery. The arrestee was then remanded to the Bergen County Jail.Due to the arrestee currently being homeless CBH Care / ARRIVE was offered, which he accepted. A CBH Care Form was later completed.Be advised, while issuing a city ordinance violation at the same physical location (Case # 25-038212), Sgt. Competiello and I were approached by a party who advised us of the Robbery in progress at Shop Rite. While Sgt. Competiello responded to Shop Rite, I quickly completed my city ordinance violation call, deactivated my BWC and responded to assist. Upon responding to Shop Rite I thought I activated my BWC, but it was later discovered It was never activated.</t>
  </si>
  <si>
    <t>P.O. Ioannis Papanikolaou 308</t>
  </si>
  <si>
    <t>Robbery - 2C:15-1 - Shoplifting - 2C:20-11</t>
  </si>
  <si>
    <t>South River Street, 500 Block</t>
  </si>
  <si>
    <t>25-038971</t>
  </si>
  <si>
    <t>38 Moonachie Road, Hackensack, NJ, 07601</t>
  </si>
  <si>
    <t>On Monday, May 12th, 2025, I responded to the listed location on a burglary report to auto report. Upon arrival, I met with Isaac Martinezestrada (complainant hereafter) of vehicle 1 bearing New Jersey Plate P36RMF, which was parked in parking space 95. The complainant stated he parked the vehicle at approximately 19:00 on 05/11/2025 and was unsure if he had locked the doors. He further stated that he returned to it at approximately 06:45 on 05/12/2025. He also reported that when he returned to the vehicle, he noticed the driver's side door slightly ajar, with his charging cable outside the car. The complainant reported that he noticed his car was rummaged through, and $18.00 was missing from the driver's side compact. He further noted that nothing else was taken, and his vehicle was intact. The complainant also reported having a dash camera facing outwards of the vehicle. He further reported that at approximately 03:21 hours on 05/12/2025, he could hear a person/suspect rummaging through the vehicle. He was advised to save the audio. Sgt. Ghirardi was notified.  I completed a victim's notification form and provided a copy to the complainant. The complainant wanted to sign a complaint if the suspect was to be identified.</t>
  </si>
  <si>
    <t>P36RMF</t>
  </si>
  <si>
    <t>CAM</t>
  </si>
  <si>
    <t>Moonachie Road, 0 Block</t>
  </si>
  <si>
    <t>25-039451</t>
  </si>
  <si>
    <t>On Tuesday May 13, 2025, I was assigned as the Hackensack High School SRO.   I was notified by the school counselor, Kara Ferrazano, that J.N. disclosed to her that she is involved in an intimate relationship with a 22 year old Hispanic male.       I spoke to the victim in the presence of her case worker, Carolina Valera. The victim confirmed that she is 15 year old and is currently sexually active with her 22 year old boyfriend. She added that they had sex on Sunday May 11, 2025 in his apartment located in the State of New York. The victim stated that this sexual interaction was consensual and refused to provide the identity of the suspect. She also refused to give and exact location of the incident.  I advised her that under New Jersey State Law she could not legally give consent. Various attempts were made to get further information, but the victim refused to cooperate.      I spoke to the victim's mother Maria Zhumi Peralta and advised her of the incident. She stated her daughter had disclosed this incident to her on May 12, 2025. Zhumi Peralta stated she does not know any information about the actor, but will try to obtain it from her daughter.     DCP&amp;P was notified by Mrs. Ferrazano. I notified the Bergen County Prosecutor's Office SVU. I spoke to Det. Negron who advised me that due to the incident occurring in New York I should notify the proper jurisdiction upon obtaining the location of the incident.Case Active pending victim cooperation.</t>
  </si>
  <si>
    <t>Delcarpio_M</t>
  </si>
  <si>
    <t>36B = Statutory Rape</t>
  </si>
  <si>
    <t>25-038962</t>
  </si>
  <si>
    <t>Unlawful Taking - 2C:20-10</t>
  </si>
  <si>
    <t>70 Cedar Avenue, Hackensack, NJ, 07601</t>
  </si>
  <si>
    <t>The suspect is the victim's mother's boyfriend's son, who is not related to the victim and does not reside at the residence. The victim is not friends with the suspect but only knows him.          On Monday, May 12th, 2025, P.O. Lyak, P.O. Rivera, and I responded to 70 Cedar Avenue on a report of a fight involving a stick. Upon arrival, I spoke with the victim, who is now referred to as Molano-Rivera, Alejandro. He reported that the suspect, who is now referred to as Amadiz, Freddy Jr, assaulted him multiple times to his hands and one time to his head. Alejandro reported that he was walking down his steps, opened the door, and observed Amadiz standing there. Amadiz then squatted down, picked up a stick, and started to assault Alejandro with it multiple times. Alejandro then ran back up the steps and began to scream for help. Amadiz then followed Alejandro up the stairs and continued to assault Alejandro. Alejandro made contact with his father, who was inside the apartment,when the father opened the apartment door, Amadiz took off down the steps and went toward the front of the house. Alejandro reported that Amandiz did not state anything to him during the assault. Alejandro refused medical attention on scene. While Amadiz was assaulting Alejandro, Amandiz caused damage to the ceiling causing a hole. The estimated total cost of repairing the hole in the wall is $300.00.       Sgt. Ghirardi was advised and responded to the scene to assist.      Amandiz entered the listed vehicle and left the scene after the assault occurred with the weapon he used.       Masshiel Barriows, who is the witness, reported hearing the screaming from inside her apartment which is located on the first floor. She reported that when she heard the scream, she went outside and only observed the suspect walking out of the stairs with the stick in his hands, and did not observe the assault occur.    Det/Sgt. Tripodi was advised and responded to the scene to assist and captured pictures of the incident.      Victim Notification forms were completed and were given to the victim.</t>
  </si>
  <si>
    <t>S28SNH</t>
  </si>
  <si>
    <t>13A = Aggravated Assault</t>
  </si>
  <si>
    <t>Burglary - Residence - 2C:18-2 - Aggravated Assault - 2C:12-1b - Unlawful Taking - 2C:20-10</t>
  </si>
  <si>
    <t>Cedar Avenue, 0 Block</t>
  </si>
  <si>
    <t>25-039963</t>
  </si>
  <si>
    <t>South Railroad Avenue &amp; Atlantic Street, Hackensack, NJ, 07601</t>
  </si>
  <si>
    <t>On May 15, 2025, at approximately 0815 hours the victim responded to Hackensack Police Headquarters to report a stolen motor vehicle. The victim reported that on May 12, 2025, at approximately 1930 hours he parked vehicle 1 in front of 95 Railroad Avenue facing west. When he returned to his vehicle on May 12, 2025, at approximately 2025 hours his vehicle was gone. He thought housing authority may have taken possession of the vehicle so he waited to ask them if prior to reporting it stolen. The victim further reported that he had placed a lock to prohibit the steering of the vehicle and he had a kill switch for the battery enabled. The victim is unaware of any possible suspects at this time. The approximate value of the vehicle is $1,500.00. The following items were inside the vehicle:     - An air compressor with an approximate value of $50.00     - A gray helmet with an approximate value of $20.00    The total amount stolen was $1,570.00. The victim does not wish to have the vehicle processed if it is recovered. The victim reports there is surveillance cameras in the area where the incident occurred. The victim wants to sign complaints if the suspect is identified. A victim notification form was completed. I submit the stolen vehicle entry into the Auto Theft Task Force web site. Motor vehicle theft checklist was placed in the detectives' box.</t>
  </si>
  <si>
    <t>6BHK7</t>
  </si>
  <si>
    <t>QIA</t>
  </si>
  <si>
    <t>JIG</t>
  </si>
  <si>
    <t>Railroad Avenue &amp; Atlantic Street, Unknown Block</t>
  </si>
  <si>
    <t>25-040394</t>
  </si>
  <si>
    <t>33 Henry Place, Hackensack, NJ, 07601</t>
  </si>
  <si>
    <t>I responded to police headquarters on a report of a burglary to a residence.  Upon arrival I made contact with the victim, Vanessa Durango, who stated initially that she believes her ex-boyfriend, Max Makarov (suspect), stole money from her.  The victim stated that on Monday, May 12, 2025 at approximately 0800 hours, the suspect got home and asked the victim for some money and food.  The victim stated that she did not have any money but he can help himself to some food and then went back to sleep.  The victim then woke back up at 1130 hours and realized $500.00 was missing from her purse.  The victim tried contacting the suspect via phone with negative results.       Furthermore, the victim stated that she got home this afternoon as approximately 1200 hours and saw her apartment was ransacked.  The victim is unaware if the suspect has copies of her keys and did not notice any visible forced entry to the home.  The victim did not give permission to the suspect to enter her home.  The victim stated that she noticed her yellow Gucci purse was missing that has an estimated cost of $1000.00.  The victim also stated that she had money taken out of her Capital One Bank Account totaling $2200.00.  She was given a fraud packet to fill out and advised to bring back with all proper documentation and we would create a supplement report.  The victim was given a copy of the victim notification form.  Detective Dogali was advised of the incident.</t>
  </si>
  <si>
    <t>Henry Place, 0 Block</t>
  </si>
  <si>
    <t>25-041892</t>
  </si>
  <si>
    <t>43 Maple Avenue, Hackensack, NJ, 07601</t>
  </si>
  <si>
    <t>The victim, Gabrielle Meighan, who is a program assistant at the Bergen Charter School, responded to police headquarters on a report of criminal sexual contact.  The victim reported that on 05/13/2025, at approximately 15:30 hours, she and the suspect, Stephen Innocenzi, a teacher with the school, were in the gymnasium setting for a play on the stage.  While backstage, reaching for an item, the suspect walked behind her and brushed the front of his hand against her buttocks.  After the suspect brushed up against the victim the suspect stated " I'm sorry Gabrielle i didn't mean to slap your ass".   After the suspect apologized, he then again slapped the victim's buttocks forcefully with the front of his hand and then walked away.  The victim reported the incident involving human resources personnel.  Det. Mora was notified, spoke with the victim, and took a recorded statement.  The New Jersey Victim notification form was completed.</t>
  </si>
  <si>
    <t>Maple Avenue, 0 Block</t>
  </si>
  <si>
    <t>25-041571</t>
  </si>
  <si>
    <t>461 Passaic Street, Hackensack, NJ, 07601</t>
  </si>
  <si>
    <t>The victim responded to police headquarters on a report of an auto burglary.  The victim reported that on 05/14/2025 at approximately 11:15 hours, she had parked in the handicap parking space in the parking lot of 461 Passaic Street (Family Dollar).  The victim reported that she thought she had locked her vehicle while she was inside the Family Dollar.  An Unknown suspect (s) had entered her vehicle and stolen her handicap parking placard.  The victim reported she exited the store at approximately 11:30 hours on 05/14/2025.  The victim reported that she went from the Family Dollar to Stew Leonard's and parked her vehicle when she noticed that her handicap parking placard was missing or stolen from her vehicle.  A New Jersey Victim notification form was completed.</t>
  </si>
  <si>
    <t>P2403495</t>
  </si>
  <si>
    <t>25-041339</t>
  </si>
  <si>
    <t>55 Clinton Place, Hackensack, NJ, 07601</t>
  </si>
  <si>
    <t>On Monday, May 19, 2025 at approximately 1932 hours, I responded to 55 Clinton Place on report of a motor vehicle theft. The victim reported that at approximately 1930 hours on yesterday's date, she parked the listed vehicle in her assigned parking space (#29), located in the rear lot of the listed address.     The victim further reported that she returned to her vehicle the following day, in which she was unable to locate. The victim stated that she spoke to the listed building's property manager who advised that their were no recent tows authorized by management.     The approximate cost of the listed vehicle was $25,000.00. The victim wished to have the vehicle processed for fingerprints if recovered. A Latent Prints Consent Form was completed. A Victim Notification Form was completed and the victim was provided with a copy upon my departure. The listed Vehicle was entered in the NCIC database as stolen. A stolen vehicle entry was submitted through the ATTF web site.     To be noted, the victim was in possession of the vehicle's key fobs at the time this report was taken.      Vehicle Insurance: Progressive / Policy #: 991846756 / Code: 134 / Expiration: 07/16/2025</t>
  </si>
  <si>
    <t>5964HJ</t>
  </si>
  <si>
    <t>ESC</t>
  </si>
  <si>
    <t>Clinton Place, 0 Block</t>
  </si>
  <si>
    <t>25-043899</t>
  </si>
  <si>
    <t>160 River Street, Hackensack, NJ, 07601</t>
  </si>
  <si>
    <t>On Wednesday, 05/28/2025, Mr. Matthew Gilson (victim) responded to headquarters for a burglary report. The victim reported that he is the only person that has access to his apartment. His front door is key fob access.      The victim reported, on 05/23/2025, he left his apartment at 0800 hours and returned at 1600 hours. When he returned, he observed his front apartment door ajar. He further reported he entered his apartment and did not notice anything missing or his disturbed. He reported when he was looked in his closet, he notice a blue suit pants was missing. He also notice his social security card was missing as well.      The total amount stolen is $1,200.00. The suit pants brand name is unknown at this time. He is also unaware if he is missing anything else. The victim did not have surveillance cameras at the time.      Sgt. Ghirardi and Detectives were notified.     The victim would like to sign complaints against the suspect if they were identified. A New Jersey Victim Notification form was completed.</t>
  </si>
  <si>
    <t>25-042858</t>
  </si>
  <si>
    <t>Simple Assault - 2C:12-1a</t>
  </si>
  <si>
    <t>79 Lodi Street, Hackensack, NJ, 07601</t>
  </si>
  <si>
    <t>I responded to the listed location on a reported criminal mischief. On arrival, Sgt. Farhi was on scene speaking with the victims. Samora Turner (Victim), the resident, reported that while she was inside her apartment the suspect came inside her home without permission and entered on the Briscolina Street entrance of her apartment that was unlocked at the time. It should be noted that the suspect is known to both victims as a friend. An argument ensued between the victims and the suspect, as the suspect attempted to punch Samora Turner with closed fist, her friend (Alexis Salas) which was inside the apartment also stepped in front of her and the suspect punched her in the face. The suspect then took Alexis Salas's (Victim) Iphone 15 pro valued at $1,200,00 USD and exited via the front door of the apartment which is located on the Lodi Street side. The suspect then attempted to re enter the apartment but was locked out and subsequently kicked the door in causing damage to the frame of the door of about $500.00 USD. The argument continued until the suspect fled eastbound on Lodi Street , stopped and slammed the Iphone 15 pro on the ground causing it to shatter. The incident was  witnessed by S.T., as she was inside the apartment the entire time.      The victim, Alexis Salas complained of pain to her right eye but refused medical attention. Both victims refused to complete a voluntary hand written statement. They both refused to respond to police headquarters to provide a recorded statement but were advised to respond at a later time if they wished. Victim notification forms were completed for both victims and they received copies.      A handle with care form was completed for S.T. Det. Tanucilli was notified and advised of the incident.</t>
  </si>
  <si>
    <t>Burglary - Residence - 2C:18-2 - Criminal Mischief - 2C:17-3 - Simple Assault - 2C:12-1a</t>
  </si>
  <si>
    <t>Lodi Street, 0 Block</t>
  </si>
  <si>
    <t>25-042950</t>
  </si>
  <si>
    <t>20 Prospect Avenue, Hackensack, NJ, 07601</t>
  </si>
  <si>
    <t>On 05/25/25 P.O. W. Rivera, P.O. I. Papanikolaou and I were dispatched to 20 Prospect, Suite 602, to a suspected burglary in the past. Upon arrival to the listed location, I met with Ms. Alfaro, who is the Operations Manager. I then met Ms. Guzman who is a Palliative Care Coordinator, and Mr. Bravo, who is a nurse at the practice. Ms. Alfaro stated that Mr. Bravo and Ms. Guzman, upon arriving to work at 0700 hrs, witnessed the suspect sitting in the front desk area. Mr. Bravo believed he locked the office doors when he left work yesterday, 05/24/25, at approximately 1900 hrs. Ms. Guzman tried talking to the suspect to ask why she was there, and the suspect did not respond. Ms. Guzman stated that the suspect was mumbling to herself incoherently, and did not make eye contact. The suspect then moved toward the door. The suspect then placed a pair of glasses down on the table next to the front door, and walked out of the office. It is unknown if the glasses belonged to the suspect or a staff member.After the suspect left the office, Mr. Bravo and Ms. Guzman stated they checked all the rooms to see if anything was missing. Upon checking the rooms, they observed the suspect had made multiple stacks of coins on the desk in one of the rooms. Its unknown if the coins belong to a staff member, or if they belong to the suspect. They also observed that the suspect had eaten food in their office break room. She left behind a drink, a half eaten chocolate bar, and other remnants of food on the break room table.  They also found that the suspect left a sticky note with a number 973-223-5491 and the name Great Darris Grandpa on the break room table. Mr. Bravo and Ms. Guzman stated no items of value appear to be missing at this time. Ms. Guzman then called Ms. Alfaro, and Ms. Alfaro called security. Ms. Alfaro afterward contacted Hackensack PD. Sgt. Butler arrived on scene and called the number on the sticky note. Sgt. Butler was able to make contact with the party listed on the note. The contact told Sgt.  Butler that the suspect's name was Tammi Brodish. The contact informed Sgt. Butler that the suspect suffers from mental illness. The contact is unaware of the suspect's current whereabouts, but believes she maybe homeless. HUMC security viewed the cameras and gave the description of the suspect. Suspect was described as a white female, wearing a grey hoodie and white leopard print pants. The cameras showed she entered the office at approximately 0600 hrs and left the office at approximately 0710 hrs. Suspect was then observed heading toward the service elevator.Sgt. Butler notified Lt. Levis who Det. Sgt. Tripodi. The scene had been disturbed by employees prior to police arrival.</t>
  </si>
  <si>
    <t>P.O. Jann Aberde 386</t>
  </si>
  <si>
    <t>25-043052</t>
  </si>
  <si>
    <t>87 Troast Street, Hackensack, NJ, 07601</t>
  </si>
  <si>
    <t>Suspect Descriptions: Five Hispanic/Dominican males, unknown clothing description. Seen fleeing the area in two vehicles, one possibly a white Honda sedan.     P.O. Antista and I responded to the listed location on a reported suspicious incident. Upon arrival, we spoke with the victim. He stated that today at approximately 18:15, he was inside his home watching the television. He further stated that the door was slightly ajar and that one of the suspects suddenly kicked it, causing it to fully open. The victim reported that the five suspects entered his home, with one of them stating that they were "looking for someone". The victim advised that his primary language is Spanish and that the suspects spoke to him in English. He further reported that he had asked the suspects to leave, at which time the main suspect told him "Don't talk to me like that". The victim stated that the suspects then left the residence, with him guiding them out the front door. He further stated that one of the suspects purposely struck the victim with the screen door as they were leaving, causing him slight pain to his arm. When asked if he needed medical attention, he declined.    Sgt. Farhi was contacted and advised of the circumstances. The victim was advised that detectives would be in contact with him in the following days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100 Troast and 79 Troast, which may have captured the incident.</t>
  </si>
  <si>
    <t>Burglary - Residence - 2C:18-2 - Suspicious Person - Suspicious Incident</t>
  </si>
  <si>
    <t>Troast Street, 0 Block</t>
  </si>
  <si>
    <t>25-043408</t>
  </si>
  <si>
    <t>Fight - Unarmed</t>
  </si>
  <si>
    <t>505 South River Street, Hackensack, NJ, 07601</t>
  </si>
  <si>
    <t>On 05/26/25, Sgt. Farhi, Sgt. Tedesco, P.O. Sroka, P.O. Almonte, and I responded to 505 S. River Street on a report of an unarmed fight. Upon arrival, I met with victim John Rannella, who stated a white sedan BMW, a green sedan BMW, and a blue Honda or Toyota (unknown license plates at this time) were blocking other vehicles in the parking lot of the listed location. Rannella approached the group and requested them to move their vehicles. The three vehicles exited the parking lot of the listed location.     At approximately 23:27 hours, the white BMW parked at the intersection of S. River Street and E. Moonachie Road. The Green BMW parked in front of 8 E. Moonachie Road. Rannella walked up to the intersection of S. River Street and E. Moonachie Road. The drivers and passengers exited their vehicle and began to assault Rannella by throwing punches and throwing a full 'Essentia' water bottle to his face. Rannella had lacerations to his face/nose area. Victim William Burke approached the suspects as Rannella was being assaulted. The suspects then assaulted Burke by throwing a punch to his face. Burke stated he fell to the ground.  As he was attempting to get up on his feet his phone fell out of his pocket. The suspects then grabbed Burke's phone, entered their vehicle, then fled the area.     Hackensack Volunteer EMS #1061 responded to assist. Both victims, Rannella and Burke, refused further medical attention.      Det. D. Carroll was notified and responded. Burke was transported to police headquarters for statements in the rear seat of radio car 121. The rear seat was checked prior and after transport with negative results.      A New Jersey Victim Notification Form was completed. A copy was explained and given to the victim.      Surveillance video is available at a later date.</t>
  </si>
  <si>
    <t>Robbery - 2C:15-1 - Simple Assault - 2C:12-1a - Fight - Unarmed</t>
  </si>
  <si>
    <t>25-044042</t>
  </si>
  <si>
    <t>540 Main Street, Hackensack, NJ, 07601</t>
  </si>
  <si>
    <t>Suspect description: Hispanic male, red hooded sweatshirt and black pants.      P.O. Vicale, P.O. Francavilla and I responded to the listed location for a robbery. Upon our arrival, the victim was located in the parking lot of 403 Park Street. I spoke with the victim while P.O. Vicale and P.O. Francavilla checked the area for the suspect. The victim stated he was at the 540 Main Street, 7-Eleven, drinking alcoholic beverages when the suspect pushed him and stated give me your phone and license. The victim further reported he stated no and ran to 505 Main Street, Chase bank, parking lot . The victim stated the suspect followed him, and continued requesting the victim gives him the phone and license. The victim then walked to Passaic Street and Park Street where the suspect followed. The victim stated the suspect ran South on Park Street. The victim never gave his phone and license to the suspect. The victim stated he believes the suspect's name is Fernando or Roberto, he does not known the suspects last name or where he lives.      While speaking with the victim I detected a strong odor of an alcoholic beverage coming from his breath and it appeared that he was intoxicated.      The victim refused to cooperate and wanted no further Police assistance. The victim did not wish to speak with a Detective or make a statement.</t>
  </si>
  <si>
    <t>P.O. Jacob Price 366</t>
  </si>
  <si>
    <t>Main Street, 500 Block</t>
  </si>
  <si>
    <t>25-045993</t>
  </si>
  <si>
    <t>Investigation - Follow-Up</t>
  </si>
  <si>
    <t>167 Central Avenue, Hackensack, NJ, 07601</t>
  </si>
  <si>
    <t>On 6/1/2025, the victim, Erica Best, responded to the Hackensack Medical Center. The victim reported to hospital staff she was a victim of an alleged sexual assault. Note, the victim did not initially report the incident to the Hackensack Police Department.     At the hospital, nursing staff provided medical attention to the victim. Nursing staff notified the Bergen County Prosecutor's Office Special Victim's Unit. Detective Atie from the Special Victim's Unit was apprised of the incident. According to the victim, the incident occurred outside of 167 Central Avenue on 6/1/2025. The exact time and location of the incident is unconfirmed. The suspect's identify is also unknown. The victim requested to purse this matter criminally.     The victim cooperated and consented to a full forensic medical examination. A Sexual Assault Response Team nurse was dispatched for the examination. The examination was conducted and completed at the hospital.    On 6/4/2025, I responded to the Bergen County Prosecutor's Office Special Victim's Unit to assist Detective Atie with the victim's interview. The victim was scheduled for an interview at 1100 hours. The victim did not arrive for the interview as scheduled. At approximately 1200 hours, Detective Atie attempted to contact the victim by phone with negative results. For further details surrounding the incident, refer to Detective Atie's report  (BCPO : 25-00708).    **This case will remain Active/Administratively Closed pending cooperation from the victim***</t>
  </si>
  <si>
    <t>11A = Rape</t>
  </si>
  <si>
    <t>Sexual Assault - 2C:14-2b - Investigation - Follow-Up - Active/Administratively Closed</t>
  </si>
  <si>
    <t>MTD</t>
  </si>
  <si>
    <t>25-045625</t>
  </si>
  <si>
    <t>1 University Plaza Drive, Hackensack, NJ, 07601</t>
  </si>
  <si>
    <t>I3</t>
  </si>
  <si>
    <t>I responded to 1 University Plaza on a report of and Motor Vehicle Theft. Upon arrival the complainant stated his company vehicle had been stolen over night. The complainant stated his worker; Mr. Delgado, parked the vehicle at 1340 hours on June 2, 2025. And when he returned at 0600 hours June 3, 2025 the vehicle was unable to be located. The complainant stated the vehicle was valued at approximately $7,000, and the flooring equipment and materials inside of the vehicle were valued at approximately $25,000. The complainant refused to have the vehicle processed upon recovery. The vehicle information was entered as stolen into NCIC. A completed  MV Theft Checklist was placed in the Detective Bureau Box and a Stolen Vehicle entry was made into Auto Theft Task Force.Vehicle Insurance Code - 017Insurance Policy #- PAC00001097928Detectives were notified.</t>
  </si>
  <si>
    <t>XEFE81</t>
  </si>
  <si>
    <t>E35</t>
  </si>
  <si>
    <t>University Plaza Drive, 0 Block</t>
  </si>
  <si>
    <t>25-045839</t>
  </si>
  <si>
    <t>160 Overlook Avenue, Hackensack, NJ, 07601</t>
  </si>
  <si>
    <t>On June 3rd, 2025, I responded to 160 Overlook Avenue on a report of a motor vehicle theft. Upon arrival, the victim stated that his motorcycle, bearing NJ Reg 4HXZ4, was stolen from its parking space. The victim stated that he secured his motorcycle in a covered parking garage at the listed address, parking level G3, space #51. The victim reported last observing it on approximately 5/1/25. Estimated value of the motorcycle is $15,000.00 USD, according to the victim.      The victim reported that the parking garage is key fob swipe access only for residents of the building. The interior of the parking area was checked for cameras, yielding negative results. I observed a camera on the exterior of the building, but was unable to determine if they face the garage entrances. The victim stated that the building superintendent was not on scene at this time, therefore I was unable to review potential camera footage. The victim's friend, who he rents the parking space from, stated that he did not observe the motorcycle there on 5/22/25 when he returned from a business trip. Possible window for the theft is from approximately 5/1/25 to 5/22/25. The victim stated that he still had possession of the vehicle's keys.     A NJ Victim Notification Form was completed and a copy was provided to the victim. The listed vehicle was entered into the Auto Theft Task Force website and NCIC. A Motor Vehicle Theft Investigation checklist was completed and submitted to Detective's Bureau. The victim was unable to provide further vehicle information at this time. Sgt. Butler was advised.</t>
  </si>
  <si>
    <t>4HXZ4</t>
  </si>
  <si>
    <t>YAM</t>
  </si>
  <si>
    <t>YZF</t>
  </si>
  <si>
    <t>25-046294</t>
  </si>
  <si>
    <t>411 Simons Avenue, Hackensack, NJ, 07601</t>
  </si>
  <si>
    <t>On Thursday, June 5th, 2025 at 0704 hours, I responded to 411 Simons Avenue on a burglary to auto. Upon arrival, I met with the complainant who stated he observed three (3) males dressed in black and wearing black masks surrounding the victim's vehicle (NJ-P55UNM).  He observed them smash out the rear passenger side window and enter the vehicle. The complainant yelled at the suspects which caused them to flee.  They fled in a white sedan that had both license plates covered.  The vehicle fled East on Simons Avenue towards South Summit Avenue.     Sgt. Tovbin responded to assist. The registered owner, Denise Nunez was unable to respond.  The registered owner's son, John Nunez, responded. He is the primary user of her vehicle. We observed the rear passenger window completely smashed out with shattered glass in and out of the car. Without touching the vehicle, John Nunez was able to determine that nothing was stolen from his mother's vehicle. The registered owner and John Nunez denied having the vehicle processed for fingerprints.    John Nunez captured the entire incident on a camera affixed to 416 Simons Avenue.  He saved the footage and will send it to the Hackensack Detective's e-mail. The video confirmed everything the complainant reported. John Nunez stated that the cost to repair the smashed out window is approximately $286.05. A New Jersey Victim Notification Form was completed.     There were multiple cameras affixed to the surrounding houses in the area. D/Lt. F. Bay was notified.</t>
  </si>
  <si>
    <t>P55UNM</t>
  </si>
  <si>
    <t>INFINITI</t>
  </si>
  <si>
    <t>Q50</t>
  </si>
  <si>
    <t>Burglary - Auto - 2C:18-2 - Criminal Mischief - 2C:17-3</t>
  </si>
  <si>
    <t>Simons Avenue, 400 Block</t>
  </si>
  <si>
    <t>25-046290</t>
  </si>
  <si>
    <t>39 Union Street, Hackensack, NJ, 07601</t>
  </si>
  <si>
    <t>On June 5, 2025, I responded to the listed location on a report of a burglary to an auto. Upon arrival, I met with the witness, William Ash. The witness reported that as he was responding to his vehicle, he observed two suspects.  Two males with a black ski mask.  The witness described them as a Hispanic male and a Black male. The witness stated that one male was in a vehicle (white Infiniti) and the other male was standing next to a black Infiniti bearing NJ registration EJK4320. The black Infiniti was parked in one of the tenant parking spots. The witness stated that as he walked past the male standing next to the black Infiniti, he observed the passenger-side rear window of that vehicle was shattered. The witness then observed suspect #1 reaching inside of the vehicle. The witness reported that as he turned around in an attempt to copy the registration to the vehicle occupied by Suspect #2, Suspect #1 jumped into the vehicle and they fled Northbound on Railroad Avenue. The witness stated that he observed NJ plates with a "PJ" but was unable to get the remaining characters due to the plate being covered by a tinted glass. Sgt. Tovbin also responded.       The victim responded to her vehicle and stated that she last parked her vehicle on June 4, 2025 at approximately 1900 hours. The victim stated that she is in possession of both of her key fobs and nothing appears to have been taken out of the vehicle. The victim stated that she does not want the vehicle to be processed. The victim received and completed a victim notification form. D/Lt. F. Bay was notified.</t>
  </si>
  <si>
    <t>EJK4320</t>
  </si>
  <si>
    <t>NY</t>
  </si>
  <si>
    <t>Union Street, 0 Block</t>
  </si>
  <si>
    <t>25-047026</t>
  </si>
  <si>
    <t>On Saturday, May 7, 2025 at approximately 1714 hours, I responded to 414 Hackensack Avenue ona burglary to an auto. Upon arrival, I met with the victim who reporte that an unknown suspect had smashed the rear window of the listed vehicle (NJ Reg. J58VJZ). The victim further reported that the unknown suspect stole her computer bag with various items inside. The victim reported that she parked the listed vehicle in front of 1000 building, on 6/7/2025 at approximately 0830 hours and returned on 6/7/2025 at approximately 1700 hours. The listed vehicle could not be processed due to the victim contaminating the scene.     The victim reported the price to fix the rear window at $1,000.00. The victim reported that an employee advised her that there are no cameras facing the vehicle.Stolen items:                   Price:Black computer bag      $60.00Misc. paperworkColumbia bank checks (unknown account number)Silver Dell laptop             $1,500.00$1,500.00 cashTotal loss: $3,060.00Insurance Information: Statefarm Guaranty InsurancePolicy #2388444-A10-30A     A New Jersey Victim Notification Form was completed and a copy was provided to the victim.</t>
  </si>
  <si>
    <t>J58VJZ</t>
  </si>
  <si>
    <t>FOR</t>
  </si>
  <si>
    <t>P.O. Maximiliano Anguizaca 368</t>
  </si>
  <si>
    <t>25-047203</t>
  </si>
  <si>
    <t>On June 8, 2025, I responded to the listed location on a report of a burglary to auto.  Upon arrival, I met with the victim, Vinnetta Singletary, who stated that her vehicle bearing NJ registration T64KLC was last seen by her daughter without any damage at approximately 0130 hours today. The vehicle was parked facing East near the intersection of American Legion Drive and Second Street. Surveillance cameras belonging to the Hackensack Board of Education were observed in the area but unable to view due the building being closed.     The victim reported she responded to her vehicle at approximately 1000 hours today and observed that her front passenger side window was shattered. The victim also reported that her Michael Kors purse was stolen out of the front passenger seat. The Michael Kors purse's approximate value is about $300.00 USD. The victim stated that the purse contained a lighter valued at $4.00, a tray valued at $25.00, and a finder valued at $8.00.  The total value of items stolen is $329 USD.      The victim did not wish to have the car processed. The victim received a completed victim notification form. Sgt. Tovbin was advised and responded.</t>
  </si>
  <si>
    <t>T64KLC</t>
  </si>
  <si>
    <t>25-047385</t>
  </si>
  <si>
    <t>111 River Street, Hackensack, NJ, 07601</t>
  </si>
  <si>
    <t>Suspect description:  Black female, skinny build, approximately 5' 5" tall, medium brown complexion, and she was last seen wearing a light blue scarf wrapped around her head, blue jean jacket, and unknown color pants.  She was also holding a gray laptop that was open with light blue headphone on her head.  She also has a black bookbag with her.       On June 8th, 2025, I responded to 111 River Street, TD Bank, on a report of a dispute between two parties.  Upon arrival, I met with Carlos Argueta, the Victim, and he stated that he was withdrawing some money from the ATM machine prior to returning home, 160 River Street Apt. #262, Hackensack, NJ 07601.        When he initially entered the ATM vestibule, there was an unknown black female, the Suspect, already in the vestibule, sitting down on the floor.  He withdrew his money, turned around and the Suspect began speaking to the Victim.  The Victim stated that the Suspect took out a long object that appeared to be a bat out of a black bag.  She then swung it in the air and stated to the Victim that she was going to "fuck him up." The Suspect then pushed the Victim around the waist area and took $40.00 (Two (2) twenty dollar bills) that was in his right hand.  He then stated that the Suspect fled the area walking north on Main Street.      P.O. Caero responded to check the area but was unable to locate the Suspect.  Sgt. Donnerstag also responded to assist.  The Victim stated that he will provide a statement to Detectives and will proceed with a criminal complaint if the Suspect was located and identified.  He also stated that he would be able to identify the Suspect or the Suspect's photograph in the future.  Det. Mora was notified and responded to obtain a statement from the Victim.  See Det. Mora's Supplemental Report for further information.       At Headquarters, the Victim mentioned that the Suspect stated something about the Victim's sexuality and being gay.  NJ Supplementary Bias Incident Offense Report was completed and submitted to the Detective Division's mail box.  Det. Mora was notified about the bias incident.  The Victim was provided with a copy of the Victim Notification Form.  It was also confirmed that the Victim did not sustain any injuries and refused any medical assistance.</t>
  </si>
  <si>
    <t>P.O. James Han 165</t>
  </si>
  <si>
    <t>25-048048</t>
  </si>
  <si>
    <t>150 Main Street, Hackensack, NJ, 07601</t>
  </si>
  <si>
    <t>Suspect description: Black male, approximately 30 years old, wearing black hooded sweatshirt, black sweatpants, and black sneakers.   On 6/11/25 I responded to 150 Main Street, on a reported motor vehicle theft. Upon arrival, I made contact with the victim / Amazon driver, Andryk Inojosavalor, who did not speak English. I requested for a Spanish speaking officer. P.O. W Rivera and P.O. Aberde responded. The victim stated he parked his vehicle (bearing NJ Reg V82UPJ) in the parking space right in front of 150 Main Street. The victim further stated on 6/11/25 at approximately 04:31 hours he exited his vehicle. Before the victim entered 150 Main Street to deliver a package, he observed only one person walking toward the direction of his vehicle. The victim reported the vehicle was left on and unlocked when he entered the building. The key to the vehicle was also left in the vehicle. The victim further reported upon arriving back to his vehicle at approximately 04:32 hours he witnessed the suspect drive off with his vehicle going east on Mercer Street. The estimated value of the vehicle is $8,500.00 USD according to the victim.   Headquarters was notified. The vehicle details was put out on a SPEN message.   I then spoke to the concierge, Timothy Rayford, who was not able to provide the video surveillance of the suspect at this time. Mr. Rayford advised he was going to notify his manager and that he would be able to provide me with the video surveillance at a later time. The victim later reported the following items were inside the vehicle at the time of the incident:- Wallet (estimated value is $30.00).- $20.00 USD in the wallet.- 2 License Plates (estimated value is $20.00).- 1 Bank of America Debit Card.- 1 Bank of America Credit Card.- 1 Capital One Debit Card.- 1 Capital One Credit Card.- 1 BJ's Membership Card.- 1 Mercantile Credit Card.- Multiple Amazon Packages that were not delivered yet. The total estimated value of items stolen is $8,570.00.   A NJ Victim Notification Form was completed and a copy was provided to the victim. The stolen vehicle was entered into Auto Theft Task Force and NICIC. A Motor Vehicle Theft Investigation Checklist was completed and submitted to the Detective's Bureau. Sgt. Butler was advised.      A consent to search form was not signed on scene. However, the victim was contacted after the fact and stated that he was unable to respond to headquarters to at this time to since he did not have transportation. He continued that if the car was located he would respond to headquarters to sign a consent to search form.</t>
  </si>
  <si>
    <t>V82UPJ</t>
  </si>
  <si>
    <t>RUN</t>
  </si>
  <si>
    <t>Main Street, 100 Block</t>
  </si>
  <si>
    <t>25-050281</t>
  </si>
  <si>
    <t>259 Park Street, Hackensack, NJ, 07601</t>
  </si>
  <si>
    <t>I responded to the listed location on a reported burglary to a residence. Upon arrival, I spoke with the victim and her family. She stated that on 06/18/2025 at approximately 09:15 hours, she left her home through the back door to go for a run, leaving it closed but unlocked. She further stated that her husband and daughter were sleeping in another room while she was gone. The victim reported that she returned to the rear of her home at 10:00 hours. She further reported that when she re-entered her home, she observed the kitchen to be in disarray, with chairs knocked over and cleaning products knocked onto the ground. The victim stated that she then alerted her family, who reported the mess was not their doing. She further stated that they noticed their family cat was missing and then attempted to locate her, proving unsuccessful.    I then requested a supervisor. Sgt's Tedesco and Farhi responded to assist. Det. Sgt. Williams and Det. Dogali also responded and were advised.      The victim reported that no items, valuables or furniture was missing and the only thing taken was the family cat.     The cat, Ebony, is described as a black and white Tuxexdo cat, 3 years old with a pink collar around her neck containing contact information, with no health issues.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263 Park Street and 252 Park Street, which may have captured the incident.</t>
  </si>
  <si>
    <t>Park Street, 200 Block</t>
  </si>
  <si>
    <t>25-050625</t>
  </si>
  <si>
    <t>On Thursday, June 19, 2025 at approximately 1204 hours, I responded to 500 South River Street (Shop Rite) on a reported assault. Sgt. Farhi responded to assist. Upon arrival, we met with the complainant (sales associate) who reported that the suspect entered the establishment at approximately 1133 hours. He further reported that the suspect filled his shopping cart with various grocery items before approaching to the self-checkout registers.      The suspect reportedly bypassed the last point of sales before he was stopped by the complainant. The complainant stated that suspect shoved him and proceeded to load his vehicle with the stolen groceries. The suspect fled the scene in a blue Nissan sedan (PA - MNL7949), which was operated by an unidentified adult female. The total loss suffered during the incident was approximately $226.00.      A Victim Notification Form was completed. The complainant was given a copy upon our departure. The complainant did not wish to sign complaints for aggravated assault if the suspect was later identified. He was advised that the incident would be documented and how to obtain a copy of this report. The establishment's loss prevention personnel advised that he would retain surveillance footage of the incident for future references. Det. Tanucilli was notified.     Suspect description: White male, 55-58 years of age, 5'7"- 5'8", slim build, bald head, light facial hair, red shirt, light colored shorts, black/red sneakers</t>
  </si>
  <si>
    <t>MNL7949</t>
  </si>
  <si>
    <t>PA</t>
  </si>
  <si>
    <t>Robbery - 2C:15-1 - Shoplifting - 2C:20-11 - Aggravated Assault - 2C:12-1b</t>
  </si>
  <si>
    <t>25-051150</t>
  </si>
  <si>
    <t>274 State Street, Hackensack, NJ, 07601</t>
  </si>
  <si>
    <t>On June 21, 2025, at approximately 09:26 hours, I responded in marked radio car #117 to 274 State Street (city parking lot - Area D), for a report of a burglary. Upon arrival, I met with the victim who stated that someone tried to steal his vehicle.     The victim stated that he parked the listed vehicle (NJ/M60JZJ) directly behind 251 Main Street, in a marked parking space (space #20) facing east, at approximately 23:30 hours on the date of 06/20/2025.  He returned to his vehicle on this date at approximately 09:00 hours and noticed that the front passenger side door was left ajar and the rear driver side window was broken.  The victim also noticed that the compartment under the steering wheel was left open and the ignition to the vehicle was tampered with.  The victim stated that the vehicle is no longer functional due to the incident. The victim reported that none of his belongings were missing from the vehicle.  The estimated cost of repairs is approximately $2000.00.     Due to the tampering of the ignition, it appeared that the incident was an attempt to steal the vehicle.  The victim stated that the vehicle has an anti theft system installed.  I observed pry marks on the window sill which led me to believe that burglary tools may have been utilized to gain entry.  Due to the vehicle being contaminated by the victim, the scene was unable to be processed for fingerprints.  There are several cameras in the area that may have captured the incident.  The closest camera to the incident is located on the rear of 270 State Street.  Sgt. Gretkowski was notified of the incident.     A New Jersey Victim Notification Form was completed and a copy was given to the victim.  The victim wishes to be notified if any parties involved can be identified.Vehicle Insurance: Company Code 017, Policy #HPA00002847687.</t>
  </si>
  <si>
    <t>M60JZJ</t>
  </si>
  <si>
    <t>ELA</t>
  </si>
  <si>
    <t>Burglary - Auto - 2C:18-2 - Criminal Attempt - 2C:5-1 - Motor Vehicle Theft - 2C:20-3</t>
  </si>
  <si>
    <t>State Street, 200 Block</t>
  </si>
  <si>
    <t>25-051110</t>
  </si>
  <si>
    <t>Notification Request</t>
  </si>
  <si>
    <t>20 Atlantic Street, Hackensack, NJ, 07601</t>
  </si>
  <si>
    <t>On 6/21/25 P.O. F. Caneja and I responded to the listed address to investigate the report of a stolen motor vehicle, which was used to commit a crime within the municipality of Ramsey, NJ.   Upon arrival, we spoke to Brittany Perrotti, who is the registered owner of the vehicle. She stated that she parked her vehicle at the entrance level of the Area A garage near the State Street exit at approximately 15:00 hours on 6/20/25, and had no further contact with the vehicle until she was contacted by the Ramsey Police Department. She stated that she was contacted by the Ramsey Police Department and had been notified that her vehicle was used in the commission of a crime. Officers in Ramsey located the vehicle and attempted to make a motor vehicle stop, but were not able to, which then lead the Ramsey Police Department to contact the victim and make a notification.   Afterwards, I checked the location of the Area A garage where the victim stated that she parked her car. The car was not found at the location, there was no broken glass on the ground, and no other signs of theft was found.  The vehicle is described as a black KIA Sportage bearing NJ registration W70RJE. Complaints are to be signed against identified suspects. A victim notification form was completed, and she was provided with a copy. The victim is undecided at this time about having the vehicle processed for latent prints. She was advised that if she wished to do so, that a consent form needed to be completed. Vehicle insurance information is as follows, Code 632 Plymouth Rock Policy number TCA00002035735. Vehicle information was entered into NCIC.</t>
  </si>
  <si>
    <t>W70RJE</t>
  </si>
  <si>
    <t>SPO</t>
  </si>
  <si>
    <t>Motor Vehicle Theft - 2C:20-3 - Notification Request</t>
  </si>
  <si>
    <t>Atlantic Street, 0 Block</t>
  </si>
  <si>
    <t>Administrative and Support</t>
  </si>
  <si>
    <t>25-051170</t>
  </si>
  <si>
    <t>274 Main Street, Hackensack, NJ, 07601</t>
  </si>
  <si>
    <t>Suspect description: Black male, dressed in all black, wearing a black ski mask.    On Saturday, June 21, 2025 at 1112 hours, Sgt. Gretkowski, P.O. Conlon and I responded to the area of Main Street and Berry Street on a motor vehicle theft. Sgt. Gretkowski was first on scene and he advised communications that this theft occurred approximately 10 minutes in the past. P.O. Conlon and I checked the area with negative results. Communication was advised to announce the stolen vehicle over SPEN.    I met with the victim on Main Street and Berry Street who stated that she parked her vehicle (NJ-S88UJJ) in front of Johnson Library (274 Main Street) and left it running with the doors unlocked. She walked across the street to KD Nutrition (274 1/2 Main Street) where she observed the suspect enter her vehicle. The victim ran across the street to her vehicle, pulled on the car door (which was now locked) then the suspect drove North on Main Street and fled the area.         The victim stated she only had her wallet in the vehicle with contained: 1- New Jersey D.L. Multiple debit/credit cards (All canceled)Approximately $3.00 cashLoose changeCar information (Registration/Insurance)The registered owner was not on scene, but I spoke to him over the phone and he requested the vehicle shall be fingerprinted if located, a consent to the taking of latent prints form was completed. The vehicle had no GPS and approximate value is $34,000. The vehicle was entered into NCIC.A New Jersey Victim Notification Form was completed.  An ATTF entry was made. Insurance information: Cure Auto Insurance (946), Policy #: PANJ089443, Expiration: 09/27/2025</t>
  </si>
  <si>
    <t>S88UJJ</t>
  </si>
  <si>
    <t>HIG</t>
  </si>
  <si>
    <t>Main Street, 200 Block</t>
  </si>
  <si>
    <t>25-051478</t>
  </si>
  <si>
    <t>95 Tracy Place, Hackensack, NJ, 07601</t>
  </si>
  <si>
    <t>G5</t>
  </si>
  <si>
    <t>I responded to the listed location for a motor vehicle theft. The victim reported that he parked his vehicle on 06/21/2025 at approximately 1900 hours and when he returned to his vehicle on 06/22/2025 at approximately 1100 hours it was gone. The victim further stated that he leaves the passenger door unlocked and a key in the center console of the vehicle.      No security cameras were observed in the area of where the vehicle was last seen.     The victim does not want the vehicle processed if it is located. I completed a New Jersey Victim Notification form and a copy was given to the victim. I completed a Hackensack Police Department MV Theft check list and it was turned into the front desk. The vehicle information was entered into the ATTF website. Vehicle was entered into NCIC as stolen.</t>
  </si>
  <si>
    <t>G85RPW</t>
  </si>
  <si>
    <t>COR</t>
  </si>
  <si>
    <t xml:space="preserve">NJ
</t>
  </si>
  <si>
    <t>Tracy Place, 0 Block</t>
  </si>
  <si>
    <t>25-052908</t>
  </si>
  <si>
    <t>250 Main Street, Hackensack, NJ, 07601</t>
  </si>
  <si>
    <t>I responded to police headquarters on a report of a burglary to a resident.  Upon arrival,  I made contact with the victim, Santos De La Cruz, who stated that somebody stole his safe from his room.  The victim stated that the safe was on the floor next to his bed and he saw it last on Monday, June 23rd, 2025.  The victim then went back to his safe this evening (06/26/2025) at approximately 1900 hours to put some of his savings in there, when he noticed the safe was missing.  The safe had $2,000.00 cash, a gold necklace ($300.00), an engagement ring ($300.00), and a gold ring ($300.00).  The safe also has an approximate value of $200.00.  The total estimated proceeds that were taken is approximately $3,100.00.  The victim did not observe an signs of forced entry and stated that his bedroom door is always locked.  Furthermore, he advised that he is the only person that has access to his room keys.  The victim was given a copy of the victim notification form.  Lt. L. Dominguez was advised of the incident and he informed D/Sgt. P. Williams.</t>
  </si>
  <si>
    <t>Burglary - Residence - 2C:18-2 - Theft - 2C:20-3</t>
  </si>
  <si>
    <t>25-052508</t>
  </si>
  <si>
    <t>355 West Pleasantview Avenue , Hackensack, NJ, 07601</t>
  </si>
  <si>
    <t>On June 25, 2025 I responded to 355W Pleasantview Ave on a report of a burglary to auto. Upon arrival, I met with the victim, David Cohen who stated that he believes his vehicle was burglarized some time after he came home. The victim stated that at approximately 12:45 hours today he came home and parked his vehicle in his assigned parking space (space 28). The victim left the windows rolled down about 6 inches while he went into his residence. Approximately an hour later he went back to his vehicle and discovered the interior in disarray and his belongings left in a mess. There were no signs of forced entry to his vehicle at this time.After further observation he realized his black wallet was stolen along with approximately 80-100 dollars and 3 credit cards. The victim reported the wallet was described as a black wallet with an approximate $10.00 value. Sgt. Tedesco responded to the scene shortly after. The victim did not want his vehicle processed at this time. Detectives were notified and a victim notification form was completed.      The victim reported that at the time of the report there was no fraudulent activity on his credit cards.      Total loss from incident is approximately $90-$110 at this time.</t>
  </si>
  <si>
    <t>C58VRT</t>
  </si>
  <si>
    <t>West Pleasantview Avenue, 300 Block</t>
  </si>
  <si>
    <t>25-053161</t>
  </si>
  <si>
    <t>On June 27, 2025, I responded to 77 Prospect on a report of a residential burglary that occurred in the past.  The reported burglary may have occurred today between 1100 hours and 1300 hours.      Upon arrival there was no initial response at the door. I contacted headquarters and they advised that the victim was hard of hearing. The door was unsecured and  I was able to make contact with the victim.  check on the welfare of the victim.            The victim stated she went to take a nap in the living room, at approximately 1100 hours and woke up at approximately 1300 hours. Upon waking up she noticed her apartment was rummaged through and her belongings were all around her on the floor. She observed that $70 cash, some credit cards and food stamps were missing. The victim stated she did not hear anyone walk into her apartment, since she took off her hearing aid when talking her nap. She also states that the apartment door is always left unlocked. The victim contaminated the scene prior to my arrival. No cameras are located on that floor level.Sgt. Farhi was advised and DSGT. Tripodi followed up.</t>
  </si>
  <si>
    <t>Under Supervisor Review</t>
  </si>
  <si>
    <t>25-053984</t>
  </si>
  <si>
    <t>33 East Broadway, Hackensack, NJ, 07601</t>
  </si>
  <si>
    <t>I responded to the listed location on a report of a burglary to auto. Upon arrival, I spoke to the complainant who stated that his vehicle was broken into and many of his tools were stolen. The complainant stated that he last saw his vehicle on 6/29/2025 at approximately 1500 hours and it was in tact. On 6/30/2025 at approximately 07:30 hours, he tried opening his vehicle to go to work and realized that the lock had been broken. He then checked the rest of the vehicle and realized many different items were missing along with the ignition being broken.    The complainant stated that he had no possible suspects for the incident. A New Jersey Victim Witness form was completed and the complainant was provided a copy.   List of stolen items: ($5,000.00)            Big Laser: $600            Laser Point: $400            12 Inch Miter Saw: $600             7 Inch Miter Saw: $350             Table Saw: $700             2 Chipping Guns: $500            Concrete Shotgun: $250              2 Compressor hoses: $200            Compressor: $200            Milwaukee: $200            10 Milwaukee Batteries: $1000            D/Sgt. P. Williams was advised.</t>
  </si>
  <si>
    <t>F10SMK</t>
  </si>
  <si>
    <t>East Broadway, 0 Block</t>
  </si>
  <si>
    <t>Incident Date_Between</t>
  </si>
  <si>
    <t>Incident Time_Between</t>
  </si>
  <si>
    <t>Report Date</t>
  </si>
  <si>
    <t>Report Time</t>
  </si>
  <si>
    <t>CompleteCalc</t>
  </si>
  <si>
    <t>CASE_NUMBER_LENGTH</t>
  </si>
  <si>
    <t>AllIncidents</t>
  </si>
  <si>
    <t>Start of Hour</t>
  </si>
  <si>
    <t>INC_DATE_AND_TIME</t>
  </si>
  <si>
    <t>TOD</t>
  </si>
  <si>
    <t>Week of Month</t>
  </si>
  <si>
    <t>Day of Year</t>
  </si>
  <si>
    <t>BLOCK2</t>
  </si>
  <si>
    <t>Location</t>
  </si>
  <si>
    <t>St#</t>
  </si>
  <si>
    <t>VEHICLE</t>
  </si>
  <si>
    <t>TOTAL_STOLEN_AMOUNT</t>
  </si>
  <si>
    <t>REPORT_CYCLE</t>
  </si>
  <si>
    <t>TIME_OF_DAY</t>
  </si>
  <si>
    <t>Dominguez_l</t>
  </si>
  <si>
    <t>Complete</t>
  </si>
  <si>
    <t>bay_f</t>
  </si>
  <si>
    <t>briggs_s</t>
  </si>
  <si>
    <t>deleon_a</t>
  </si>
  <si>
    <t>KLOSK_J</t>
  </si>
  <si>
    <t>gretkowski_j</t>
  </si>
  <si>
    <t>Unknown</t>
  </si>
  <si>
    <t>unknown</t>
  </si>
  <si>
    <t>Mercedes</t>
  </si>
  <si>
    <t xml:space="preserve">BMW </t>
  </si>
  <si>
    <t>s28snh</t>
  </si>
  <si>
    <t>Honda</t>
  </si>
  <si>
    <t>knapp_j</t>
  </si>
  <si>
    <t>Honda PIL</t>
  </si>
  <si>
    <t>delcarpio_m</t>
  </si>
  <si>
    <t>ghirardi_r</t>
  </si>
  <si>
    <t>Nissan</t>
  </si>
  <si>
    <t>28-Day</t>
  </si>
  <si>
    <t xml:space="preserve">Nissan </t>
  </si>
  <si>
    <t>klosk_j</t>
  </si>
  <si>
    <t>y82vds</t>
  </si>
  <si>
    <t>Volks</t>
  </si>
  <si>
    <t>swetits_m</t>
  </si>
  <si>
    <t>Volks ATL</t>
  </si>
  <si>
    <t>Hyundai</t>
  </si>
  <si>
    <t>Sonata</t>
  </si>
  <si>
    <t>Hyundai Sonata</t>
  </si>
  <si>
    <t>levis_r</t>
  </si>
  <si>
    <t>BAY_F</t>
  </si>
  <si>
    <t>BMW 430</t>
  </si>
  <si>
    <t>Subaru</t>
  </si>
  <si>
    <t>klosk_J</t>
  </si>
  <si>
    <t>Subaru IMP</t>
  </si>
  <si>
    <t>tovbin_s</t>
  </si>
  <si>
    <t>Name</t>
  </si>
  <si>
    <t>Extension</t>
  </si>
  <si>
    <t>Date accessed</t>
  </si>
  <si>
    <t>Date modified</t>
  </si>
  <si>
    <t>Date created</t>
  </si>
  <si>
    <t>Folder Path</t>
  </si>
  <si>
    <t>.xlsx</t>
  </si>
  <si>
    <t>C:\Users\carucci_r\OneDrive - City of Hackensack\_EXPORTS\_LawSoft_EXPORT\RMS\SCRPA_RMS\</t>
  </si>
  <si>
    <t>W46uly</t>
  </si>
  <si>
    <t>r36gbb</t>
  </si>
  <si>
    <t>r97ryw</t>
  </si>
  <si>
    <t>nj</t>
  </si>
  <si>
    <t>k84cxu</t>
  </si>
  <si>
    <t>Lexus</t>
  </si>
  <si>
    <t>Swetits_m</t>
  </si>
  <si>
    <t>p77uzj</t>
  </si>
  <si>
    <t>Ford</t>
  </si>
  <si>
    <t>am82732</t>
  </si>
  <si>
    <t>Promaster</t>
  </si>
  <si>
    <t>T12sse</t>
  </si>
  <si>
    <t>Dodge</t>
  </si>
  <si>
    <t>s70mpz</t>
  </si>
  <si>
    <t>l17pum</t>
  </si>
  <si>
    <t>z53rvg</t>
  </si>
  <si>
    <t>farhi_b</t>
  </si>
  <si>
    <t>y52rxa</t>
  </si>
  <si>
    <t>Chevrolet</t>
  </si>
  <si>
    <t>m88kxu</t>
  </si>
  <si>
    <t>competiello_fa</t>
  </si>
  <si>
    <t>Acura</t>
  </si>
  <si>
    <t>Toyota</t>
  </si>
  <si>
    <t>imkr57</t>
  </si>
  <si>
    <t>Rogue</t>
  </si>
  <si>
    <t>utu50w</t>
  </si>
  <si>
    <t>Mazda</t>
  </si>
  <si>
    <t>t21vbk</t>
  </si>
  <si>
    <t>butler_j</t>
  </si>
  <si>
    <t>n51uxw</t>
  </si>
  <si>
    <t>d48utt</t>
  </si>
  <si>
    <t>xkem57</t>
  </si>
  <si>
    <t>h88kag</t>
  </si>
  <si>
    <t>donnerstag_r</t>
  </si>
  <si>
    <t>peralta_k</t>
  </si>
  <si>
    <t>Tesla</t>
  </si>
  <si>
    <t>Yamaha</t>
  </si>
  <si>
    <t>s41usm</t>
  </si>
  <si>
    <t>Infiniti</t>
  </si>
  <si>
    <t>t64klc</t>
  </si>
  <si>
    <t>v82upj</t>
  </si>
  <si>
    <t>w70rje</t>
  </si>
  <si>
    <t>7-Day</t>
  </si>
  <si>
    <t>CaseNumberLength</t>
  </si>
  <si>
    <t>Honda ACC</t>
  </si>
  <si>
    <t>Next Day</t>
  </si>
  <si>
    <t>Within Week</t>
  </si>
  <si>
    <t>Same Day</t>
  </si>
  <si>
    <t>Honda CRV</t>
  </si>
  <si>
    <t>Honda ODY</t>
  </si>
  <si>
    <t>Within Month</t>
  </si>
  <si>
    <t>Ford R1Z</t>
  </si>
  <si>
    <t>Ford EXP</t>
  </si>
  <si>
    <t>HYN TIB</t>
  </si>
  <si>
    <t>Subaru TRI</t>
  </si>
  <si>
    <t>Ford ECO</t>
  </si>
  <si>
    <t>Toyota SIENNA</t>
  </si>
  <si>
    <t>Nissan Rogue</t>
  </si>
  <si>
    <t>Nissan RGE</t>
  </si>
  <si>
    <t>Mazda C30</t>
  </si>
  <si>
    <t>BMW 530</t>
  </si>
  <si>
    <t>Chevrolet SUB</t>
  </si>
  <si>
    <t>Ford E25</t>
  </si>
  <si>
    <t>GEN G80</t>
  </si>
  <si>
    <t>Toyota CAM</t>
  </si>
  <si>
    <t>Infiniti Q50</t>
  </si>
  <si>
    <t>Subaru FOR</t>
  </si>
  <si>
    <t>Hyundai ELA</t>
  </si>
  <si>
    <t>Subaru CRO</t>
  </si>
  <si>
    <t>(All)</t>
  </si>
  <si>
    <t>BLOCK</t>
  </si>
  <si>
    <t>NIBRS Classification</t>
  </si>
  <si>
    <t>Block Incident Occurred On</t>
  </si>
  <si>
    <t>12:00-15:59 Afternoon</t>
  </si>
  <si>
    <t>Second St, 0 Block</t>
  </si>
  <si>
    <t>30 Second Street</t>
  </si>
  <si>
    <t>Burglary - Residence</t>
  </si>
  <si>
    <t>suspects at the time this report was taken</t>
  </si>
  <si>
    <t>$35.00. A Victim Notification was completed and the victim was provided with a copy upon our departure</t>
  </si>
  <si>
    <t>08:00-11:59 Morning Peak</t>
  </si>
  <si>
    <t>Sat</t>
  </si>
  <si>
    <t>Kansas St, 0 Block</t>
  </si>
  <si>
    <t>60 Kansas Street</t>
  </si>
  <si>
    <t>suspects inside</t>
  </si>
  <si>
    <t>$2,000 in miscellaneous jewelry. She described the jewelry to be earrings and gold necklaces.The victim reported she had the same incident occur in 2023</t>
  </si>
  <si>
    <t>Morning Peak (08:00-11:59)</t>
  </si>
  <si>
    <t>Fri</t>
  </si>
  <si>
    <t>292 The Esplanade</t>
  </si>
  <si>
    <t>Time of Day Incident Occurred</t>
  </si>
  <si>
    <t>00:00-03:59 Early Morning</t>
  </si>
  <si>
    <t>Wed</t>
  </si>
  <si>
    <t>Passaic St, 400 Block</t>
  </si>
  <si>
    <t>441 Passaic Street</t>
  </si>
  <si>
    <t>Burglary - Commercial, Alarm - Burglar</t>
  </si>
  <si>
    <t>Burglary - Commercial</t>
  </si>
  <si>
    <t>Early Morning (00:00-03:59)</t>
  </si>
  <si>
    <t>Structure Type</t>
  </si>
  <si>
    <t>Residential - Home</t>
  </si>
  <si>
    <t>Pangborn Pl, 0 Block</t>
  </si>
  <si>
    <t>35 Pangborn Place</t>
  </si>
  <si>
    <t>Burglary - Commercial, Suspicious Incident</t>
  </si>
  <si>
    <t>suspect(s): unknown     i responded to the listed location, 35 pangborn place - hackensack emergency dental, on a report of a burglary</t>
  </si>
  <si>
    <t>$100.00 USD) and a Keep Connect Router Reporter ( $50.00) had been a taken from the basement. The complainant further stated there did not appear to be any forced entry into the basement $150.00 USD</t>
  </si>
  <si>
    <t>Entry Method</t>
  </si>
  <si>
    <t>1 Park Avenue</t>
  </si>
  <si>
    <t>suspect #1- black female, long black hair, approximately in the early 30's, approximately 5'10 in height, approximately 170 lbs, wearing a black baseball hat, black jacket, white and black leggings, white socks and white sneakers suspect #2- black female, long black hair, approximately in the early 30's, approximately 5'10 in height, approximately 250 lbs, wearing a white jacket, white and grey leggings,white socks and tan timberlands suspects walked through the front lobby door of 1 park avenue, they proceeded to take the elevator to the 4th floor suspect 1 was seen leaving the entrance of 1 park avenue with two bags potentially from the apartment suspect #1 left with is unknown at this time</t>
  </si>
  <si>
    <t>Point of Entry</t>
  </si>
  <si>
    <t>20:00-23:59 Night</t>
  </si>
  <si>
    <t>211 Essex Street</t>
  </si>
  <si>
    <t>Burglary - Commercial, Hindering Apprehension, Resisting Arrest/Eluding</t>
  </si>
  <si>
    <t>Hindering Apprehension</t>
  </si>
  <si>
    <t>Resisting Arrest/Eluding</t>
  </si>
  <si>
    <t>Signs of Forced Entry</t>
  </si>
  <si>
    <t>None reported</t>
  </si>
  <si>
    <t>2 Park Avenue</t>
  </si>
  <si>
    <t>Suspect Description</t>
  </si>
  <si>
    <t>100 Essex Street</t>
  </si>
  <si>
    <t>Suspect Vehicle Description</t>
  </si>
  <si>
    <t>75 Fair Street</t>
  </si>
  <si>
    <t>Items Stolen</t>
  </si>
  <si>
    <t>Electronics</t>
  </si>
  <si>
    <t>Value of Stolen Property</t>
  </si>
  <si>
    <t>Offense Completed</t>
  </si>
  <si>
    <t>Yes</t>
  </si>
  <si>
    <t>A neighbor reported the incident while the homeowner was hospitalized for an extended stay at New Bridge Medical Center.</t>
  </si>
  <si>
    <t>28-DAY</t>
  </si>
  <si>
    <t>Victim's Vehicle Description</t>
  </si>
  <si>
    <t>Vehicle Was Parked</t>
  </si>
  <si>
    <t>Damage to Vehicle</t>
  </si>
  <si>
    <t>Keys with Vehicle</t>
  </si>
  <si>
    <t>NJ-U57SNU MAZDA, C30</t>
  </si>
  <si>
    <t>Pritate Lot</t>
  </si>
  <si>
    <t>Not stated in Report</t>
  </si>
  <si>
    <t>N/A</t>
  </si>
  <si>
    <t>No</t>
  </si>
  <si>
    <t>C06W22</t>
  </si>
  <si>
    <t>2025_07_08_10_40_55_ALL_RMS.xlsx</t>
  </si>
  <si>
    <t>25-054058</t>
  </si>
  <si>
    <t>P.O. Lemanowicz and I responded to the listed location on a burglary.   Upon arriving, P.O. Lemanowicz and I spoke with the complainant.  The complainant stated that he left items locked inside apartment #9 on Friday 06/27/25 at around 1600, and when he returned Monday 06/30/25 at 0900, he found that he was missing a Levoit air filter ($120 value) and a replacement Levoit filter ($10 value).  The door was forced open and the interior frame of the door was damaged as well as the dead bolt.      Sgt. Briggs responded to the scene and was advised of the above.   Due to the fact that the crime scene was cleaned up and contaminated by the workers, this scene could not be processed by BCI.  A victim notification from was filled out and a copy was handed to the victim.      There are no suspects at this time.  Total value stolen is $130.00.Estimated damage to the door and lock is $500.00</t>
  </si>
  <si>
    <t>P.O. Ricardo Swaby 381</t>
  </si>
  <si>
    <t>25-054454</t>
  </si>
  <si>
    <t>Suspect #1: Black male approximately in his late 30's, last seen wearing a Red and Blue Cap, Black T-Shirt with red lining and black pants.       Suspect #2: Black female approximately in her late 30's, last seen wearing a Black Cap, a white tank top, gray shorts and white sneakers.         On July 1, 2025, P.O. Anguizaca-Zhindon and I responded to the listed location on a report of a possible shoplifting. Upon arrival, I met with the complainant, loss prevention employee Jeremy Delgado. The complainant  reported at approximately 1241 hours Suspect #1 and Suspect #2 were observed  at the self- check register.      Suspect #1 was observed handing Suspect #2 a meat package to scan. While on surveillance footage both suspects were observed to be under ringing items by using the same meat package with a value of $17.54 and scanning it multiple times . Each meat package has a different value but unable to determine the specific value for each. Various meat packages were observed in the suspects shopping cart but only one being scanned multiple times. The suspects then walked out of the store and the complainant  approached them and confronted them regarding the purchase. The complainant stated that Suspect #1 became aggressive and stated " I will fuck you up" and proceeded to then forcefully pull  the shopping cart out of the complainants hand. No injuries were reported at this time.      Sgt. Briggs responded. The complainant was advised to e-mail surveillance footage of the incident to detectives division. The complainant was advised Detective's will reach out if he wishes to make a statement. D/Sgt. P. Williams was advised.</t>
  </si>
  <si>
    <t>July</t>
  </si>
  <si>
    <t>25-054890</t>
  </si>
  <si>
    <t>175 Passaic Street, Hackensack, NJ, 07601</t>
  </si>
  <si>
    <t>On Wednesday, July 2, 2025, I responded to a reported burglary at the specified residence. Upon arrival, I spoke with the victim, Angela Washington, who stated that her 18-carat gold necklace ($500) and 18-carat gold ball earrings ($250) were missing from the shelf in her bathroom.     The victim reported that earlier today, at approximately 10:45 a.m., she left her residence for a hair appointment in Paterson, NJ, and left the jewelry on the top shelf in the bathroom. She also reported that she ensured both locks on the front door entrance to the apartment were locked when she left. She further reported that she returned to her apartment between 1400 hours and 1430 hours, and upon arrival, she noticed that the top lock was unlocked, but the bottom lock appeared to be secured.      The victim, Angela Washington, reported that when she entered the apartment, she made her way into the bathroom and noticed that the pieces of jewelry were missing. She further reported that nothing else in the apartment appeared to be out of place or missing. I requested a supervisor and Sgt. Donnerstag responded to assist. It should be noted that when we asked the victim why she waited four hours to report the incident, she replied that she cleaned and checked the apartment to make sure she had not misplaced the pieces of jewelry. I completed a victim notification form and provided a copy to the victim. Detective, Sgt. Tripodi was notified.</t>
  </si>
  <si>
    <t>Passaic Street, 100 Block</t>
  </si>
  <si>
    <t>25-055122</t>
  </si>
  <si>
    <t>400  Hackensack Avenue, Hackensack, NJ, 07601</t>
  </si>
  <si>
    <t>On 7/3/25 P.O. I. Papanikolaou and I responded to 400 Hackensack Avenue, the Shops at Riverside, on a burglary.     Upon arrival, I met with the complainant, Connie Rexach, and her employee, Mason Bullock. The complainant was the Manager of Divinity Cleaning Service. Divinity Cleaning Service was a company who had a contract, for approximately 2 years, with the Cheesecake Factory.     The complainant stated between 6/27/25 at approximately 09:30 hours and 7/1/25 at approximately 18:00 hours an unknown suspect(s) stole equipment from the Cheesecake Factory Mechanical Room. The Cheesecake Factory Mechanical Room entry door was located outside on the south side of the Shops at Riverside. The complainant reported the Cheesecake Factory Mechanical Room door was locked, but it doesn't properly secure and could be forced open with pressure. The stolen equipment were as follows:A side by side floor machine, unknown serial number and unknown brand. Estimated value was approximately $850.00.A five pound bucket of stone polish paste valued at $480.Total value of stolen equipment was $1,330.00.   The complainant stated the Shops at Riverside Security Department was notified and advised of the incident.    Upon inspecting the Cheesecake Factory Mechanical Room no signs of forced entry / damage were observed. Additionally since 7/1/25 multiple people possibly made entry into the room, which contaminated any possible service area for fingerprints.    A supervisor was requested and Sgt. Competiello responded. The Detective Bureau was notified by Sgt. Competiello and Det. Sgt. Williams was advised of the incident.    A New Jersey Victim Notification Form was completed. The complainant reported if the suspect(s) are identified Divinity Cleaning Service would pursue a criminal case.</t>
  </si>
  <si>
    <t>Burglary - Commercial - 2C:18-2 - Theft - 2C:20-3</t>
  </si>
  <si>
    <t>25-055295</t>
  </si>
  <si>
    <t>275 Beech Street, Hackensack, NJ, 07601</t>
  </si>
  <si>
    <t>On Thursday July 3, 2025, P.O. Rodriguez and I responded to 30 Prospect Ave (Hackensack University Medical Center, Pediatric Emergency Department) on a report of a Sexual Assault on a juvenile. Upon arrival, we met with the complainant, Samira Fernandez, the victim's mother, and the victim, I.L.. DCP&amp;P investigator Shannon Greco was on scene and speaking with the complainant when we arrived. The victim's mother stated that when the victim's father, Jhonn Liendres arrived home, the front door was locked, which was unusual. When the father entered the home, he found the victim with his pants on backwards. The victim's mother stated that the father observed the suspect C.L., the victim's 13 year old uncle to be nervous. The victim told his parents that while he was with his uncle, his uncle used his penis to touch the victim's buttocks. As the victims father tried to ascertain information from the victim, he struck the victim with a belt on the back of his leg causing pain and marks of redness on the victim.  The victim denied any penetration when asked by his parents. The complainant refused medical attention from the forensic nurse on the victim's behalf.       Sgt. Tedesco arrived on scene to assist and made notifications to the Detective Bureau. Detective C. Lara-Nunez arrived on scene at which point the investigation was turned over to the Detective Bureau.</t>
  </si>
  <si>
    <t>P.O. Eric Badalyan 382</t>
  </si>
  <si>
    <t>Beech Street, 200 Block</t>
  </si>
  <si>
    <t>25-056435</t>
  </si>
  <si>
    <t>65 Court Street, Hackensack, NJ, 07601</t>
  </si>
  <si>
    <t>On Monday, July 7, 2025, at approximately 14:40 hours, P.O. Small, P.O. Han, P.O. J. Peralta, and I responded to 65 Court Street (Pep Boys) on a report of a robbery. Sgt. Donnerstag also responded. Upon arrival, P.O. Small was interviewing the suspects while I spoke with the victim, Shomari Mighty. MIGHTY reported that while walking on the river walk in the rear of the listed location, the arrestee, Jose Colon-Nunez, confronted him. MIGHTY further reported, COLON-NUNEZ  was accompanied by the two suspects, Eliandry Guerrero and Oswaldo Perez. MIGHTY indicated, COLON-NUNEZ mistook him for someone who assaulted him the day prior. See case 25-056199 for further information regarding the aforementioned assault.      MIGHTY added that when he denied assaulting COLON-NUNEZ, GUERRERO took his "off brand Samsung" smart phone from his hand and threw it in the river. MIGHTY stated that the phone is valued at $36.00.  MIGHTY further reported that after GUERRERO threw his phone, COLON-NUNEZ struck him in the left leg with a black baseball bat. MIGHTY further reported that after being struck with the bat, PEREZ struck him on the right hip with a small black garden shovel. Both shovel and baseball bat were located near the river walk and logged into evidence. MIGHTY reported that following the assault with the bat and shovel, GUERRERO utilized a can of pepper spray to spray him in the neck, arm, and chest area. MIGHTY complained of pain to his left leg, right hip, and left arm. MIGHTY requested medical assistance and soon after, Hackensack Meridian Health ambulance 1350 arrived on scene. MIGHTY agreed to provide a recorded statement of the incident. However, he was transported Hackensack University Medical Center for evaluation.     I then spoke with GUERRERO, PEREZ, and COLON-NUNEZ. Who all reported that yesterday, while at the river walk, MIGHTY pepper sprayed COLON-NUNEZ and fled the area. They further reported, MIGHTY returned to the river walk today, while they were fishing. PEREZ indicated that after confronting MIGHTY about the assault, MIGHTY brandished a can of pepper spray and attempted to spray them. PEREZ reported observing MIGHTY recording them with his cellphone, but denied anyone took it from him. It should be noted, P.O. Small reported speaking with an anonymous witness who confirmed GUERRERO pepper sprayed MIGHTY. The anonymous witness further reported one of the suspects took MIGHTY'S cell phone, however, he was unsure which one.     While on scene, warrant checks for the suspects were conducted which yielding active arrest warrant E241201 for COLON-NUNEZ. The warrant was issued on 08/22/2024 by, Honorable Judge Giuseppe Randazzo, of the South Hackensack Municipal Court for the original charge of 39:3-10 in the amount of $1,000.00. COLON-NUNEZ's  hands were secured being his back with handcuffs and he was searched incident to arrest yielding negative results for contraband. He was placed in the rear compartment of radio car 117. The rear compartment was checked before and after transport yielding negative results for contraband. Upon arrival to headquarters, I conducted a secondary search of COLON-NUNEZ which also produced negative results for contraband. The arrestee was processed and transported to South Hackensack Police Department for his active warrant. Victim notification form was completed. MIGHTY reported he wishes to sign complaints against all suspects. Detectives were notified and will be following up.</t>
  </si>
  <si>
    <t>Court Street, 0 Block</t>
  </si>
  <si>
    <t>Warrant Arrest - Robbery - 2C:15-1 - Weapons - Unlawful Purposes - 2C:39-4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</si>
</sst>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ddd"/>
    <numFmt numFmtId="165" formatCode="00"/>
    <numFmt numFmtId="166" formatCode="000"/>
    <numFmt numFmtId="167" formatCode="mm/dd/yy\ hh:mm"/>
    <numFmt numFmtId="168" formatCode="[$-F400]h:mm:ss\ AM/PM"/>
    <numFmt numFmtId="169" formatCode="hh:mm"/>
    <numFmt numFmtId="170" formatCode="mm/dd/yy"/>
  </numFmts>
  <fonts count="16" x14ac:knownFonts="1">
    <font>
      <sz val="11"/>
      <color theme="1"/>
      <name val="Calibri"/>
      <family val="2"/>
      <scheme val="minor"/>
    </font>
    <font>
      <sz val="12"/>
      <color theme="1"/>
      <name val="Aptos Narrow"/>
      <family val="2"/>
    </font>
    <font>
      <sz val="12"/>
      <color theme="1"/>
      <name val="Aptos"/>
      <family val="2"/>
    </font>
    <font>
      <sz val="14"/>
      <color theme="1"/>
      <name val="Aptos Narrow"/>
      <family val="2"/>
    </font>
    <font>
      <sz val="11"/>
      <color theme="1"/>
      <name val="Aptos"/>
      <family val="2"/>
    </font>
    <font>
      <sz val="14"/>
      <color theme="1"/>
      <name val="Aptos"/>
      <family val="2"/>
    </font>
    <font>
      <sz val="12"/>
      <color theme="1"/>
      <name val="Aptos"/>
      <family val="2"/>
    </font>
    <font>
      <b/>
      <sz val="18"/>
      <color theme="1"/>
      <name val="Aptos"/>
      <family val="2"/>
    </font>
    <font>
      <b/>
      <sz val="14"/>
      <color theme="1"/>
      <name val="Aptos Narrow"/>
      <family val="2"/>
    </font>
    <font>
      <sz val="8"/>
      <name val="Calibri"/>
      <family val="2"/>
      <scheme val="minor"/>
    </font>
    <font>
      <sz val="8"/>
      <color theme="1"/>
      <name val="Calibri"/>
      <family val="2"/>
      <scheme val="minor"/>
    </font>
    <font>
      <sz val="8"/>
      <color theme="1"/>
      <name val="Aptos"/>
      <family val="2"/>
    </font>
    <font>
      <sz val="11"/>
      <color theme="1"/>
      <name val="Calibri"/>
      <family val="2"/>
      <scheme val="minor"/>
    </font>
    <font>
      <b/>
      <sz val="14"/>
      <color theme="1"/>
      <name val="Aptos"/>
      <family val="2"/>
    </font>
    <font>
      <sz val="8"/>
      <color theme="0" tint="-0.14999847407452621"/>
      <name val="Aptos"/>
      <family val="2"/>
    </font>
    <font>
      <sz val="5"/>
      <color theme="0" tint="-0.14999847407452621"/>
      <name val="Aptos"/>
      <family val="2"/>
    </font>
  </fonts>
  <fills count="4">
    <fill>
      <patternFill patternType="none"/>
    </fill>
    <fill>
      <patternFill patternType="gray125"/>
    </fill>
    <fill>
      <patternFill patternType="solid">
        <fgColor theme="6" tint="0.79998168889431442"/>
        <bgColor theme="6" tint="0.79998168889431442"/>
      </patternFill>
    </fill>
    <fill>
      <patternFill patternType="solid">
        <fgColor theme="0" tint="-0.14999847407452621"/>
        <bgColor theme="0" tint="-0.14999847407452621"/>
      </patternFill>
    </fill>
  </fills>
  <borders count="15">
    <border>
      <left/>
      <right/>
      <top/>
      <bottom/>
      <diagonal/>
    </border>
    <border>
      <left style="medium">
        <color indexed="64"/>
      </left>
      <right style="medium">
        <color indexed="64"/>
      </right>
      <top style="medium">
        <color indexed="64"/>
      </top>
      <bottom style="thin">
        <color rgb="FF513E80"/>
      </bottom>
      <diagonal/>
    </border>
    <border>
      <left style="medium">
        <color indexed="64"/>
      </left>
      <right style="medium">
        <color indexed="64"/>
      </right>
      <top style="thin">
        <color rgb="FF513E80"/>
      </top>
      <bottom style="thin">
        <color rgb="FF513E80"/>
      </bottom>
      <diagonal/>
    </border>
    <border>
      <left style="medium">
        <color indexed="64"/>
      </left>
      <right style="medium">
        <color indexed="64"/>
      </right>
      <top style="thin">
        <color rgb="FF513E80"/>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theme="1"/>
      </bottom>
      <diagonal/>
    </border>
    <border>
      <left/>
      <right style="medium">
        <color indexed="64"/>
      </right>
      <top style="thin">
        <color theme="1"/>
      </top>
      <bottom style="thin">
        <color theme="1"/>
      </bottom>
      <diagonal/>
    </border>
    <border>
      <left style="medium">
        <color indexed="64"/>
      </left>
      <right style="medium">
        <color indexed="64"/>
      </right>
      <top style="thin">
        <color theme="1"/>
      </top>
      <bottom style="thin">
        <color indexed="64"/>
      </bottom>
      <diagonal/>
    </border>
    <border>
      <left/>
      <right style="medium">
        <color indexed="64"/>
      </right>
      <top style="thin">
        <color theme="1"/>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s>
  <cellStyleXfs count="2">
    <xf numFmtId="0" fontId="0" fillId="0" borderId="0"/>
    <xf numFmtId="44" fontId="12" fillId="0" borderId="0" applyFont="0" applyFill="0" applyBorder="0" applyAlignment="0" applyProtection="0"/>
  </cellStyleXfs>
  <cellXfs count="112">
    <xf numFmtId="0" fontId="0" fillId="0" borderId="0" xfId="0"/>
    <xf numFmtId="14" fontId="0" fillId="0" borderId="0" xfId="0" applyNumberFormat="1"/>
    <xf numFmtId="22" fontId="0" fillId="0" borderId="0" xfId="0" applyNumberFormat="1"/>
    <xf numFmtId="0" fontId="4" fillId="0" borderId="0" xfId="0" applyFont="1"/>
    <xf numFmtId="0" fontId="5" fillId="0" borderId="0" xfId="0" applyFont="1" applyAlignment="1">
      <alignment horizontal="center"/>
    </xf>
    <xf numFmtId="0" fontId="6" fillId="0" borderId="0" xfId="0" applyFont="1"/>
    <xf numFmtId="0" fontId="7" fillId="0" borderId="0" xfId="0" applyFont="1"/>
    <xf numFmtId="0" fontId="3" fillId="0" borderId="0" xfId="0" applyFont="1" applyAlignment="1">
      <alignment horizontal="center"/>
    </xf>
    <xf numFmtId="20" fontId="3" fillId="0" borderId="0" xfId="0" applyNumberFormat="1" applyFont="1" applyAlignment="1">
      <alignment horizontal="center"/>
    </xf>
    <xf numFmtId="165" fontId="3" fillId="0" borderId="0" xfId="0" applyNumberFormat="1" applyFont="1" applyAlignment="1">
      <alignment horizontal="center"/>
    </xf>
    <xf numFmtId="166" fontId="3" fillId="0" borderId="0" xfId="0" applyNumberFormat="1" applyFont="1" applyAlignment="1">
      <alignment horizontal="center"/>
    </xf>
    <xf numFmtId="167" fontId="3" fillId="0" borderId="0" xfId="0" applyNumberFormat="1" applyFont="1" applyAlignment="1">
      <alignment horizontal="center"/>
    </xf>
    <xf numFmtId="14" fontId="3" fillId="0" borderId="0" xfId="0" applyNumberFormat="1" applyFont="1" applyAlignment="1">
      <alignment horizontal="center"/>
    </xf>
    <xf numFmtId="168" fontId="0" fillId="0" borderId="0" xfId="0" applyNumberFormat="1"/>
    <xf numFmtId="0" fontId="0" fillId="0" borderId="0" xfId="0" applyAlignment="1">
      <alignment wrapText="1"/>
    </xf>
    <xf numFmtId="0" fontId="2" fillId="0" borderId="0" xfId="0" applyFont="1"/>
    <xf numFmtId="0" fontId="2" fillId="0" borderId="0" xfId="0" applyFont="1" applyAlignment="1">
      <alignment horizontal="right"/>
    </xf>
    <xf numFmtId="0" fontId="10" fillId="0" borderId="0" xfId="0" applyFont="1"/>
    <xf numFmtId="0" fontId="3" fillId="0" borderId="0" xfId="0" applyFont="1" applyAlignment="1">
      <alignment horizontal="center" wrapText="1"/>
    </xf>
    <xf numFmtId="0" fontId="11" fillId="0" borderId="0" xfId="0" applyFont="1"/>
    <xf numFmtId="0" fontId="1" fillId="0" borderId="0" xfId="0" applyFont="1" applyAlignment="1">
      <alignment horizontal="center"/>
    </xf>
    <xf numFmtId="14" fontId="1" fillId="0" borderId="0" xfId="0" applyNumberFormat="1" applyFont="1" applyAlignment="1">
      <alignment horizontal="center"/>
    </xf>
    <xf numFmtId="0" fontId="1" fillId="0" borderId="0" xfId="0" applyFont="1"/>
    <xf numFmtId="168" fontId="1" fillId="0" borderId="0" xfId="0" applyNumberFormat="1" applyFont="1" applyAlignment="1">
      <alignment horizontal="center"/>
    </xf>
    <xf numFmtId="165" fontId="1" fillId="0" borderId="0" xfId="0" applyNumberFormat="1" applyFont="1" applyAlignment="1">
      <alignment horizontal="center"/>
    </xf>
    <xf numFmtId="166" fontId="1" fillId="0" borderId="0" xfId="0" applyNumberFormat="1" applyFont="1" applyAlignment="1">
      <alignment horizontal="center"/>
    </xf>
    <xf numFmtId="167" fontId="1" fillId="0" borderId="0" xfId="0" applyNumberFormat="1" applyFont="1" applyAlignment="1">
      <alignment horizontal="center"/>
    </xf>
    <xf numFmtId="0" fontId="1" fillId="0" borderId="0" xfId="0" applyFont="1" applyAlignment="1">
      <alignment wrapText="1"/>
    </xf>
    <xf numFmtId="0" fontId="8" fillId="0" borderId="2" xfId="0" applyFont="1" applyBorder="1" applyAlignment="1">
      <alignment horizontal="right"/>
    </xf>
    <xf numFmtId="0" fontId="8" fillId="0" borderId="3" xfId="0" applyFont="1" applyBorder="1" applyAlignment="1">
      <alignment horizontal="right"/>
    </xf>
    <xf numFmtId="0" fontId="8" fillId="2" borderId="4" xfId="0" applyFont="1" applyFill="1" applyBorder="1" applyAlignment="1">
      <alignment horizontal="right"/>
    </xf>
    <xf numFmtId="0" fontId="8" fillId="0" borderId="5" xfId="0" applyFont="1" applyBorder="1" applyAlignment="1">
      <alignment horizontal="right"/>
    </xf>
    <xf numFmtId="0" fontId="8" fillId="2" borderId="5" xfId="0" applyFont="1" applyFill="1" applyBorder="1" applyAlignment="1">
      <alignment horizontal="right"/>
    </xf>
    <xf numFmtId="0" fontId="8" fillId="2" borderId="5" xfId="0" applyFont="1" applyFill="1" applyBorder="1" applyAlignment="1">
      <alignment horizontal="right" vertical="center"/>
    </xf>
    <xf numFmtId="0" fontId="8" fillId="2" borderId="1" xfId="0" applyFont="1" applyFill="1" applyBorder="1" applyAlignment="1">
      <alignment horizontal="right"/>
    </xf>
    <xf numFmtId="0" fontId="1" fillId="2" borderId="1" xfId="0" applyFont="1" applyFill="1" applyBorder="1" applyAlignment="1">
      <alignment horizontal="center"/>
    </xf>
    <xf numFmtId="14" fontId="1" fillId="0" borderId="2" xfId="0" applyNumberFormat="1" applyFont="1" applyBorder="1" applyAlignment="1">
      <alignment horizontal="center"/>
    </xf>
    <xf numFmtId="0" fontId="8" fillId="2" borderId="2" xfId="0" applyFont="1" applyFill="1" applyBorder="1" applyAlignment="1">
      <alignment horizontal="right"/>
    </xf>
    <xf numFmtId="14" fontId="1" fillId="2" borderId="2" xfId="0" applyNumberFormat="1" applyFont="1" applyFill="1" applyBorder="1" applyAlignment="1">
      <alignment horizontal="center"/>
    </xf>
    <xf numFmtId="0" fontId="1" fillId="0" borderId="2" xfId="0" applyFont="1" applyBorder="1" applyAlignment="1">
      <alignment horizontal="center"/>
    </xf>
    <xf numFmtId="0" fontId="1" fillId="2" borderId="2" xfId="0" applyFont="1" applyFill="1" applyBorder="1" applyAlignment="1">
      <alignment horizontal="center"/>
    </xf>
    <xf numFmtId="0" fontId="8" fillId="2" borderId="2" xfId="0" applyFont="1" applyFill="1" applyBorder="1" applyAlignment="1">
      <alignment horizontal="right" vertical="center"/>
    </xf>
    <xf numFmtId="0" fontId="1" fillId="2" borderId="2" xfId="0" applyFont="1" applyFill="1" applyBorder="1" applyAlignment="1">
      <alignment horizontal="center" vertical="center"/>
    </xf>
    <xf numFmtId="0" fontId="1" fillId="2" borderId="8" xfId="0" applyFont="1" applyFill="1" applyBorder="1" applyAlignment="1">
      <alignment horizontal="center"/>
    </xf>
    <xf numFmtId="0" fontId="1" fillId="0" borderId="9" xfId="0" applyFont="1" applyBorder="1" applyAlignment="1">
      <alignment horizontal="center"/>
    </xf>
    <xf numFmtId="14" fontId="1" fillId="2" borderId="9" xfId="0" applyNumberFormat="1" applyFont="1" applyFill="1" applyBorder="1" applyAlignment="1">
      <alignment horizontal="center"/>
    </xf>
    <xf numFmtId="0" fontId="1" fillId="2" borderId="9" xfId="0" applyFont="1" applyFill="1" applyBorder="1" applyAlignment="1">
      <alignment horizontal="center"/>
    </xf>
    <xf numFmtId="0" fontId="1" fillId="2" borderId="9" xfId="0" applyFont="1" applyFill="1" applyBorder="1" applyAlignment="1">
      <alignment horizontal="center" vertical="center"/>
    </xf>
    <xf numFmtId="44" fontId="1" fillId="0" borderId="9" xfId="1" applyFont="1" applyBorder="1" applyAlignment="1">
      <alignment horizontal="center"/>
    </xf>
    <xf numFmtId="0" fontId="8" fillId="2" borderId="10" xfId="0" applyFont="1" applyFill="1" applyBorder="1" applyAlignment="1">
      <alignment horizontal="right"/>
    </xf>
    <xf numFmtId="0" fontId="1" fillId="2" borderId="11" xfId="0" applyFont="1" applyFill="1" applyBorder="1" applyAlignment="1">
      <alignment horizontal="center"/>
    </xf>
    <xf numFmtId="0" fontId="8" fillId="2" borderId="6" xfId="0" applyFont="1" applyFill="1" applyBorder="1" applyAlignment="1">
      <alignment horizontal="right"/>
    </xf>
    <xf numFmtId="0" fontId="1" fillId="2" borderId="7" xfId="0" applyFont="1" applyFill="1" applyBorder="1" applyAlignment="1">
      <alignment horizontal="center"/>
    </xf>
    <xf numFmtId="44" fontId="1" fillId="0" borderId="2" xfId="1" applyFont="1" applyBorder="1" applyAlignment="1">
      <alignment horizontal="center"/>
    </xf>
    <xf numFmtId="0" fontId="0" fillId="0" borderId="13" xfId="0" applyBorder="1"/>
    <xf numFmtId="0" fontId="13" fillId="0" borderId="12" xfId="0" applyFont="1" applyBorder="1" applyAlignment="1">
      <alignment horizontal="center"/>
    </xf>
    <xf numFmtId="164" fontId="13" fillId="0" borderId="12" xfId="0" applyNumberFormat="1" applyFont="1" applyBorder="1" applyAlignment="1">
      <alignment horizontal="center"/>
    </xf>
    <xf numFmtId="0" fontId="2" fillId="3" borderId="0" xfId="0" applyFont="1" applyFill="1" applyAlignment="1">
      <alignment horizontal="right"/>
    </xf>
    <xf numFmtId="0" fontId="2" fillId="3" borderId="0" xfId="0" applyFont="1" applyFill="1"/>
    <xf numFmtId="0" fontId="0" fillId="3" borderId="0" xfId="0" applyFill="1"/>
    <xf numFmtId="0" fontId="2" fillId="0" borderId="13" xfId="0" applyFont="1" applyBorder="1" applyAlignment="1">
      <alignment horizontal="right"/>
    </xf>
    <xf numFmtId="0" fontId="2" fillId="0" borderId="13" xfId="0" applyFont="1" applyBorder="1"/>
    <xf numFmtId="14" fontId="0" fillId="0" borderId="0" xfId="0" applyNumberFormat="1" applyAlignment="1">
      <alignment horizontal="center" wrapText="1"/>
    </xf>
    <xf numFmtId="14" fontId="10" fillId="0" borderId="0" xfId="0" applyNumberFormat="1" applyFont="1" applyAlignment="1">
      <alignment horizontal="center"/>
    </xf>
    <xf numFmtId="14" fontId="0" fillId="0" borderId="0" xfId="0" applyNumberFormat="1" applyAlignment="1">
      <alignment horizontal="center"/>
    </xf>
    <xf numFmtId="0" fontId="10" fillId="0" borderId="0" xfId="0" applyFont="1" applyAlignment="1">
      <alignment wrapText="1"/>
    </xf>
    <xf numFmtId="44" fontId="1" fillId="0" borderId="3" xfId="1" applyFont="1" applyBorder="1" applyAlignment="1">
      <alignment horizontal="center"/>
    </xf>
    <xf numFmtId="0" fontId="2" fillId="3" borderId="14" xfId="0" applyFont="1" applyFill="1" applyBorder="1" applyAlignment="1">
      <alignment horizontal="right"/>
    </xf>
    <xf numFmtId="0" fontId="2" fillId="3" borderId="14" xfId="0" applyFont="1" applyFill="1" applyBorder="1"/>
    <xf numFmtId="20" fontId="0" fillId="0" borderId="0" xfId="0" applyNumberFormat="1"/>
    <xf numFmtId="169" fontId="0" fillId="0" borderId="0" xfId="0" applyNumberFormat="1"/>
    <xf numFmtId="0" fontId="4" fillId="0" borderId="0" xfId="0" pivotButton="1" applyFont="1"/>
    <xf numFmtId="0" fontId="5" fillId="0" borderId="0" xfId="0" pivotButton="1" applyFont="1" applyAlignment="1">
      <alignment horizontal="center"/>
    </xf>
    <xf numFmtId="0" fontId="4" fillId="0" borderId="0" xfId="0" applyFont="1" applyAlignment="1">
      <alignment wrapText="1"/>
    </xf>
    <xf numFmtId="14" fontId="4" fillId="0" borderId="0" xfId="0" applyNumberFormat="1" applyFont="1"/>
    <xf numFmtId="0" fontId="4" fillId="0" borderId="0" xfId="0" applyFont="1" applyAlignment="1">
      <alignment horizontal="center"/>
    </xf>
    <xf numFmtId="0" fontId="7" fillId="0" borderId="0" xfId="0" applyFont="1" applyAlignment="1">
      <alignment horizontal="center"/>
    </xf>
    <xf numFmtId="0" fontId="7" fillId="0" borderId="13" xfId="0" applyFont="1" applyBorder="1" applyAlignment="1">
      <alignment horizontal="center"/>
    </xf>
    <xf numFmtId="0" fontId="4" fillId="0" borderId="0" xfId="0" applyNumberFormat="1" applyFont="1" applyFill="1"/>
    <xf numFmtId="22" fontId="4" fillId="0" borderId="0" xfId="0" applyNumberFormat="1" applyFont="1" applyFill="1"/>
    <xf numFmtId="0" fontId="4" fillId="0" borderId="0" xfId="0" applyFont="1" applyFill="1"/>
    <xf numFmtId="14" fontId="4" fillId="0" borderId="0" xfId="0" applyNumberFormat="1" applyFont="1" applyFill="1"/>
    <xf numFmtId="168" fontId="4" fillId="0" borderId="0" xfId="0" applyNumberFormat="1" applyFont="1" applyFill="1"/>
    <xf numFmtId="170" fontId="4" fillId="0" borderId="0" xfId="0" applyNumberFormat="1" applyFont="1" applyAlignment="1">
      <alignment horizontal="center"/>
    </xf>
    <xf numFmtId="169" fontId="4" fillId="0" borderId="0" xfId="0" applyNumberFormat="1" applyFont="1" applyAlignment="1">
      <alignment horizontal="center"/>
    </xf>
    <xf numFmtId="169" fontId="4" fillId="0" borderId="0" xfId="0" applyNumberFormat="1" applyFont="1" applyFill="1" applyAlignment="1">
      <alignment horizontal="center"/>
    </xf>
    <xf numFmtId="170" fontId="4" fillId="0" borderId="0" xfId="0" applyNumberFormat="1" applyFont="1" applyFill="1" applyAlignment="1"/>
    <xf numFmtId="170" fontId="4" fillId="0" borderId="0" xfId="0" applyNumberFormat="1" applyFont="1" applyFill="1" applyAlignment="1">
      <alignment horizontal="center"/>
    </xf>
    <xf numFmtId="14" fontId="4" fillId="0" borderId="0" xfId="0" applyNumberFormat="1" applyFont="1" applyFill="1" applyAlignment="1">
      <alignment horizontal="center"/>
    </xf>
    <xf numFmtId="168" fontId="4" fillId="0" borderId="0" xfId="0" applyNumberFormat="1" applyFont="1" applyFill="1" applyAlignment="1">
      <alignment horizontal="center"/>
    </xf>
    <xf numFmtId="0" fontId="4" fillId="0" borderId="0" xfId="0" applyNumberFormat="1" applyFont="1" applyFill="1" applyAlignment="1"/>
    <xf numFmtId="0" fontId="4" fillId="0" borderId="0" xfId="0" applyFont="1" applyFill="1" applyAlignment="1"/>
    <xf numFmtId="0" fontId="4" fillId="0" borderId="0" xfId="0" applyNumberFormat="1" applyFont="1" applyFill="1" applyAlignment="1">
      <alignment horizontal="center"/>
    </xf>
    <xf numFmtId="0" fontId="4" fillId="0" borderId="0" xfId="0" applyFont="1" applyFill="1" applyAlignment="1">
      <alignment horizontal="center"/>
    </xf>
    <xf numFmtId="0" fontId="4" fillId="0" borderId="0" xfId="0" applyNumberFormat="1" applyFont="1"/>
    <xf numFmtId="0" fontId="15" fillId="0" borderId="0" xfId="0" pivotButton="1" applyFont="1"/>
    <xf numFmtId="0" fontId="5" fillId="0" borderId="0" xfId="0" applyFont="1"/>
    <xf numFmtId="0" fontId="14" fillId="0" borderId="0" xfId="0" applyFont="1" applyFill="1" applyAlignment="1"/>
    <xf numFmtId="0" fontId="11" fillId="0" borderId="0" xfId="0" applyFont="1" applyFill="1" applyAlignment="1"/>
    <xf numFmtId="0" fontId="2" fillId="0" borderId="0" xfId="0" applyNumberFormat="1" applyFont="1"/>
    <xf numFmtId="0" fontId="0" fillId="0" borderId="0" xfId="0" applyNumberFormat="1" applyFill="1"/>
    <xf numFmtId="170" fontId="0" fillId="0" borderId="0" xfId="0" applyNumberFormat="1" applyFill="1"/>
    <xf numFmtId="168" fontId="0" fillId="0" borderId="0" xfId="0" applyNumberFormat="1" applyFill="1"/>
    <xf numFmtId="14" fontId="0" fillId="0" borderId="0" xfId="0" applyNumberFormat="1" applyFill="1"/>
    <xf numFmtId="0" fontId="0" fillId="0" borderId="0" xfId="0" applyFill="1"/>
    <xf numFmtId="22" fontId="0" fillId="0" borderId="0" xfId="0" applyNumberFormat="1" applyFill="1"/>
    <xf numFmtId="169" fontId="0" fillId="0" borderId="0" xfId="0" applyNumberFormat="1" applyFill="1"/>
    <xf numFmtId="14" fontId="4" fillId="0" borderId="0" xfId="0" applyNumberFormat="1" applyFont="1" applyAlignment="1">
      <alignment horizontal="center"/>
    </xf>
    <xf numFmtId="20" fontId="4" fillId="0" borderId="0" xfId="0" applyNumberFormat="1" applyFont="1" applyAlignment="1">
      <alignment horizontal="center"/>
    </xf>
    <xf numFmtId="0" fontId="0" fillId="0" borderId="0" xfId="0" applyFont="1"/>
    <xf numFmtId="0" fontId="4" fillId="0" borderId="0" xfId="0" applyFont="1" applyFill="1" applyAlignment="1">
      <alignment horizontal="left"/>
    </xf>
    <xf numFmtId="20" fontId="4" fillId="0" borderId="0" xfId="0" applyNumberFormat="1" applyFont="1"/>
  </cellXfs>
  <cellStyles count="2">
    <cellStyle name="Currency" xfId="1" builtinId="4"/>
    <cellStyle name="Normal" xfId="0" builtinId="0"/>
  </cellStyles>
  <dxfs count="712">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27" formatCode="m/d/yyyy\ h:mm"/>
      <fill>
        <patternFill patternType="none">
          <fgColor indexed="64"/>
          <bgColor indexed="65"/>
        </patternFill>
      </fill>
    </dxf>
    <dxf>
      <numFmt numFmtId="169" formatCode="hh:mm"/>
      <fill>
        <patternFill patternType="none">
          <fgColor indexed="64"/>
          <bgColor indexed="65"/>
        </patternFill>
      </fill>
    </dxf>
    <dxf>
      <numFmt numFmtId="170" formatCode="mm/dd/yy"/>
      <fill>
        <patternFill patternType="none">
          <fgColor indexed="64"/>
          <bgColor indexed="65"/>
        </patternFill>
      </fill>
    </dxf>
    <dxf>
      <numFmt numFmtId="169" formatCode="hh:mm"/>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70" formatCode="mm/dd/yy"/>
      <fill>
        <patternFill patternType="none">
          <fgColor indexed="64"/>
          <bgColor indexed="65"/>
        </patternFill>
      </fill>
    </dxf>
    <dxf>
      <numFmt numFmtId="0" formatCode="General"/>
      <fill>
        <patternFill patternType="none">
          <fgColor indexed="64"/>
          <bgColor indexed="65"/>
        </patternFill>
      </fill>
    </dxf>
    <dxf>
      <numFmt numFmtId="27" formatCode="m/d/yyyy\ h:m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dxf>
    <dxf>
      <numFmt numFmtId="19" formatCode="m/d/yyyy"/>
    </dxf>
    <dxf>
      <numFmt numFmtId="168" formatCode="[$-F400]h:mm:ss\ AM/PM"/>
    </dxf>
    <dxf>
      <numFmt numFmtId="19" formatCode="m/d/yyyy"/>
    </dxf>
    <dxf>
      <numFmt numFmtId="27" formatCode="m/d/yyyy\ h:mm"/>
    </dxf>
    <dxf>
      <fill>
        <patternFill>
          <bgColor rgb="FFD9D9D9"/>
        </patternFill>
      </fill>
    </dxf>
    <dxf>
      <fill>
        <patternFill>
          <bgColor rgb="FFDDEBF7"/>
        </patternFill>
      </fill>
    </dxf>
    <dxf>
      <fill>
        <patternFill>
          <bgColor rgb="FFFFC7CE"/>
        </patternFill>
      </fill>
    </dxf>
    <dxf>
      <fill>
        <patternFill>
          <bgColor rgb="FFC6EFCE"/>
        </patternFill>
      </fill>
    </dxf>
    <dxf>
      <fill>
        <patternFill>
          <bgColor rgb="FFD9D9D9"/>
        </patternFill>
      </fill>
    </dxf>
    <dxf>
      <fill>
        <patternFill>
          <bgColor rgb="FFDDEBF7"/>
        </patternFill>
      </fill>
    </dxf>
    <dxf>
      <fill>
        <patternFill>
          <bgColor rgb="FFFFC7CE"/>
        </patternFill>
      </fill>
    </dxf>
    <dxf>
      <fill>
        <patternFill>
          <bgColor rgb="FFC6EFCE"/>
        </patternFill>
      </fill>
    </dxf>
    <dxf>
      <fill>
        <patternFill>
          <bgColor rgb="FFDDEBF7"/>
        </patternFill>
      </fill>
    </dxf>
    <dxf>
      <fill>
        <patternFill>
          <bgColor rgb="FFFFC7CE"/>
        </patternFill>
      </fill>
    </dxf>
    <dxf>
      <fill>
        <patternFill>
          <bgColor rgb="FFC6EFCE"/>
        </patternFill>
      </fill>
    </dxf>
    <dxf>
      <fill>
        <patternFill>
          <bgColor rgb="FFDDEBF7"/>
        </patternFill>
      </fill>
    </dxf>
    <dxf>
      <fill>
        <patternFill>
          <bgColor rgb="FFFFC7CE"/>
        </patternFill>
      </fill>
    </dxf>
    <dxf>
      <fill>
        <patternFill>
          <bgColor rgb="FFC6EFCE"/>
        </patternFill>
      </fill>
    </dxf>
    <dxf>
      <fill>
        <patternFill>
          <bgColor rgb="FFDDEBF7"/>
        </patternFill>
      </fill>
    </dxf>
    <dxf>
      <fill>
        <patternFill>
          <bgColor rgb="FFFFC7CE"/>
        </patternFill>
      </fill>
    </dxf>
    <dxf>
      <fill>
        <patternFill>
          <bgColor rgb="FFC6EFCE"/>
        </patternFill>
      </fill>
    </dxf>
    <dxf>
      <fill>
        <patternFill>
          <bgColor rgb="FFD9D9D9"/>
        </patternFill>
      </fill>
    </dxf>
    <dxf>
      <fill>
        <patternFill>
          <bgColor rgb="FFDDEBF7"/>
        </patternFill>
      </fill>
    </dxf>
    <dxf>
      <fill>
        <patternFill>
          <bgColor rgb="FFFFC7CE"/>
        </patternFill>
      </fill>
    </dxf>
    <dxf>
      <fill>
        <patternFill>
          <bgColor rgb="FFC6EFCE"/>
        </patternFill>
      </fill>
    </dxf>
    <dxf>
      <fill>
        <patternFill>
          <bgColor rgb="FFDDEBF7"/>
        </patternFill>
      </fill>
    </dxf>
    <dxf>
      <fill>
        <patternFill>
          <bgColor rgb="FFFFC7CE"/>
        </patternFill>
      </fill>
    </dxf>
    <dxf>
      <fill>
        <patternFill>
          <bgColor rgb="FFC6EFCE"/>
        </patternFill>
      </fill>
    </dxf>
    <dxf>
      <fill>
        <patternFill>
          <bgColor rgb="FFDDEBF7"/>
        </patternFill>
      </fill>
    </dxf>
    <dxf>
      <fill>
        <patternFill>
          <bgColor rgb="FFFFC7CE"/>
        </patternFill>
      </fill>
    </dxf>
    <dxf>
      <fill>
        <patternFill>
          <bgColor rgb="FFC6EFCE"/>
        </patternFill>
      </fill>
    </dxf>
    <dxf>
      <fill>
        <patternFill>
          <bgColor rgb="FFDDEBF7"/>
        </patternFill>
      </fill>
    </dxf>
    <dxf>
      <fill>
        <patternFill>
          <bgColor rgb="FFFFC7CE"/>
        </patternFill>
      </fill>
    </dxf>
    <dxf>
      <fill>
        <patternFill>
          <bgColor rgb="FFC6EFCE"/>
        </patternFill>
      </fill>
    </dxf>
    <dxf>
      <fill>
        <patternFill>
          <bgColor rgb="FFDDEBF7"/>
        </patternFill>
      </fill>
    </dxf>
    <dxf>
      <fill>
        <patternFill>
          <bgColor rgb="FFFFC7CE"/>
        </patternFill>
      </fill>
    </dxf>
    <dxf>
      <fill>
        <patternFill>
          <bgColor rgb="FFC6EFCE"/>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27" formatCode="m/d/yyyy\ h:m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70" formatCode="mm/dd/yy"/>
      <fill>
        <patternFill patternType="none">
          <fgColor indexed="64"/>
          <bgColor indexed="65"/>
        </patternFill>
      </fill>
    </dxf>
    <dxf>
      <numFmt numFmtId="0" formatCode="General"/>
      <fill>
        <patternFill patternType="none">
          <fgColor indexed="64"/>
          <bgColor indexed="65"/>
        </patternFill>
      </fill>
    </dxf>
    <dxf>
      <font>
        <sz val="11"/>
      </font>
    </dxf>
    <dxf>
      <font>
        <sz val="11"/>
      </font>
    </dxf>
    <dxf>
      <font>
        <sz val="11"/>
      </font>
    </dxf>
    <dxf>
      <font>
        <sz val="11"/>
      </font>
    </dxf>
    <dxf>
      <font>
        <sz val="11"/>
      </font>
    </dxf>
    <dxf>
      <font>
        <sz val="11"/>
      </font>
    </dxf>
    <dxf>
      <font>
        <sz val="11"/>
      </font>
    </dxf>
    <dxf>
      <font>
        <sz val="11"/>
      </font>
    </dxf>
    <dxf>
      <font>
        <sz val="11"/>
      </font>
    </dxf>
    <dxf>
      <font>
        <sz val="11"/>
      </font>
    </dxf>
    <dxf>
      <font>
        <strike val="0"/>
        <outline val="0"/>
        <shadow val="0"/>
        <u val="none"/>
        <vertAlign val="baseline"/>
        <sz val="11"/>
        <color theme="1"/>
        <name val="Aptos"/>
        <family val="2"/>
        <scheme val="none"/>
      </font>
      <fill>
        <patternFill patternType="none">
          <fgColor indexed="64"/>
          <bgColor auto="1"/>
        </patternFill>
      </fill>
      <alignment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170" formatCode="mm/dd/yy"/>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169" formatCode="hh:m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169" formatCode="hh:m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169" formatCode="hh:m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170" formatCode="mm/dd/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strike val="0"/>
        <outline val="0"/>
        <shadow val="0"/>
        <u val="none"/>
        <vertAlign val="baseline"/>
        <sz val="11"/>
        <color theme="1"/>
        <name val="Aptos"/>
        <family val="2"/>
        <scheme val="none"/>
      </font>
      <numFmt numFmtId="168" formatCode="[$-F400]h:mm:ss\ AM/P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170" formatCode="mm/dd/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27" formatCode="m/d/yyyy\ h:m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27" formatCode="m/d/yyyy\ h:mm"/>
      <fill>
        <patternFill patternType="none">
          <fgColor indexed="64"/>
          <bgColor indexed="65"/>
        </patternFill>
      </fill>
    </dxf>
    <dxf>
      <numFmt numFmtId="170" formatCode="mm/dd/yy"/>
      <fill>
        <patternFill patternType="none">
          <fgColor indexed="64"/>
          <bgColor indexed="65"/>
        </patternFill>
      </fill>
    </dxf>
    <dxf>
      <numFmt numFmtId="0" formatCode="General"/>
      <fill>
        <patternFill patternType="none">
          <fgColor indexed="64"/>
          <bgColor indexed="65"/>
        </patternFill>
      </fill>
    </dxf>
    <dxf>
      <numFmt numFmtId="168" formatCode="[$-F400]h:mm:ss\ AM/PM"/>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numFmt numFmtId="168" formatCode="[$-F400]h:mm:ss\ AM/PM"/>
      <fill>
        <patternFill patternType="none">
          <fgColor indexed="64"/>
          <bgColor indexed="65"/>
        </patternFill>
      </fill>
    </dxf>
    <dxf>
      <numFmt numFmtId="19" formatCode="m/d/yyyy"/>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fill>
        <patternFill patternType="none">
          <fgColor indexed="64"/>
          <bgColor indexed="65"/>
        </patternFill>
      </fill>
    </dxf>
    <dxf>
      <font>
        <strike val="0"/>
        <outline val="0"/>
        <shadow val="0"/>
        <u val="none"/>
        <vertAlign val="baseline"/>
        <sz val="11"/>
        <color theme="1"/>
        <name val="Aptos"/>
        <family val="2"/>
        <scheme val="none"/>
      </font>
      <numFmt numFmtId="168" formatCode="[$-F400]h:mm:ss\ AM/PM"/>
      <fill>
        <patternFill patternType="none">
          <fgColor indexed="64"/>
          <bgColor indexed="65"/>
        </patternFill>
      </fill>
    </dxf>
    <dxf>
      <font>
        <strike val="0"/>
        <outline val="0"/>
        <shadow val="0"/>
        <u val="none"/>
        <vertAlign val="baseline"/>
        <sz val="11"/>
        <color theme="1"/>
        <name val="Aptos"/>
        <family val="2"/>
        <scheme val="none"/>
      </font>
      <numFmt numFmtId="168" formatCode="[$-F400]h:mm:ss\ AM/PM"/>
      <fill>
        <patternFill patternType="none">
          <fgColor indexed="64"/>
          <bgColor indexed="65"/>
        </patternFill>
      </fill>
    </dxf>
    <dxf>
      <font>
        <strike val="0"/>
        <outline val="0"/>
        <shadow val="0"/>
        <u val="none"/>
        <vertAlign val="baseline"/>
        <sz val="11"/>
        <color theme="1"/>
        <name val="Aptos"/>
        <family val="2"/>
        <scheme val="none"/>
      </font>
      <numFmt numFmtId="19" formatCode="m/d/yyyy"/>
      <fill>
        <patternFill patternType="none">
          <fgColor indexed="64"/>
          <bgColor indexed="65"/>
        </patternFill>
      </fill>
    </dxf>
    <dxf>
      <font>
        <strike val="0"/>
        <outline val="0"/>
        <shadow val="0"/>
        <u val="none"/>
        <vertAlign val="baseline"/>
        <sz val="11"/>
        <color theme="1"/>
        <name val="Aptos"/>
        <family val="2"/>
        <scheme val="none"/>
      </font>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fill>
        <patternFill patternType="none">
          <fgColor indexed="64"/>
          <bgColor indexed="65"/>
        </patternFill>
      </fill>
    </dxf>
    <dxf>
      <font>
        <strike val="0"/>
        <outline val="0"/>
        <shadow val="0"/>
        <u val="none"/>
        <vertAlign val="baseline"/>
        <sz val="11"/>
        <color theme="1"/>
        <name val="Aptos"/>
        <family val="2"/>
        <scheme val="none"/>
      </font>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169" formatCode="hh:m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170" formatCode="mm/dd/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168" formatCode="[$-F400]h:mm:ss\ AM/P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19" formatCode="m/d/yy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169" formatCode="hh:mm"/>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170" formatCode="mm/dd/yy"/>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27" formatCode="m/d/yyyy\ h:mm"/>
      <fill>
        <patternFill patternType="none">
          <fgColor indexed="64"/>
          <bgColor indexed="65"/>
        </patternFill>
      </fill>
    </dxf>
    <dxf>
      <font>
        <strike val="0"/>
        <outline val="0"/>
        <shadow val="0"/>
        <u val="none"/>
        <vertAlign val="baseline"/>
        <sz val="11"/>
        <color theme="1"/>
        <name val="Aptos"/>
        <family val="2"/>
        <scheme val="none"/>
      </font>
      <numFmt numFmtId="27" formatCode="m/d/yyyy\ h:mm"/>
      <fill>
        <patternFill patternType="none">
          <fgColor indexed="64"/>
          <bgColor indexed="65"/>
        </patternFill>
      </fill>
    </dxf>
    <dxf>
      <font>
        <strike val="0"/>
        <outline val="0"/>
        <shadow val="0"/>
        <u val="none"/>
        <vertAlign val="baseline"/>
        <sz val="11"/>
        <color theme="1"/>
        <name val="Aptos"/>
        <family val="2"/>
        <scheme val="none"/>
      </font>
      <numFmt numFmtId="27" formatCode="m/d/yyyy\ h:mm"/>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font>
        <strike val="0"/>
        <outline val="0"/>
        <shadow val="0"/>
        <u val="none"/>
        <vertAlign val="baseline"/>
        <sz val="11"/>
        <color theme="1"/>
        <name val="Aptos"/>
        <family val="2"/>
        <scheme val="none"/>
      </font>
      <numFmt numFmtId="0" formatCode="General"/>
      <fill>
        <patternFill patternType="none">
          <fgColor indexed="64"/>
          <bgColor indexed="65"/>
        </patternFill>
      </fill>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font>
        <strike val="0"/>
        <outline val="0"/>
        <shadow val="0"/>
        <u val="none"/>
        <vertAlign val="baseline"/>
        <sz val="12"/>
        <color theme="1"/>
        <name val="Aptos Narrow"/>
        <family val="2"/>
        <scheme val="none"/>
      </font>
      <alignment horizontal="general" vertical="bottom" textRotation="0" wrapText="1"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alignment wrapText="1"/>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sz val="8"/>
      </font>
    </dxf>
    <dxf>
      <font>
        <sz val="14"/>
        <name val="Aptos"/>
        <scheme val="none"/>
      </font>
      <alignment horizontal="center"/>
    </dxf>
    <dxf>
      <alignment horizontal="right"/>
    </dxf>
    <dxf>
      <font>
        <sz val="12"/>
        <name val="Aptos"/>
        <scheme val="none"/>
      </font>
      <alignment horizontal="general" vertical="bottom" textRotation="0" wrapText="0" indent="0" justifyLastLine="0" shrinkToFit="0" readingOrder="0"/>
    </dxf>
    <dxf>
      <font>
        <sz val="12"/>
      </font>
    </dxf>
    <dxf>
      <alignment wrapText="0"/>
    </dxf>
    <dxf>
      <alignment wrapText="0"/>
    </dxf>
    <dxf>
      <alignment wrapText="0"/>
    </dxf>
    <dxf>
      <font>
        <color theme="0" tint="-0.14999847407452621"/>
      </font>
    </dxf>
    <dxf>
      <font>
        <color theme="0" tint="-0.14999847407452621"/>
      </font>
    </dxf>
    <dxf>
      <fill>
        <patternFill>
          <bgColor auto="1"/>
        </patternFill>
      </fill>
    </dxf>
    <dxf>
      <fill>
        <patternFill>
          <bgColor auto="1"/>
        </patternFill>
      </fill>
    </dxf>
    <dxf>
      <fill>
        <patternFill>
          <bgColor auto="1"/>
        </patternFill>
      </fill>
    </dxf>
    <dxf>
      <alignment horizontal="center"/>
    </dxf>
    <dxf>
      <alignment wrapText="1"/>
    </dxf>
    <dxf>
      <alignment wrapText="1"/>
    </dxf>
    <dxf>
      <alignment wrapText="1"/>
    </dxf>
    <dxf>
      <font>
        <sz val="14"/>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sz val="8"/>
      </font>
    </dxf>
    <dxf>
      <font>
        <sz val="14"/>
        <name val="Aptos"/>
        <scheme val="none"/>
      </font>
      <alignment horizontal="center"/>
    </dxf>
    <dxf>
      <alignment horizontal="right"/>
    </dxf>
    <dxf>
      <font>
        <sz val="12"/>
        <name val="Aptos"/>
        <scheme val="none"/>
      </font>
      <alignment horizontal="general" vertical="bottom" textRotation="0" wrapText="0" indent="0" justifyLastLine="0" shrinkToFit="0" readingOrder="0"/>
    </dxf>
    <dxf>
      <font>
        <sz val="12"/>
      </font>
    </dxf>
    <dxf>
      <alignment wrapText="0"/>
    </dxf>
    <dxf>
      <alignment wrapText="0"/>
    </dxf>
    <dxf>
      <alignment wrapText="0"/>
    </dxf>
    <dxf>
      <font>
        <color theme="0" tint="-0.14999847407452621"/>
      </font>
    </dxf>
    <dxf>
      <font>
        <color theme="0" tint="-0.14999847407452621"/>
      </font>
    </dxf>
    <dxf>
      <fill>
        <patternFill>
          <bgColor auto="1"/>
        </patternFill>
      </fill>
    </dxf>
    <dxf>
      <fill>
        <patternFill>
          <bgColor auto="1"/>
        </patternFill>
      </fill>
    </dxf>
    <dxf>
      <fill>
        <patternFill>
          <bgColor auto="1"/>
        </patternFill>
      </fill>
    </dxf>
    <dxf>
      <alignment horizontal="center"/>
    </dxf>
    <dxf>
      <alignment wrapText="1"/>
    </dxf>
    <dxf>
      <alignment wrapText="1"/>
    </dxf>
    <dxf>
      <alignment wrapText="1"/>
    </dxf>
    <dxf>
      <font>
        <sz val="14"/>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6" formatCode="0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sz val="14"/>
      </font>
    </dxf>
    <dxf>
      <font>
        <sz val="14"/>
      </font>
    </dxf>
    <dxf>
      <font>
        <sz val="5"/>
      </font>
    </dxf>
    <dxf>
      <font>
        <sz val="5"/>
      </font>
    </dxf>
    <dxf>
      <font>
        <color theme="0" tint="-0.14999847407452621"/>
      </font>
    </dxf>
    <dxf>
      <font>
        <color theme="0" tint="-0.14999847407452621"/>
      </font>
    </dxf>
    <dxf>
      <alignment horizontal="center"/>
    </dxf>
    <dxf>
      <alignment horizontal="center"/>
    </dxf>
    <dxf>
      <font>
        <color theme="1"/>
      </font>
    </dxf>
    <dxf>
      <font>
        <sz val="11"/>
      </font>
    </dxf>
    <dxf>
      <font>
        <sz val="11"/>
      </font>
    </dxf>
    <dxf>
      <font>
        <sz val="11"/>
      </font>
    </dxf>
    <dxf>
      <font>
        <sz val="11"/>
      </font>
    </dxf>
    <dxf>
      <font>
        <sz val="11"/>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4"/>
      </font>
    </dxf>
    <dxf>
      <font>
        <sz val="14"/>
      </font>
    </dxf>
    <dxf>
      <font>
        <sz val="5"/>
      </font>
    </dxf>
    <dxf>
      <font>
        <sz val="5"/>
      </font>
    </dxf>
    <dxf>
      <font>
        <color theme="0" tint="-0.14999847407452621"/>
      </font>
    </dxf>
    <dxf>
      <font>
        <color theme="0" tint="-0.14999847407452621"/>
      </font>
    </dxf>
    <dxf>
      <alignment horizontal="center"/>
    </dxf>
    <dxf>
      <alignment horizontal="center"/>
    </dxf>
    <dxf>
      <font>
        <color theme="1"/>
      </font>
    </dxf>
    <dxf>
      <font>
        <sz val="11"/>
      </font>
    </dxf>
    <dxf>
      <font>
        <sz val="11"/>
      </font>
    </dxf>
    <dxf>
      <font>
        <sz val="11"/>
      </font>
    </dxf>
    <dxf>
      <font>
        <sz val="11"/>
      </font>
    </dxf>
    <dxf>
      <font>
        <sz val="11"/>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font>
        <strike val="0"/>
        <outline val="0"/>
        <shadow val="0"/>
        <u val="none"/>
        <vertAlign val="baseline"/>
        <sz val="11"/>
        <color theme="1"/>
        <name val="Aptos"/>
        <family val="2"/>
        <scheme val="none"/>
      </font>
      <fill>
        <patternFill patternType="none">
          <fgColor indexed="64"/>
          <bgColor auto="1"/>
        </patternFill>
      </fill>
    </dxf>
    <dxf>
      <font>
        <strike val="0"/>
        <outline val="0"/>
        <shadow val="0"/>
        <u val="none"/>
        <vertAlign val="baseline"/>
        <sz val="11"/>
        <color theme="1"/>
        <name val="Aptos"/>
        <family val="2"/>
        <scheme val="none"/>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font>
        <name val="Aptos"/>
      </font>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alignment vertical="bottom"/>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name val="Sans Serif Collection"/>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color theme="1"/>
      </font>
    </dxf>
    <dxf>
      <font>
        <b/>
        <color theme="1"/>
      </font>
      <border>
        <top style="double">
          <color theme="7"/>
        </top>
      </border>
    </dxf>
    <dxf>
      <font>
        <b/>
        <i val="0"/>
        <color theme="1"/>
      </font>
      <border diagonalUp="0" diagonalDown="0">
        <left/>
        <right/>
        <top/>
        <bottom style="medium">
          <color theme="7"/>
        </bottom>
        <vertical/>
        <horizontal/>
      </border>
    </dxf>
    <dxf>
      <font>
        <color theme="1"/>
      </font>
      <border>
        <left style="medium">
          <color theme="7"/>
        </left>
        <right style="medium">
          <color theme="7"/>
        </right>
        <top style="medium">
          <color theme="7"/>
        </top>
        <bottom style="medium">
          <color theme="7"/>
        </bottom>
        <vertical style="thin">
          <color theme="7"/>
        </vertical>
        <horizontal style="thin">
          <color theme="7"/>
        </horizontal>
      </border>
    </dxf>
    <dxf>
      <fill>
        <patternFill patternType="solid">
          <fgColor theme="6" tint="0.79998168889431442"/>
          <bgColor theme="6" tint="0.79998168889431442"/>
        </patternFill>
      </fill>
    </dxf>
    <dxf>
      <fill>
        <patternFill patternType="solid">
          <fgColor theme="6" tint="0.79992065187536243"/>
          <bgColor theme="0" tint="-0.14996795556505021"/>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1"/>
        </left>
        <right style="medium">
          <color theme="1"/>
        </right>
        <top style="medium">
          <color theme="1"/>
        </top>
        <bottom style="medium">
          <color theme="1"/>
        </bottom>
        <vertical style="thin">
          <color theme="6"/>
        </vertical>
        <horizontal style="thin">
          <color theme="6"/>
        </horizontal>
      </border>
    </dxf>
    <dxf>
      <fill>
        <patternFill patternType="solid">
          <fgColor theme="6" tint="0.79998168889431442"/>
          <bgColor theme="6" tint="0.79998168889431442"/>
        </patternFill>
      </fill>
    </dxf>
    <dxf>
      <fill>
        <patternFill patternType="solid">
          <fgColor theme="6" tint="0.79998168889431442"/>
          <bgColor theme="6" tint="0.79998168889431442"/>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6"/>
        </left>
        <right style="medium">
          <color theme="6"/>
        </right>
        <top style="medium">
          <color theme="6"/>
        </top>
        <bottom style="medium">
          <color theme="6"/>
        </bottom>
        <vertical style="thin">
          <color theme="6"/>
        </vertical>
        <horizontal style="thin">
          <color theme="6"/>
        </horizontal>
      </border>
    </dxf>
    <dxf>
      <fill>
        <patternFill patternType="solid">
          <fgColor theme="6" tint="0.79992065187536243"/>
          <bgColor rgb="FFD3B5E9"/>
        </patternFill>
      </fill>
    </dxf>
    <dxf>
      <fill>
        <patternFill patternType="solid">
          <fgColor theme="6" tint="0.79995117038483843"/>
          <bgColor rgb="FFD3B5E9"/>
        </patternFill>
      </fill>
    </dxf>
    <dxf>
      <font>
        <b/>
        <color theme="1"/>
      </font>
    </dxf>
    <dxf>
      <font>
        <b/>
        <color theme="1"/>
      </font>
    </dxf>
    <dxf>
      <font>
        <b/>
        <color theme="1"/>
      </font>
      <border diagonalUp="0" diagonalDown="0">
        <left/>
        <right/>
        <top style="thick">
          <color rgb="FF513E80"/>
        </top>
        <bottom/>
        <vertical/>
        <horizontal/>
      </border>
    </dxf>
    <dxf>
      <font>
        <b/>
        <color theme="1"/>
      </font>
      <border diagonalUp="0" diagonalDown="0">
        <left/>
        <right/>
        <top/>
        <bottom style="medium">
          <color rgb="FF513E80"/>
        </bottom>
        <vertical/>
        <horizontal/>
      </border>
    </dxf>
    <dxf>
      <font>
        <color theme="1"/>
      </font>
      <border>
        <left style="medium">
          <color rgb="FF513E80"/>
        </left>
        <right style="medium">
          <color rgb="FF513E80"/>
        </right>
        <top style="medium">
          <color rgb="FF513E80"/>
        </top>
        <bottom style="medium">
          <color rgb="FF513E80"/>
        </bottom>
        <vertical style="thin">
          <color rgb="FF513E80"/>
        </vertical>
        <horizontal style="thin">
          <color rgb="FF513E80"/>
        </horizontal>
      </border>
    </dxf>
    <dxf>
      <fill>
        <patternFill patternType="solid">
          <fgColor theme="5" tint="0.79998168889431442"/>
          <bgColor theme="5" tint="0.79998168889431442"/>
        </patternFill>
      </fill>
    </dxf>
    <dxf>
      <fill>
        <patternFill patternType="solid">
          <fgColor theme="5" tint="0.79998168889431442"/>
          <bgColor theme="5" tint="0.79998168889431442"/>
        </patternFill>
      </fill>
    </dxf>
    <dxf>
      <font>
        <b/>
        <color theme="1"/>
      </font>
    </dxf>
    <dxf>
      <font>
        <b/>
        <color theme="1"/>
      </font>
    </dxf>
    <dxf>
      <font>
        <b/>
        <color theme="1"/>
      </font>
      <border>
        <top style="double">
          <color theme="5"/>
        </top>
      </border>
    </dxf>
    <dxf>
      <font>
        <b/>
        <i val="0"/>
        <color theme="1"/>
      </font>
      <border diagonalUp="0" diagonalDown="0">
        <left/>
        <right/>
        <top/>
        <bottom style="medium">
          <color theme="5"/>
        </bottom>
        <vertical/>
        <horizontal/>
      </border>
    </dxf>
    <dxf>
      <font>
        <color theme="1"/>
      </font>
      <border>
        <left style="medium">
          <color theme="5"/>
        </left>
        <right style="medium">
          <color theme="5"/>
        </right>
        <top style="medium">
          <color theme="5"/>
        </top>
        <bottom style="medium">
          <color theme="5"/>
        </bottom>
        <vertical style="thin">
          <color theme="5"/>
        </vertical>
        <horizontal style="thin">
          <color theme="5"/>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i val="0"/>
        <color theme="1"/>
      </font>
      <border diagonalUp="0" diagonalDown="0">
        <left/>
        <right/>
        <top/>
        <bottom style="medium">
          <color theme="4"/>
        </bottom>
        <vertical/>
        <horizontal/>
      </border>
    </dxf>
    <dxf>
      <font>
        <color theme="1"/>
      </font>
      <border>
        <left style="medium">
          <color theme="4"/>
        </left>
        <right style="medium">
          <color theme="4"/>
        </right>
        <top style="medium">
          <color theme="4"/>
        </top>
        <bottom style="medium">
          <color theme="4"/>
        </bottom>
        <vertical style="thin">
          <color theme="4"/>
        </vertical>
        <horizontal style="thin">
          <color theme="4"/>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double">
          <color theme="1"/>
        </top>
      </border>
    </dxf>
    <dxf>
      <font>
        <b/>
        <i val="0"/>
        <color theme="1"/>
      </font>
      <border diagonalUp="0" diagonalDown="0">
        <left/>
        <right/>
        <top/>
        <bottom style="medium">
          <color theme="1"/>
        </bottom>
        <vertical/>
        <horizontal/>
      </border>
    </dxf>
    <dxf>
      <font>
        <color theme="1"/>
      </font>
      <border>
        <left style="medium">
          <color theme="1"/>
        </left>
        <right style="medium">
          <color theme="1"/>
        </right>
        <top style="medium">
          <color theme="1"/>
        </top>
        <bottom style="medium">
          <color theme="1"/>
        </bottom>
        <vertical style="thin">
          <color theme="1"/>
        </vertical>
        <horizontal style="thin">
          <color theme="1"/>
        </horizontal>
      </border>
    </dxf>
  </dxfs>
  <tableStyles count="8" defaultTableStyle="TableStyleMedium2" defaultPivotStyle="PivotStyleLight16">
    <tableStyle name="Invisible" pivot="0" table="0" count="0" xr9:uid="{ED64E85C-CF3E-41CC-8B05-D20723E14618}"/>
    <tableStyle name="TableStyleLight15 2" pivot="0" count="7" xr9:uid="{6E068814-5BB5-4BA1-ACB0-253459FA954C}">
      <tableStyleElement type="wholeTable" dxfId="711"/>
      <tableStyleElement type="headerRow" dxfId="710"/>
      <tableStyleElement type="totalRow" dxfId="709"/>
      <tableStyleElement type="firstColumn" dxfId="708"/>
      <tableStyleElement type="lastColumn" dxfId="707"/>
      <tableStyleElement type="firstRowStripe" dxfId="706"/>
      <tableStyleElement type="firstColumnStripe" dxfId="705"/>
    </tableStyle>
    <tableStyle name="TableStyleLight16 2" pivot="0" count="7" xr9:uid="{D69CDBB7-032E-49BC-AC54-A31420CE7655}">
      <tableStyleElement type="wholeTable" dxfId="704"/>
      <tableStyleElement type="headerRow" dxfId="703"/>
      <tableStyleElement type="totalRow" dxfId="702"/>
      <tableStyleElement type="firstColumn" dxfId="701"/>
      <tableStyleElement type="lastColumn" dxfId="700"/>
      <tableStyleElement type="firstRowStripe" dxfId="699"/>
      <tableStyleElement type="firstColumnStripe" dxfId="698"/>
    </tableStyle>
    <tableStyle name="TableStyleLight17 2" pivot="0" count="7" xr9:uid="{F0E5CF34-A936-4E2B-86EA-DA714855B9FB}">
      <tableStyleElement type="wholeTable" dxfId="697"/>
      <tableStyleElement type="headerRow" dxfId="696"/>
      <tableStyleElement type="totalRow" dxfId="695"/>
      <tableStyleElement type="firstColumn" dxfId="694"/>
      <tableStyleElement type="lastColumn" dxfId="693"/>
      <tableStyleElement type="firstRowStripe" dxfId="692"/>
      <tableStyleElement type="firstColumnStripe" dxfId="691"/>
    </tableStyle>
    <tableStyle name="TableStyleLight18 2" pivot="0" count="7" xr9:uid="{FCE9A81E-B697-440C-9031-FD78FF52ED88}">
      <tableStyleElement type="wholeTable" dxfId="690"/>
      <tableStyleElement type="headerRow" dxfId="689"/>
      <tableStyleElement type="totalRow" dxfId="688"/>
      <tableStyleElement type="firstColumn" dxfId="687"/>
      <tableStyleElement type="lastColumn" dxfId="686"/>
      <tableStyleElement type="firstRowStripe" dxfId="685"/>
      <tableStyleElement type="firstColumnStripe" dxfId="684"/>
    </tableStyle>
    <tableStyle name="TableStyleLight18 3" pivot="0" count="7" xr9:uid="{AE81560E-A0A1-4B8F-8608-83C1F78B608A}">
      <tableStyleElement type="wholeTable" dxfId="683"/>
      <tableStyleElement type="headerRow" dxfId="682"/>
      <tableStyleElement type="totalRow" dxfId="681"/>
      <tableStyleElement type="firstColumn" dxfId="680"/>
      <tableStyleElement type="lastColumn" dxfId="679"/>
      <tableStyleElement type="firstRowStripe" dxfId="678"/>
      <tableStyleElement type="firstColumnStripe" dxfId="677"/>
    </tableStyle>
    <tableStyle name="TableStyleLight18 3 2" pivot="0" count="7" xr9:uid="{4C6F2DC0-9EE9-4779-9307-175D1C00B7C0}">
      <tableStyleElement type="wholeTable" dxfId="676"/>
      <tableStyleElement type="headerRow" dxfId="675"/>
      <tableStyleElement type="totalRow" dxfId="674"/>
      <tableStyleElement type="firstColumn" dxfId="673"/>
      <tableStyleElement type="lastColumn" dxfId="672"/>
      <tableStyleElement type="firstRowStripe" dxfId="671"/>
      <tableStyleElement type="firstColumnStripe" dxfId="670"/>
    </tableStyle>
    <tableStyle name="TableStyleLight19 2" pivot="0" count="7" xr9:uid="{A6B5A85E-1A32-4277-8575-40D0AE2BF488}">
      <tableStyleElement type="wholeTable" dxfId="669"/>
      <tableStyleElement type="headerRow" dxfId="668"/>
      <tableStyleElement type="totalRow" dxfId="667"/>
      <tableStyleElement type="firstColumn" dxfId="666"/>
      <tableStyleElement type="lastColumn" dxfId="665"/>
      <tableStyleElement type="firstRowStripe" dxfId="664"/>
      <tableStyleElement type="firstColumnStripe" dxfId="663"/>
    </tableStyle>
  </tableStyles>
  <colors>
    <mruColors>
      <color rgb="FFFF9F9F"/>
      <color rgb="FFFFFF66"/>
      <color rgb="FFE0B3FF"/>
      <color rgb="FFD3B5E9"/>
      <color rgb="FFFF0000"/>
      <color rgb="FF513E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alcChain" Target="calcChai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[Time_SCRPA_Master_Macro.xlsm]All_Crimes!PivotTable6</c:name>
    <c:fmtId val="0"/>
  </c:pivotSource>
  <c:chart>
    <c:title>
      <c:overlay val="0"/>
      <c:spPr>
        <a:noFill/>
        <a:ln>
          <a:noFill/>
        </a:ln>
        <a:effectLst/>
      </c:spPr>
      <c:txPr>
        <a:bodyPr rot="0" spcFirstLastPara="1" vertOverflow="ellipsis" vert="horz" wrap="square" anchor="ctr" anchorCtr="1"/>
        <a:lstStyle/>
        <a:p>
          <a:pPr>
            <a:defRPr sz="2880" b="0" i="0" u="none" strike="noStrike" kern="1200" spc="0" baseline="0">
              <a:solidFill>
                <a:schemeClr val="tx1">
                  <a:lumMod val="65000"/>
                  <a:lumOff val="35000"/>
                </a:schemeClr>
              </a:solidFill>
              <a:latin typeface="Aptos ExtraBold" panose="020B00040202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All_Crimes!$AT$4:$AT$5</c:f>
              <c:strCache>
                <c:ptCount val="1"/>
                <c:pt idx="0">
                  <c:v>YTD</c:v>
                </c:pt>
              </c:strCache>
            </c:strRef>
          </c:tx>
          <c:spPr>
            <a:solidFill>
              <a:schemeClr val="tx1">
                <a:lumMod val="85000"/>
                <a:lumOff val="15000"/>
              </a:schemeClr>
            </a:solidFill>
            <a:ln>
              <a:noFill/>
            </a:ln>
            <a:effectLst/>
          </c:spPr>
          <c:invertIfNegative val="0"/>
          <c:cat>
            <c:strRef>
              <c:f>All_Crimes!$AS$6:$AS$8</c:f>
              <c:strCache>
                <c:ptCount val="2"/>
                <c:pt idx="0">
                  <c:v>Afternoon (12:00–15:59)</c:v>
                </c:pt>
                <c:pt idx="1">
                  <c:v>Night (20:00–23:59)</c:v>
                </c:pt>
              </c:strCache>
            </c:strRef>
          </c:cat>
          <c:val>
            <c:numRef>
              <c:f>All_Crimes!$AT$6:$AT$8</c:f>
              <c:numCache>
                <c:formatCode>General</c:formatCode>
                <c:ptCount val="2"/>
                <c:pt idx="0">
                  <c:v>3</c:v>
                </c:pt>
                <c:pt idx="1">
                  <c:v>1</c:v>
                </c:pt>
              </c:numCache>
            </c:numRef>
          </c:val>
          <c:extLst>
            <c:ext xmlns:c16="http://schemas.microsoft.com/office/drawing/2014/chart" uri="{C3380CC4-5D6E-409C-BE32-E72D297353CC}">
              <c16:uniqueId val="{00000000-5504-4875-9762-B303DA12CD8E}"/>
            </c:ext>
          </c:extLst>
        </c:ser>
        <c:dLbls>
          <c:showLegendKey val="0"/>
          <c:showVal val="0"/>
          <c:showCatName val="0"/>
          <c:showSerName val="0"/>
          <c:showPercent val="0"/>
          <c:showBubbleSize val="0"/>
        </c:dLbls>
        <c:gapWidth val="187"/>
        <c:overlap val="-7"/>
        <c:axId val="104637583"/>
        <c:axId val="104628463"/>
      </c:barChart>
      <c:catAx>
        <c:axId val="10463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crossAx val="104628463"/>
        <c:crosses val="autoZero"/>
        <c:auto val="1"/>
        <c:lblAlgn val="ctr"/>
        <c:lblOffset val="100"/>
        <c:noMultiLvlLbl val="0"/>
      </c:catAx>
      <c:valAx>
        <c:axId val="104628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crossAx val="104637583"/>
        <c:crosses val="autoZero"/>
        <c:crossBetween val="between"/>
      </c:valAx>
      <c:spPr>
        <a:solidFill>
          <a:schemeClr val="bg1">
            <a:lumMod val="8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sz="2400">
          <a:latin typeface="Aptos ExtraBold" panose="020B00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48</xdr:col>
      <xdr:colOff>733425</xdr:colOff>
      <xdr:row>1</xdr:row>
      <xdr:rowOff>9525</xdr:rowOff>
    </xdr:from>
    <xdr:to>
      <xdr:col>78</xdr:col>
      <xdr:colOff>552450</xdr:colOff>
      <xdr:row>73</xdr:row>
      <xdr:rowOff>142875</xdr:rowOff>
    </xdr:to>
    <xdr:graphicFrame macro="">
      <xdr:nvGraphicFramePr>
        <xdr:cNvPr id="2" name="Chart 1">
          <a:extLst>
            <a:ext uri="{FF2B5EF4-FFF2-40B4-BE49-F238E27FC236}">
              <a16:creationId xmlns:a16="http://schemas.microsoft.com/office/drawing/2014/main" id="{505DD372-6C55-4B7B-F79F-F01570B4E0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bert A. Carucci" refreshedDate="45846.451530324077" backgroundQuery="1" createdVersion="8" refreshedVersion="8" minRefreshableVersion="3" recordCount="0" supportSubquery="1" supportAdvancedDrill="1" xr:uid="{6BF035B7-2BE0-49AD-9E55-C883D30A7CED}">
  <cacheSource type="external" connectionId="18"/>
  <cacheFields count="4">
    <cacheField name="[All_Crimes].[Enhanced_TimeOfDay].[Enhanced_TimeOfDay]" caption="Enhanced_TimeOfDay" numFmtId="0" hierarchy="34" level="1">
      <sharedItems count="2">
        <s v="Afternoon (12:00–15:59)"/>
        <s v="Night (20:00–23:59)"/>
      </sharedItems>
    </cacheField>
    <cacheField name="[All_Crimes].[Period].[Period]" caption="Period" numFmtId="0" hierarchy="31" level="1">
      <sharedItems count="2">
        <s v="YTD"/>
        <s v="Historical" u="1"/>
      </sharedItems>
    </cacheField>
    <cacheField name="[Measures].[Count of Case Number]" caption="Count of Case Number" numFmtId="0" hierarchy="44" level="32767"/>
    <cacheField name="[All_Crimes].[ALL_INCIDENTS].[ALL_INCIDENTS]" caption="ALL_INCIDENTS" numFmtId="0" hierarchy="30" level="1">
      <sharedItems containsSemiMixedTypes="0" containsNonDate="0" containsString="0"/>
    </cacheField>
  </cacheFields>
  <cacheHierarchies count="45">
    <cacheHierarchy uniqueName="[All_Crimes].[Case Number]" caption="Case Number" attribute="1" defaultMemberUniqueName="[All_Crimes].[Case Number].[All]" allUniqueName="[All_Crimes].[Case Number].[All]" dimensionUniqueName="[All_Crimes]" displayFolder="" count="0" memberValueDatatype="130" unbalanced="0"/>
    <cacheHierarchy uniqueName="[All_Crimes].[IncidentDate]" caption="IncidentDate" attribute="1" time="1" defaultMemberUniqueName="[All_Crimes].[IncidentDate].[All]" allUniqueName="[All_Crimes].[IncidentDate].[All]" dimensionUniqueName="[All_Crimes]" displayFolder="" count="0" memberValueDatatype="7" unbalanced="0"/>
    <cacheHierarchy uniqueName="[All_Crimes].[Incident Time]" caption="Incident Time" attribute="1" time="1" defaultMemberUniqueName="[All_Crimes].[Incident Time].[All]" allUniqueName="[All_Crimes].[Incident Time].[All]" dimensionUniqueName="[All_Crimes]" displayFolder="" count="0" memberValueDatatype="7" unbalanced="0"/>
    <cacheHierarchy uniqueName="[All_Crimes].[Incident Type_1]" caption="Incident Type_1" attribute="1" defaultMemberUniqueName="[All_Crimes].[Incident Type_1].[All]" allUniqueName="[All_Crimes].[Incident Type_1].[All]" dimensionUniqueName="[All_Crimes]" displayFolder="" count="0" memberValueDatatype="130" unbalanced="0"/>
    <cacheHierarchy uniqueName="[All_Crimes].[Incident Type_2]" caption="Incident Type_2" attribute="1" defaultMemberUniqueName="[All_Crimes].[Incident Type_2].[All]" allUniqueName="[All_Crimes].[Incident Type_2].[All]" dimensionUniqueName="[All_Crimes]" displayFolder="" count="0" memberValueDatatype="130" unbalanced="0"/>
    <cacheHierarchy uniqueName="[All_Crimes].[Incident Type_3]" caption="Incident Type_3" attribute="1" defaultMemberUniqueName="[All_Crimes].[Incident Type_3].[All]" allUniqueName="[All_Crimes].[Incident Type_3].[All]" dimensionUniqueName="[All_Crimes]" displayFolder="" count="0" memberValueDatatype="130" unbalanced="0"/>
    <cacheHierarchy uniqueName="[All_Crimes].[FullAddress]" caption="FullAddress" attribute="1" defaultMemberUniqueName="[All_Crimes].[FullAddress].[All]" allUniqueName="[All_Crimes].[FullAddress].[All]" dimensionUniqueName="[All_Crimes]" displayFolder="" count="0" memberValueDatatype="130" unbalanced="0"/>
    <cacheHierarchy uniqueName="[All_Crimes].[Grid]" caption="Grid" attribute="1" defaultMemberUniqueName="[All_Crimes].[Grid].[All]" allUniqueName="[All_Crimes].[Grid].[All]" dimensionUniqueName="[All_Crimes]" displayFolder="" count="0" memberValueDatatype="130" unbalanced="0"/>
    <cacheHierarchy uniqueName="[All_Crimes].[Zone]" caption="Zone" attribute="1" defaultMemberUniqueName="[All_Crimes].[Zone].[All]" allUniqueName="[All_Crimes].[Zone].[All]" dimensionUniqueName="[All_Crimes]" displayFolder="" count="0" memberValueDatatype="20" unbalanced="0"/>
    <cacheHierarchy uniqueName="[All_Crimes].[Narrative]" caption="Narrative" attribute="1" defaultMemberUniqueName="[All_Crimes].[Narrative].[All]" allUniqueName="[All_Crimes].[Narrative].[All]" dimensionUniqueName="[All_Crimes]" displayFolder="" count="0" memberValueDatatype="130" unbalanced="0"/>
    <cacheHierarchy uniqueName="[All_Crimes].[Total Value Stolen]" caption="Total Value Stolen" attribute="1" defaultMemberUniqueName="[All_Crimes].[Total Value Stolen].[All]" allUniqueName="[All_Crimes].[Total Value Stolen].[All]" dimensionUniqueName="[All_Crimes]" displayFolder="" count="0" memberValueDatatype="20" unbalanced="0"/>
    <cacheHierarchy uniqueName="[All_Crimes].[Total Value Recover]" caption="Total Value Recover" attribute="1" defaultMemberUniqueName="[All_Crimes].[Total Value Recover].[All]" allUniqueName="[All_Crimes].[Total Value Recover].[All]" dimensionUniqueName="[All_Crimes]" displayFolder="" count="0" memberValueDatatype="20" unbalanced="0"/>
    <cacheHierarchy uniqueName="[All_Crimes].[Registration 1]" caption="Registration 1" attribute="1" defaultMemberUniqueName="[All_Crimes].[Registration 1].[All]" allUniqueName="[All_Crimes].[Registration 1].[All]" dimensionUniqueName="[All_Crimes]" displayFolder="" count="0" memberValueDatatype="130" unbalanced="0"/>
    <cacheHierarchy uniqueName="[All_Crimes].[Make1]" caption="Make1" attribute="1" defaultMemberUniqueName="[All_Crimes].[Make1].[All]" allUniqueName="[All_Crimes].[Make1].[All]" dimensionUniqueName="[All_Crimes]" displayFolder="" count="0" memberValueDatatype="130" unbalanced="0"/>
    <cacheHierarchy uniqueName="[All_Crimes].[Model1]" caption="Model1" attribute="1" defaultMemberUniqueName="[All_Crimes].[Model1].[All]" allUniqueName="[All_Crimes].[Model1].[All]" dimensionUniqueName="[All_Crimes]" displayFolder="" count="0" memberValueDatatype="130" unbalanced="0"/>
    <cacheHierarchy uniqueName="[All_Crimes].[Reg State 1]" caption="Reg State 1" attribute="1" defaultMemberUniqueName="[All_Crimes].[Reg State 1].[All]" allUniqueName="[All_Crimes].[Reg State 1].[All]" dimensionUniqueName="[All_Crimes]" displayFolder="" count="0" memberValueDatatype="130" unbalanced="0"/>
    <cacheHierarchy uniqueName="[All_Crimes].[Registration 2]" caption="Registration 2" attribute="1" defaultMemberUniqueName="[All_Crimes].[Registration 2].[All]" allUniqueName="[All_Crimes].[Registration 2].[All]" dimensionUniqueName="[All_Crimes]" displayFolder="" count="0" memberValueDatatype="130" unbalanced="0"/>
    <cacheHierarchy uniqueName="[All_Crimes].[Reg State 2]" caption="Reg State 2" attribute="1" defaultMemberUniqueName="[All_Crimes].[Reg State 2].[All]" allUniqueName="[All_Crimes].[Reg State 2].[All]" dimensionUniqueName="[All_Crimes]" displayFolder="" count="0" memberValueDatatype="130" unbalanced="0"/>
    <cacheHierarchy uniqueName="[All_Crimes].[Make2]" caption="Make2" attribute="1" defaultMemberUniqueName="[All_Crimes].[Make2].[All]" allUniqueName="[All_Crimes].[Make2].[All]" dimensionUniqueName="[All_Crimes]" displayFolder="" count="0" memberValueDatatype="130" unbalanced="0"/>
    <cacheHierarchy uniqueName="[All_Crimes].[Model2]" caption="Model2" attribute="1" defaultMemberUniqueName="[All_Crimes].[Model2].[All]" allUniqueName="[All_Crimes].[Model2].[All]" dimensionUniqueName="[All_Crimes]" displayFolder="" count="0" memberValueDatatype="130" unbalanced="0"/>
    <cacheHierarchy uniqueName="[All_Crimes].[Reviewed By]" caption="Reviewed By" attribute="1" defaultMemberUniqueName="[All_Crimes].[Reviewed By].[All]" allUniqueName="[All_Crimes].[Reviewed By].[All]" dimensionUniqueName="[All_Crimes]" displayFolder="" count="0" memberValueDatatype="130" unbalanced="0"/>
    <cacheHierarchy uniqueName="[All_Crimes].[Officer of Record]" caption="Officer of Record" attribute="1" defaultMemberUniqueName="[All_Crimes].[Officer of Record].[All]" allUniqueName="[All_Crimes].[Officer of Record].[All]" dimensionUniqueName="[All_Crimes]" displayFolder="" count="0" memberValueDatatype="130" unbalanced="0"/>
    <cacheHierarchy uniqueName="[All_Crimes].[Squad]" caption="Squad" attribute="1" defaultMemberUniqueName="[All_Crimes].[Squad].[All]" allUniqueName="[All_Crimes].[Squad].[All]" dimensionUniqueName="[All_Crimes]" displayFolder="" count="0" memberValueDatatype="130" unbalanced="0"/>
    <cacheHierarchy uniqueName="[All_Crimes].[Det_Assigned]" caption="Det_Assigned" attribute="1" defaultMemberUniqueName="[All_Crimes].[Det_Assigned].[All]" allUniqueName="[All_Crimes].[Det_Assigned].[All]" dimensionUniqueName="[All_Crimes]" displayFolder="" count="0" memberValueDatatype="130" unbalanced="0"/>
    <cacheHierarchy uniqueName="[All_Crimes].[Case_Status]" caption="Case_Status" attribute="1" defaultMemberUniqueName="[All_Crimes].[Case_Status].[All]" allUniqueName="[All_Crimes].[Case_Status].[All]" dimensionUniqueName="[All_Crimes]" displayFolder="" count="0" memberValueDatatype="130" unbalanced="0"/>
    <cacheHierarchy uniqueName="[All_Crimes].[NibrsClassification]" caption="NibrsClassification" attribute="1" defaultMemberUniqueName="[All_Crimes].[NibrsClassification].[All]" allUniqueName="[All_Crimes].[NibrsClassification].[All]" dimensionUniqueName="[All_Crimes]" displayFolder="" count="0" memberValueDatatype="130" unbalanced="0"/>
    <cacheHierarchy uniqueName="[All_Crimes].[IncDate]" caption="IncDate" attribute="1" time="1" defaultMemberUniqueName="[All_Crimes].[IncDate].[All]" allUniqueName="[All_Crimes].[IncDate].[All]" dimensionUniqueName="[All_Crimes]" displayFolder="" count="0" memberValueDatatype="7" unbalanced="0"/>
    <cacheHierarchy uniqueName="[All_Crimes].[IncTime]" caption="IncTime" attribute="1" time="1" defaultMemberUniqueName="[All_Crimes].[IncTime].[All]" allUniqueName="[All_Crimes].[IncTime].[All]" dimensionUniqueName="[All_Crimes]" displayFolder="" count="0" memberValueDatatype="7" unbalanced="0"/>
    <cacheHierarchy uniqueName="[All_Crimes].[StartOfHour]" caption="StartOfHour" attribute="1" time="1" defaultMemberUniqueName="[All_Crimes].[StartOfHour].[All]" allUniqueName="[All_Crimes].[StartOfHour].[All]" dimensionUniqueName="[All_Crimes]" displayFolder="" count="0" memberValueDatatype="7" unbalanced="0"/>
    <cacheHierarchy uniqueName="[All_Crimes].[TimeOfDay]" caption="TimeOfDay" attribute="1" defaultMemberUniqueName="[All_Crimes].[TimeOfDay].[All]" allUniqueName="[All_Crimes].[TimeOfDay].[All]" dimensionUniqueName="[All_Crimes]" displayFolder="" count="0" memberValueDatatype="130" unbalanced="0"/>
    <cacheHierarchy uniqueName="[All_Crimes].[ALL_INCIDENTS]" caption="ALL_INCIDENTS" attribute="1" defaultMemberUniqueName="[All_Crimes].[ALL_INCIDENTS].[All]" allUniqueName="[All_Crimes].[ALL_INCIDENTS].[All]" dimensionUniqueName="[All_Crimes]" displayFolder="" count="2" memberValueDatatype="130" unbalanced="0">
      <fieldsUsage count="2">
        <fieldUsage x="-1"/>
        <fieldUsage x="3"/>
      </fieldsUsage>
    </cacheHierarchy>
    <cacheHierarchy uniqueName="[All_Crimes].[Period]" caption="Period" attribute="1" defaultMemberUniqueName="[All_Crimes].[Period].[All]" allUniqueName="[All_Crimes].[Period].[All]" dimensionUniqueName="[All_Crimes]" displayFolder="" count="2" memberValueDatatype="130" unbalanced="0">
      <fieldsUsage count="2">
        <fieldUsage x="-1"/>
        <fieldUsage x="1"/>
      </fieldsUsage>
    </cacheHierarchy>
    <cacheHierarchy uniqueName="[All_Crimes].[INC_TIME]" caption="INC_TIME" attribute="1" time="1" defaultMemberUniqueName="[All_Crimes].[INC_TIME].[All]" allUniqueName="[All_Crimes].[INC_TIME].[All]" dimensionUniqueName="[All_Crimes]" displayFolder="" count="0" memberValueDatatype="7" unbalanced="0"/>
    <cacheHierarchy uniqueName="[All_Crimes].[INC_DATE]" caption="INC_DATE" attribute="1" time="1" defaultMemberUniqueName="[All_Crimes].[INC_DATE].[All]" allUniqueName="[All_Crimes].[INC_DATE].[All]" dimensionUniqueName="[All_Crimes]" displayFolder="" count="0" memberValueDatatype="7" unbalanced="0"/>
    <cacheHierarchy uniqueName="[All_Crimes].[Enhanced_TimeOfDay]" caption="Enhanced_TimeOfDay" attribute="1" defaultMemberUniqueName="[All_Crimes].[Enhanced_TimeOfDay].[All]" allUniqueName="[All_Crimes].[Enhanced_TimeOfDay].[All]" dimensionUniqueName="[All_Crimes]" displayFolder="" count="2" memberValueDatatype="130" unbalanced="0">
      <fieldsUsage count="2">
        <fieldUsage x="-1"/>
        <fieldUsage x="0"/>
      </fieldsUsage>
    </cacheHierarchy>
    <cacheHierarchy uniqueName="[All_Crimes].[Day Name]" caption="Day Name" attribute="1" defaultMemberUniqueName="[All_Crimes].[Day Name].[All]" allUniqueName="[All_Crimes].[Day Name].[All]" dimensionUniqueName="[All_Crimes]" displayFolder="" count="0" memberValueDatatype="130" unbalanced="0"/>
    <cacheHierarchy uniqueName="[All_Crimes].[Month Name]" caption="Month Name" attribute="1" defaultMemberUniqueName="[All_Crimes].[Month Name].[All]" allUniqueName="[All_Crimes].[Month Name].[All]" dimensionUniqueName="[All_Crimes]" displayFolder="" count="0" memberValueDatatype="130" unbalanced="0"/>
    <cacheHierarchy uniqueName="[All_Crimes].[Year]" caption="Year" attribute="1" defaultMemberUniqueName="[All_Crimes].[Year].[All]" allUniqueName="[All_Crimes].[Year].[All]" dimensionUniqueName="[All_Crimes]" displayFolder="" count="0" memberValueDatatype="20" unbalanced="0"/>
    <cacheHierarchy uniqueName="[All_Crimes].[Week of Year]" caption="Week of Year" attribute="1" defaultMemberUniqueName="[All_Crimes].[Week of Year].[All]" allUniqueName="[All_Crimes].[Week of Year].[All]" dimensionUniqueName="[All_Crimes]" displayFolder="" count="0" memberValueDatatype="20" unbalanced="0"/>
    <cacheHierarchy uniqueName="[All_Crimes].[Day]" caption="Day" attribute="1" defaultMemberUniqueName="[All_Crimes].[Day].[All]" allUniqueName="[All_Crimes].[Day].[All]" dimensionUniqueName="[All_Crimes]" displayFolder="" count="0" memberValueDatatype="20" unbalanced="0"/>
    <cacheHierarchy uniqueName="[All_Crimes].[BLOCK_Enhanced]" caption="BLOCK_Enhanced" attribute="1" defaultMemberUniqueName="[All_Crimes].[BLOCK_Enhanced].[All]" allUniqueName="[All_Crimes].[BLOCK_Enhanced].[All]" dimensionUniqueName="[All_Crimes]" displayFolder="" count="0" memberValueDatatype="130" unbalanced="0"/>
    <cacheHierarchy uniqueName="[All_Crimes].[Crime_Category]" caption="Crime_Category" attribute="1" defaultMemberUniqueName="[All_Crimes].[Crime_Category].[All]" allUniqueName="[All_Crimes].[Crime_Category].[All]" dimensionUniqueName="[All_Crimes]" displayFolder="" count="0" memberValueDatatype="130" unbalanced="0"/>
    <cacheHierarchy uniqueName="[Measures].[__XL_Count All_Crimes]" caption="__XL_Count All_Crimes" measure="1" displayFolder="" measureGroup="All_Crimes" count="0" hidden="1"/>
    <cacheHierarchy uniqueName="[Measures].[__No measures defined]" caption="__No measures defined" measure="1" displayFolder="" count="0" hidden="1"/>
    <cacheHierarchy uniqueName="[Measures].[Count of Case Number]" caption="Count of Case Number" measure="1" displayFolder="" measureGroup="All_Crimes" count="0" oneField="1" hidden="1">
      <fieldsUsage count="1">
        <fieldUsage x="2"/>
      </fieldsUsage>
      <extLst>
        <ext xmlns:x15="http://schemas.microsoft.com/office/spreadsheetml/2010/11/main" uri="{B97F6D7D-B522-45F9-BDA1-12C45D357490}">
          <x15:cacheHierarchy aggregatedColumn="0"/>
        </ext>
      </extLst>
    </cacheHierarchy>
  </cacheHierarchies>
  <kpis count="0"/>
  <dimensions count="2">
    <dimension name="All_Crimes" uniqueName="[All_Crimes]" caption="All_Crimes"/>
    <dimension measure="1" name="Measures" uniqueName="[Measures]" caption="Measures"/>
  </dimensions>
  <measureGroups count="1">
    <measureGroup name="All_Crimes" caption="All_Crimes"/>
  </measureGroups>
  <maps count="1">
    <map measureGroup="0" dimension="0"/>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bert A. Carucci" refreshedDate="45846.451531597224" createdVersion="8" refreshedVersion="8" minRefreshableVersion="3" recordCount="28" xr:uid="{CE3CD6FB-6E91-4F73-AC39-C31501C9D233}">
  <cacheSource type="worksheet">
    <worksheetSource name="Burglary_Commercial_Residential"/>
  </cacheSource>
  <cacheFields count="61">
    <cacheField name="Case Number" numFmtId="0">
      <sharedItems/>
    </cacheField>
    <cacheField name="IncidentDate" numFmtId="14">
      <sharedItems containsNonDate="0" containsDate="1" containsString="0" containsBlank="1" minDate="2025-01-16T00:00:00" maxDate="2025-06-28T00:00:00"/>
    </cacheField>
    <cacheField name="Incident Time" numFmtId="22">
      <sharedItems containsNonDate="0" containsDate="1" containsString="0" containsBlank="1" minDate="1899-12-30T01:07:00" maxDate="1899-12-30T23:30:00"/>
    </cacheField>
    <cacheField name="Incident Date_Between" numFmtId="14">
      <sharedItems containsNonDate="0" containsDate="1" containsString="0" containsBlank="1" minDate="2025-01-16T00:00:00" maxDate="2025-06-27T00:00:00"/>
    </cacheField>
    <cacheField name="Incident Time_Between" numFmtId="168">
      <sharedItems containsNonDate="0" containsDate="1" containsString="0" containsBlank="1" minDate="1899-12-30T00:36:00" maxDate="1899-12-30T19:00:00"/>
    </cacheField>
    <cacheField name="Report Date" numFmtId="14">
      <sharedItems containsSemiMixedTypes="0" containsNonDate="0" containsDate="1" containsString="0" minDate="2025-01-16T00:00:00" maxDate="2025-06-28T00:00:00"/>
    </cacheField>
    <cacheField name="Report Time" numFmtId="168">
      <sharedItems containsSemiMixedTypes="0" containsNonDate="0" containsDate="1" containsString="0" minDate="1899-12-30T02:57:41" maxDate="1899-12-30T22:43:12"/>
    </cacheField>
    <cacheField name="Incident Type_1" numFmtId="0">
      <sharedItems/>
    </cacheField>
    <cacheField name="Incident Type_2" numFmtId="0">
      <sharedItems containsBlank="1"/>
    </cacheField>
    <cacheField name="Incident Type_3" numFmtId="0">
      <sharedItems containsBlank="1"/>
    </cacheField>
    <cacheField name="FullAddress" numFmtId="0">
      <sharedItems/>
    </cacheField>
    <cacheField name="Grid" numFmtId="0">
      <sharedItems containsBlank="1"/>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String="0" containsBlank="1" containsNumber="1" containsInteger="1" minValue="50300" maxValue="50300"/>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16T00:00:00" maxDate="2025-06-28T00:00:00"/>
    </cacheField>
    <cacheField name="IncTime" numFmtId="168">
      <sharedItems containsSemiMixedTypes="0" containsNonDate="0" containsDate="1" containsString="0" minDate="1899-12-30T01:07:00" maxDate="1899-12-30T23:30:00"/>
    </cacheField>
    <cacheField name="StartOfHour" numFmtId="168">
      <sharedItems containsSemiMixedTypes="0" containsNonDate="0" containsDate="1" containsString="0" minDate="1899-12-30T01:00:00" maxDate="1899-12-30T23:00:00"/>
    </cacheField>
    <cacheField name="TimeOfDay" numFmtId="0">
      <sharedItems/>
    </cacheField>
    <cacheField name="Block" numFmtId="0">
      <sharedItems/>
    </cacheField>
    <cacheField name="ALL_INCIDENTS" numFmtId="0">
      <sharedItems count="12">
        <s v="Burglary - Residence - 2C:18-2"/>
        <s v="Burglary - Commercial - 2C:18-2 - Alarm - Burglar"/>
        <s v="Burglary - Commercial - 2C:18-2 - Suspicious Incident"/>
        <s v="Burglary - Commercial - 2C:18-2 - Hindering Apprehension - 2C:29-3 - Resisting Arrest/Eluding - 2C:29-2"/>
        <s v="Burglary - Residence - 2C:18-2 - Terroristic Threats - 2C:12-3 - Criminal Mischief - 2C:17-3"/>
        <s v="Burglary - Residence - 2C:18-2 - Theft - 2C:20-3 - Criminal Mischief - 2C:17-3"/>
        <s v="Burglary - Commercial - 2C:18-2"/>
        <s v="Burglary - Residence - 2C:18-2 - Theft - 2C:20-3 - Warrant Arrest"/>
        <s v="Burglary - Residence - 2C:18-2 - Aggravated Assault - 2C:12-1b - Unlawful Taking - 2C:20-10"/>
        <s v="Burglary - Residence - 2C:18-2 - Criminal Mischief - 2C:17-3 - Simple Assault - 2C:12-1a"/>
        <s v="Burglary - Residence - 2C:18-2 - Suspicious Person - Suspicious Incident"/>
        <s v="Burglary - Residence - 2C:18-2 - Theft - 2C:20-3"/>
      </sharedItems>
    </cacheField>
    <cacheField name="Period" numFmtId="0">
      <sharedItems/>
    </cacheField>
    <cacheField name="INC_TIME" numFmtId="168">
      <sharedItems containsSemiMixedTypes="0" containsNonDate="0" containsDate="1" containsString="0" minDate="1899-12-30T01:07:00" maxDate="1899-12-30T23:30:00"/>
    </cacheField>
    <cacheField name="INC_DATE" numFmtId="14">
      <sharedItems containsSemiMixedTypes="0" containsNonDate="0" containsDate="1" containsString="0" minDate="2025-01-16T00:00:00" maxDate="2025-06-28T00:00:00" count="25">
        <d v="2025-01-16T00:00:00"/>
        <d v="2025-01-25T00:00:00"/>
        <d v="2025-01-31T00:00:00"/>
        <d v="2025-02-05T00:00:00"/>
        <d v="2025-02-17T00:00:00"/>
        <d v="2025-03-10T00:00:00"/>
        <d v="2025-03-27T00:00:00"/>
        <d v="2025-03-31T00:00:00"/>
        <d v="2025-04-01T00:00:00"/>
        <d v="2025-04-08T00:00:00"/>
        <d v="2025-04-13T00:00:00"/>
        <d v="2025-04-14T00:00:00"/>
        <d v="2025-04-16T00:00:00"/>
        <d v="2025-04-21T00:00:00"/>
        <d v="2025-04-20T00:00:00"/>
        <d v="2025-05-01T00:00:00"/>
        <d v="2025-05-12T00:00:00"/>
        <d v="2025-05-04T00:00:00"/>
        <d v="2025-05-24T00:00:00"/>
        <d v="2025-05-25T00:00:00"/>
        <d v="2025-04-27T00:00:00"/>
        <d v="2025-05-23T00:00:00"/>
        <d v="2025-06-18T00:00:00"/>
        <d v="2025-06-23T00:00:00"/>
        <d v="2025-06-27T00:00:00"/>
      </sharedItems>
    </cacheField>
    <cacheField name="Start of Hour" numFmtId="168">
      <sharedItems containsSemiMixedTypes="0" containsNonDate="0" containsDate="1" containsString="0" minDate="1899-12-30T01:00:00" maxDate="1899-12-30T23:00:00"/>
    </cacheField>
    <cacheField name="INC_DATE_AND_TIME" numFmtId="22">
      <sharedItems containsNonDate="0" containsString="0" containsBlank="1"/>
    </cacheField>
    <cacheField name="TOD" numFmtId="0">
      <sharedItems count="6">
        <s v="Afternoon (12:00–15:59)"/>
        <s v="Morning Peak (08:00–11:59)"/>
        <s v="Early Morning (00:00–03:59)"/>
        <s v="Night (20:00–23:59)"/>
        <s v="Evening Peak (16:00–19:59)"/>
        <s v="Morning (04:00–07:59)"/>
      </sharedItems>
    </cacheField>
    <cacheField name="Day Name" numFmtId="0">
      <sharedItems containsBlank="1" count="8">
        <s v="Thursday"/>
        <s v="Saturday"/>
        <s v="Friday"/>
        <s v="Wednesday"/>
        <s v="Monday"/>
        <s v="Tuesday"/>
        <s v="Sunday"/>
        <m u="1"/>
      </sharedItems>
    </cacheField>
    <cacheField name="Month Name" numFmtId="0">
      <sharedItems/>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3" maxValue="26"/>
    </cacheField>
    <cacheField name="Week of Month" numFmtId="0">
      <sharedItems containsSemiMixedTypes="0" containsString="0" containsNumber="1" containsInteger="1" minValue="1" maxValue="6"/>
    </cacheField>
    <cacheField name="Day" numFmtId="0">
      <sharedItems containsSemiMixedTypes="0" containsString="0" containsNumber="1" containsInteger="1" minValue="1" maxValue="31"/>
    </cacheField>
    <cacheField name="Day of Year" numFmtId="0">
      <sharedItems containsSemiMixedTypes="0" containsString="0" containsNumber="1" containsInteger="1" minValue="16" maxValue="178"/>
    </cacheField>
    <cacheField name="BLOCK2" numFmtId="0">
      <sharedItems/>
    </cacheField>
    <cacheField name="Location" numFmtId="0">
      <sharedItems/>
    </cacheField>
    <cacheField name="St#" numFmtId="0">
      <sharedItems containsNonDate="0" containsString="0" containsBlank="1"/>
    </cacheField>
    <cacheField name="Notes" numFmtId="0">
      <sharedItems containsNonDate="0" containsString="0" containsBlank="1"/>
    </cacheField>
    <cacheField name="VEHICLE" numFmtId="0">
      <sharedItems containsBlank="1"/>
    </cacheField>
    <cacheField name="Suspect" numFmtId="0">
      <sharedItems containsNonDate="0" containsString="0" containsBlank="1"/>
    </cacheField>
    <cacheField name="TOTAL_STOLEN_AMOUNT" numFmtId="0">
      <sharedItems containsString="0" containsBlank="1" containsNumber="1" containsInteger="1" minValue="50300" maxValue="50300"/>
    </cacheField>
    <cacheField name="REPORT_CYCLE" numFmtId="0">
      <sharedItems containsNonDate="0" containsString="0" containsBlank="1"/>
    </cacheField>
    <cacheField name="TIME_OF_DAY" numFmtId="0">
      <sharedItems count="6">
        <s v="Afternoon (12:00–15:59)"/>
        <s v="Morning Peak (08:00–11:59)"/>
        <s v="Early Morning (00:00–03:59)"/>
        <s v="Night (20:00–23:59)"/>
        <s v="Evening Peak (16:00–19:59)"/>
        <s v="Morning (04:00–07:59)"/>
      </sharedItems>
    </cacheField>
    <cacheField name="Enhanced_TimeOfDay"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846.451531712963" createdVersion="8" refreshedVersion="8" minRefreshableVersion="3" recordCount="53" xr:uid="{E05F0283-B42E-4677-8222-E73DACB8BB1E}">
  <cacheSource type="worksheet">
    <worksheetSource name="Auto_Burglary"/>
  </cacheSource>
  <cacheFields count="61">
    <cacheField name="Case Number" numFmtId="0">
      <sharedItems/>
    </cacheField>
    <cacheField name="IncidentDate" numFmtId="0">
      <sharedItems containsString="0" containsBlank="1" containsNumber="1" containsInteger="1" minValue="45660" maxValue="45837"/>
    </cacheField>
    <cacheField name="Incident Time" numFmtId="22">
      <sharedItems containsNonDate="0" containsDate="1" containsString="0" containsBlank="1" minDate="1899-12-30T00:47:00" maxDate="1900-03-19T04:00:00"/>
    </cacheField>
    <cacheField name="Incident Date_Between" numFmtId="14">
      <sharedItems containsNonDate="0" containsDate="1" containsString="0" containsBlank="1" minDate="2025-01-04T00:00:00" maxDate="2025-07-01T00:00:00"/>
    </cacheField>
    <cacheField name="Incident Time_Between" numFmtId="168">
      <sharedItems containsNonDate="0" containsDate="1" containsString="0" containsBlank="1" minDate="1899-12-30T02:30:00" maxDate="1899-12-30T23:11:00"/>
    </cacheField>
    <cacheField name="Report Date" numFmtId="14">
      <sharedItems containsSemiMixedTypes="0" containsNonDate="0" containsDate="1" containsString="0" minDate="2025-01-04T00:00:00" maxDate="2025-07-01T00:00:00"/>
    </cacheField>
    <cacheField name="Report Time" numFmtId="168">
      <sharedItems containsSemiMixedTypes="0" containsNonDate="0" containsDate="1" containsString="0" minDate="1899-12-30T00:52:33" maxDate="1899-12-30T23:58:33"/>
    </cacheField>
    <cacheField name="Incident Type_1" numFmtId="0">
      <sharedItems/>
    </cacheField>
    <cacheField name="Incident Type_2" numFmtId="0">
      <sharedItems containsBlank="1"/>
    </cacheField>
    <cacheField name="Incident Type_3" numFmtId="0">
      <sharedItems containsBlank="1"/>
    </cacheField>
    <cacheField name="FullAddress" numFmtId="0">
      <sharedItems/>
    </cacheField>
    <cacheField name="Grid" numFmtId="0">
      <sharedItems containsBlank="1"/>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String="0" containsBlank="1" containsNumber="1" containsInteger="1" minValue="2" maxValue="5"/>
    </cacheField>
    <cacheField name="Total Value Recover" numFmtId="0">
      <sharedItems containsString="0" containsBlank="1" containsNumber="1" containsInteger="1" minValue="0" maxValue="0"/>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Blank="1"/>
    </cacheField>
    <cacheField name="Reg State 2" numFmtId="0">
      <sharedItems containsBlank="1"/>
    </cacheField>
    <cacheField name="Make2" numFmtId="0">
      <sharedItems containsBlank="1"/>
    </cacheField>
    <cacheField name="Model2" numFmtId="0">
      <sharedItems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03T00:00:00" maxDate="2025-06-30T00:00:00"/>
    </cacheField>
    <cacheField name="IncTime" numFmtId="168">
      <sharedItems containsSemiMixedTypes="0" containsNonDate="0" containsDate="1" containsString="0" minDate="1899-12-30T00:47:00" maxDate="1899-12-30T23:30:00"/>
    </cacheField>
    <cacheField name="StartOfHour" numFmtId="168">
      <sharedItems containsSemiMixedTypes="0" containsNonDate="0" containsDate="1" containsString="0" minDate="1899-12-30T00:00:00" maxDate="1899-12-30T23:00:00"/>
    </cacheField>
    <cacheField name="TimeOfDay" numFmtId="0">
      <sharedItems/>
    </cacheField>
    <cacheField name="Block" numFmtId="0">
      <sharedItems/>
    </cacheField>
    <cacheField name="ALL_INCIDENTS" numFmtId="0">
      <sharedItems count="14">
        <s v="Motor Vehicle Theft - 2C:20-3"/>
        <s v="Burglary - Auto - 2C:18-2"/>
        <s v="Burglary - Auto - 2C:18-2 - Theft - 2C:20-3"/>
        <s v="Motor Vehicle Theft - 2C:20-3 - Theft - 2C:20-3"/>
        <s v="Motor Vehicle Theft - 2C:20-3 - Recovered Stolen Vehicle"/>
        <s v="Burglary - Auto - 2C:18-2 - Criminal Mischief - Vehicle - 2C:17-3"/>
        <s v="Burglary - Auto - 2C:18-2 - Theft - 2C:20-3 - Criminal Mischief - 2C:17-3"/>
        <s v="Burglary - Auto - 2C:18-2 - Suspicious Person - Property - Found"/>
        <s v="Burglary - Auto - 2C:18-2 - Weapons - Unlawful Purposes - 2C:39-4"/>
        <s v="Motor Vehicle Theft - 2C:20-3 - Motor Vehicle - Private Property Tow"/>
        <s v="Motor Vehicle Theft - 2C:20-3 - Suspicious Incident"/>
        <s v="Burglary - Auto - 2C:18-2 - Criminal Mischief - 2C:17-3"/>
        <s v="Motor Vehicle Theft - 2C:20-3 - Notification Request"/>
        <s v="Burglary - Auto - 2C:18-2 - Criminal Attempt - 2C:5-1 - Motor Vehicle Theft - 2C:20-3"/>
      </sharedItems>
    </cacheField>
    <cacheField name="Period" numFmtId="0">
      <sharedItems/>
    </cacheField>
    <cacheField name="INC_TIME" numFmtId="168">
      <sharedItems containsSemiMixedTypes="0" containsNonDate="0" containsDate="1" containsString="0" minDate="1899-12-30T00:47:00" maxDate="1899-12-30T23:30:00"/>
    </cacheField>
    <cacheField name="INC_DATE" numFmtId="14">
      <sharedItems containsSemiMixedTypes="0" containsNonDate="0" containsDate="1" containsString="0" minDate="2025-01-03T00:00:00" maxDate="2025-06-30T00:00:00" count="45">
        <d v="2025-01-03T00:00:00"/>
        <d v="2025-01-06T00:00:00"/>
        <d v="2025-01-15T00:00:00"/>
        <d v="2025-01-21T00:00:00"/>
        <d v="2025-01-22T00:00:00"/>
        <d v="2025-01-25T00:00:00"/>
        <d v="2025-01-26T00:00:00"/>
        <d v="2025-01-28T00:00:00"/>
        <d v="2025-02-01T00:00:00"/>
        <d v="2025-02-03T00:00:00"/>
        <d v="2025-02-07T00:00:00"/>
        <d v="2025-01-31T00:00:00"/>
        <d v="2025-02-13T00:00:00"/>
        <d v="2025-02-17T00:00:00"/>
        <d v="2025-02-25T00:00:00"/>
        <d v="2025-03-06T00:00:00"/>
        <d v="2025-03-09T00:00:00"/>
        <d v="2025-03-11T00:00:00"/>
        <d v="2025-03-21T00:00:00"/>
        <d v="2025-03-23T00:00:00"/>
        <d v="2025-03-28T00:00:00"/>
        <d v="2025-03-31T00:00:00"/>
        <d v="2025-04-01T00:00:00"/>
        <d v="2025-04-08T00:00:00"/>
        <d v="2025-04-09T00:00:00"/>
        <d v="2025-04-13T00:00:00"/>
        <d v="2025-04-19T00:00:00"/>
        <d v="2025-04-25T00:00:00"/>
        <d v="2025-04-29T00:00:00"/>
        <d v="2025-03-01T00:00:00"/>
        <d v="2025-05-05T00:00:00"/>
        <d v="2025-05-11T00:00:00"/>
        <d v="2025-05-12T00:00:00"/>
        <d v="2025-05-18T00:00:00"/>
        <d v="2025-05-14T00:00:00"/>
        <d v="2025-06-02T00:00:00"/>
        <d v="2025-06-03T00:00:00"/>
        <d v="2025-06-05T00:00:00"/>
        <d v="2025-06-07T00:00:00"/>
        <d v="2025-06-08T00:00:00"/>
        <d v="2025-06-11T00:00:00"/>
        <d v="2025-06-21T00:00:00"/>
        <d v="2025-06-20T00:00:00"/>
        <d v="2025-06-25T00:00:00"/>
        <d v="2025-06-29T00:00:00"/>
      </sharedItems>
    </cacheField>
    <cacheField name="Start of Hour" numFmtId="168">
      <sharedItems containsSemiMixedTypes="0" containsNonDate="0" containsDate="1" containsString="0" minDate="1899-12-30T00:00:00" maxDate="1899-12-30T23:00:00"/>
    </cacheField>
    <cacheField name="INC_DATE_AND_TIME" numFmtId="22">
      <sharedItems containsNonDate="0" containsString="0" containsBlank="1"/>
    </cacheField>
    <cacheField name="TOD" numFmtId="0">
      <sharedItems/>
    </cacheField>
    <cacheField name="Day Name" numFmtId="0">
      <sharedItems count="7">
        <s v="Friday"/>
        <s v="Monday"/>
        <s v="Wednesday"/>
        <s v="Tuesday"/>
        <s v="Saturday"/>
        <s v="Sunday"/>
        <s v="Thursday"/>
      </sharedItems>
    </cacheField>
    <cacheField name="Month Name" numFmtId="0">
      <sharedItems/>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1" maxValue="27"/>
    </cacheField>
    <cacheField name="Week of Month" numFmtId="0">
      <sharedItems containsSemiMixedTypes="0" containsString="0" containsNumber="1" containsInteger="1" minValue="1" maxValue="6"/>
    </cacheField>
    <cacheField name="Day" numFmtId="0">
      <sharedItems containsSemiMixedTypes="0" containsString="0" containsNumber="1" containsInteger="1" minValue="1" maxValue="31"/>
    </cacheField>
    <cacheField name="Day of Year" numFmtId="0">
      <sharedItems containsSemiMixedTypes="0" containsString="0" containsNumber="1" containsInteger="1" minValue="3" maxValue="180"/>
    </cacheField>
    <cacheField name="BLOCK2" numFmtId="0">
      <sharedItems/>
    </cacheField>
    <cacheField name="Location" numFmtId="0">
      <sharedItems/>
    </cacheField>
    <cacheField name="St#" numFmtId="0">
      <sharedItems containsNonDate="0" containsString="0" containsBlank="1"/>
    </cacheField>
    <cacheField name="Notes" numFmtId="0">
      <sharedItems containsNonDate="0" containsString="0" containsBlank="1"/>
    </cacheField>
    <cacheField name="VEHICLE" numFmtId="0">
      <sharedItems containsBlank="1"/>
    </cacheField>
    <cacheField name="Suspect" numFmtId="0">
      <sharedItems containsNonDate="0" containsString="0" containsBlank="1"/>
    </cacheField>
    <cacheField name="TOTAL_STOLEN_AMOUNT" numFmtId="0">
      <sharedItems containsString="0" containsBlank="1" containsNumber="1" containsInteger="1" minValue="2" maxValue="5"/>
    </cacheField>
    <cacheField name="REPORT_CYCLE" numFmtId="0">
      <sharedItems/>
    </cacheField>
    <cacheField name="TIME_OF_DAY" numFmtId="0">
      <sharedItems count="6">
        <s v="Night (20:00–23:59)"/>
        <s v="Afternoon (12:00–15:59)"/>
        <s v="Evening Peak (16:00–19:59)"/>
        <s v="Morning Peak (08:00–11:59)"/>
        <s v="Early Morning (00:00–03:59)"/>
        <s v="Morning (04:00–07:59)"/>
      </sharedItems>
    </cacheField>
    <cacheField name="Enhanced_TimeOfDay"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s v="25-004478"/>
    <d v="2025-01-16T00:00:00"/>
    <d v="1899-12-30T12:00:00"/>
    <d v="2025-01-16T00:00:00"/>
    <d v="1899-12-30T18:00:00"/>
    <d v="2025-01-16T00:00:00"/>
    <d v="1899-12-30T19:34:52"/>
    <s v="Burglary - Residence - 2C:18-2"/>
    <m/>
    <m/>
    <s v="30 Second Street, Hackensack, NJ, 07601"/>
    <s v="G3"/>
    <n v="7"/>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m/>
    <m/>
    <m/>
    <m/>
    <m/>
    <m/>
    <m/>
    <m/>
    <m/>
    <s v="deleon_a"/>
    <s v="Complete"/>
    <s v="P.O. Aziah Miller 357"/>
    <s v="A3"/>
    <s v="Det. Matthew DeBonis 325"/>
    <s v="Active/Administratively Closed"/>
    <s v="220 = Burglary/Breaking &amp; Entering"/>
    <n v="9"/>
    <d v="2025-01-16T00:00:00"/>
    <d v="1899-12-30T12:00:00"/>
    <d v="1899-12-30T12:00:00"/>
    <s v="Afternoon (12:00–15:59)"/>
    <s v="Second Street, 0 Block"/>
    <x v="0"/>
    <s v="YTD"/>
    <d v="1899-12-30T12:00:00"/>
    <x v="0"/>
    <d v="1899-12-30T12:00:00"/>
    <m/>
    <x v="0"/>
    <x v="0"/>
    <s v="January"/>
    <n v="2025"/>
    <n v="3"/>
    <n v="3"/>
    <n v="16"/>
    <n v="16"/>
    <s v="Second Street, 0 Block"/>
    <s v="30 Second Street, Hackensack, NJ, 07601"/>
    <m/>
    <m/>
    <m/>
    <m/>
    <m/>
    <m/>
    <x v="0"/>
    <s v="Afternoon (12:00–15:59)"/>
  </r>
  <r>
    <s v="25-006864"/>
    <d v="2025-01-25T00:00:00"/>
    <d v="1899-12-30T11:00:00"/>
    <d v="2025-01-25T00:00:00"/>
    <d v="1899-12-30T14:00:00"/>
    <d v="2025-01-25T00:00:00"/>
    <d v="1899-12-30T13:55:59"/>
    <s v="Burglary - Residence - 2C:18-2"/>
    <m/>
    <m/>
    <s v="60 Kansas Street, Hackensack, NJ, 07601"/>
    <s v="E1"/>
    <n v="5"/>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m/>
    <m/>
    <m/>
    <m/>
    <m/>
    <m/>
    <m/>
    <m/>
    <m/>
    <s v="levis_r"/>
    <s v="Complete"/>
    <s v="P.O. Andres Lopez 375"/>
    <s v="A2"/>
    <s v="Det. Matthew DeBonis 325"/>
    <s v="Active/Administratively Closed"/>
    <s v="220 = Burglary/Breaking &amp; Entering"/>
    <n v="9"/>
    <d v="2025-01-25T00:00:00"/>
    <d v="1899-12-30T11:00:00"/>
    <d v="1899-12-30T11:00:00"/>
    <s v="Morning Peak (08:00–11:59)"/>
    <s v="Kansas Street, 0 Block"/>
    <x v="0"/>
    <s v="YTD"/>
    <d v="1899-12-30T11:00:00"/>
    <x v="1"/>
    <d v="1899-12-30T11:00:00"/>
    <m/>
    <x v="1"/>
    <x v="1"/>
    <s v="January"/>
    <n v="2025"/>
    <n v="4"/>
    <n v="4"/>
    <n v="25"/>
    <n v="25"/>
    <s v="Kansas Street, 0 Block"/>
    <s v="60 Kansas Street, Hackensack, NJ, 07601"/>
    <m/>
    <m/>
    <m/>
    <m/>
    <m/>
    <m/>
    <x v="1"/>
    <s v="Morning Peak (08:00–11:59)"/>
  </r>
  <r>
    <s v="25-008551"/>
    <d v="2025-01-31T00:00:00"/>
    <d v="1899-12-30T11:59:50"/>
    <m/>
    <m/>
    <d v="2025-01-31T00:00:00"/>
    <d v="1899-12-30T11:59:50"/>
    <s v="Burglary - Residence - 2C:18-2"/>
    <m/>
    <m/>
    <s v="292 The Esplanade, Hackensack, NJ, 07601"/>
    <s v="H5"/>
    <n v="8"/>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m/>
    <m/>
    <m/>
    <m/>
    <m/>
    <m/>
    <m/>
    <m/>
    <m/>
    <s v="klosk_j"/>
    <s v="Complete"/>
    <s v="P.O. Denisse Caero 367"/>
    <s v="B2"/>
    <s v="Det. John Tanucilli 335"/>
    <s v="Active/Administratively Closed"/>
    <s v="220 = Burglary/Breaking &amp; Entering"/>
    <n v="9"/>
    <d v="2025-01-31T00:00:00"/>
    <d v="1899-12-30T11:59:50"/>
    <d v="1899-12-30T11:00:00"/>
    <s v="Morning Peak (08:00–11:59)"/>
    <s v="The Esplanade, 200 Block"/>
    <x v="0"/>
    <s v="YTD"/>
    <d v="1899-12-30T11:59:50"/>
    <x v="2"/>
    <d v="1899-12-30T11:00:00"/>
    <m/>
    <x v="1"/>
    <x v="2"/>
    <s v="January"/>
    <n v="2025"/>
    <n v="5"/>
    <n v="5"/>
    <n v="31"/>
    <n v="31"/>
    <s v="The Esplanade, 200 Block"/>
    <s v="292 The Esplanade, Hackensack, NJ, 07601"/>
    <m/>
    <m/>
    <m/>
    <m/>
    <m/>
    <m/>
    <x v="1"/>
    <s v="Morning Peak (08:00–11:59)"/>
  </r>
  <r>
    <s v="25-009831"/>
    <d v="2025-02-05T00:00:00"/>
    <d v="1899-12-30T02:57:00"/>
    <m/>
    <m/>
    <d v="2025-02-05T00:00:00"/>
    <d v="1899-12-30T02:57:41"/>
    <s v="Burglary - Commercial - 2C:18-2"/>
    <s v="Alarm - Burglar"/>
    <m/>
    <s v="441 Passaic Street, Hackensack, NJ, 07601"/>
    <s v="H5"/>
    <n v="8"/>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m/>
    <m/>
    <m/>
    <m/>
    <m/>
    <m/>
    <m/>
    <m/>
    <m/>
    <s v="swetits_m"/>
    <s v="Complete"/>
    <s v="P.O. Benjamin Estrada 350"/>
    <s v="A2"/>
    <s v="Det. Frank Scarpa 348"/>
    <s v="Active Investigation"/>
    <s v="220 = Burglary/Breaking &amp; Entering"/>
    <n v="9"/>
    <d v="2025-02-05T00:00:00"/>
    <d v="1899-12-30T02:57:00"/>
    <d v="1899-12-30T02:00:00"/>
    <s v="Early Morning (00:00–03:59)"/>
    <s v="Passaic Street, 400 Block"/>
    <x v="1"/>
    <s v="YTD"/>
    <d v="1899-12-30T02:57:00"/>
    <x v="3"/>
    <d v="1899-12-30T02:00:00"/>
    <m/>
    <x v="2"/>
    <x v="3"/>
    <s v="February"/>
    <n v="2025"/>
    <n v="6"/>
    <n v="2"/>
    <n v="5"/>
    <n v="36"/>
    <s v="Passaic Street, 400 Block"/>
    <s v="441 Passaic Street, Hackensack, NJ, 07601"/>
    <m/>
    <m/>
    <m/>
    <m/>
    <m/>
    <m/>
    <x v="2"/>
    <s v="Early Morning (00:00–03:59)"/>
  </r>
  <r>
    <s v="25-013147"/>
    <d v="2025-02-17T00:00:00"/>
    <d v="1899-12-30T12:35:58"/>
    <m/>
    <m/>
    <d v="2025-02-17T00:00:00"/>
    <d v="1899-12-30T12:35:58"/>
    <s v="Burglary - Commercial - 2C:18-2"/>
    <s v="Suspicious Incident"/>
    <m/>
    <s v="35 Pangborn Place, Hackensack, NJ, 07601"/>
    <s v="I1"/>
    <n v="9"/>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m/>
    <m/>
    <m/>
    <m/>
    <m/>
    <m/>
    <m/>
    <m/>
    <m/>
    <s v="deleon_a"/>
    <s v="Complete"/>
    <s v="P.O. Ruben Almonte 359"/>
    <s v="A3"/>
    <s v="Sgt. Francesco Tripodi 134"/>
    <s v="Active/Administratively Closed"/>
    <s v="220 = Burglary/Breaking &amp; Entering"/>
    <n v="9"/>
    <d v="2025-02-17T00:00:00"/>
    <d v="1899-12-30T12:35:58"/>
    <d v="1899-12-30T12:00:00"/>
    <s v="Afternoon (12:00–15:59)"/>
    <s v="Pangborn Place, 0 Block"/>
    <x v="2"/>
    <s v="YTD"/>
    <d v="1899-12-30T12:35:58"/>
    <x v="4"/>
    <d v="1899-12-30T12:00:00"/>
    <m/>
    <x v="0"/>
    <x v="4"/>
    <s v="February"/>
    <n v="2025"/>
    <n v="8"/>
    <n v="4"/>
    <n v="17"/>
    <n v="48"/>
    <s v="Pangborn Place, 0 Block"/>
    <s v="35 Pangborn Place, Hackensack, NJ, 07601"/>
    <m/>
    <m/>
    <m/>
    <m/>
    <m/>
    <m/>
    <x v="0"/>
    <s v="Afternoon (12:00–15:59)"/>
  </r>
  <r>
    <s v="25-019648"/>
    <d v="2025-03-10T00:00:00"/>
    <d v="1899-12-30T01:07:00"/>
    <d v="2025-03-10T00:00:00"/>
    <d v="1899-12-30T03:53:00"/>
    <d v="2025-03-11T00:00:00"/>
    <d v="1899-12-30T10:36:59"/>
    <s v="Burglary - Residence - 2C:18-2"/>
    <m/>
    <m/>
    <s v="1 Park Avenue, Hackensack, NJ, 07601"/>
    <s v="H1"/>
    <n v="8"/>
    <s v="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
    <m/>
    <m/>
    <m/>
    <m/>
    <m/>
    <m/>
    <m/>
    <m/>
    <m/>
    <m/>
    <s v="ghirardi_r"/>
    <s v="Complete"/>
    <s v="P.O. Nicholas Mazzaccaro 377"/>
    <s v="B2"/>
    <s v="Det. Matthew Dogali 338"/>
    <s v="Complaint Signed"/>
    <s v="220 = Burglary/Breaking &amp; Entering"/>
    <n v="9"/>
    <d v="2025-03-10T00:00:00"/>
    <d v="1899-12-30T01:07:00"/>
    <d v="1899-12-30T01:00:00"/>
    <s v="Early Morning (00:00–03:59)"/>
    <s v="Park Avenue, 0 Block"/>
    <x v="0"/>
    <s v="YTD"/>
    <d v="1899-12-30T01:07:00"/>
    <x v="5"/>
    <d v="1899-12-30T01:00:00"/>
    <m/>
    <x v="2"/>
    <x v="4"/>
    <s v="March"/>
    <n v="2025"/>
    <n v="11"/>
    <n v="3"/>
    <n v="10"/>
    <n v="69"/>
    <s v="Park Avenue, 0 Block"/>
    <s v="1 Park Avenue, Hackensack, NJ, 07601"/>
    <m/>
    <m/>
    <m/>
    <m/>
    <m/>
    <m/>
    <x v="2"/>
    <s v="Early Morning (00:00–03:59)"/>
  </r>
  <r>
    <s v="25-024952"/>
    <d v="2025-03-27T00:00:00"/>
    <d v="1899-12-30T22:43:12"/>
    <m/>
    <m/>
    <d v="2025-03-27T00:00:00"/>
    <d v="1899-12-30T22:43:12"/>
    <s v="Burglary - Commercial - 2C:18-2"/>
    <s v="Hindering Apprehension - 2C:29-3"/>
    <s v="Resisting Arrest/Eluding - 2C:29-2"/>
    <s v="211 Essex Street, Hackensack, NJ, 07601"/>
    <s v="F1"/>
    <n v="6"/>
    <s v="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quot;Jorge Williams&quot;.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
    <m/>
    <m/>
    <m/>
    <m/>
    <m/>
    <m/>
    <m/>
    <m/>
    <m/>
    <m/>
    <s v="bay_f"/>
    <s v="Complete"/>
    <s v="P.O. Laura Lopez-Amaya 374"/>
    <s v="B3"/>
    <s v="Det. John Mora 257"/>
    <s v="Cleared - Arrest"/>
    <s v="220 = Burglary/Breaking &amp; Entering"/>
    <n v="9"/>
    <d v="2025-03-27T00:00:00"/>
    <d v="1899-12-30T22:43:12"/>
    <d v="1899-12-30T22:00:00"/>
    <s v="Night (20:00–23:59)"/>
    <s v="Essex Street, 200 Block"/>
    <x v="3"/>
    <s v="YTD"/>
    <d v="1899-12-30T22:43:12"/>
    <x v="6"/>
    <d v="1899-12-30T22:00:00"/>
    <m/>
    <x v="3"/>
    <x v="0"/>
    <s v="March"/>
    <n v="2025"/>
    <n v="13"/>
    <n v="5"/>
    <n v="27"/>
    <n v="86"/>
    <s v="Essex Street, 200 Block"/>
    <s v="211 Essex Street, Hackensack, NJ, 07601"/>
    <m/>
    <m/>
    <m/>
    <m/>
    <m/>
    <m/>
    <x v="3"/>
    <s v="Night (20:00–23:59)"/>
  </r>
  <r>
    <s v="25-025078"/>
    <d v="2025-03-27T00:00:00"/>
    <d v="1899-12-30T23:30:00"/>
    <d v="2025-03-28T00:00:00"/>
    <d v="1899-12-30T00:36:00"/>
    <d v="2025-03-28T00:00:00"/>
    <d v="1899-12-30T11:13:39"/>
    <s v="Burglary - Residence - 2C:18-2"/>
    <m/>
    <m/>
    <s v="2 Park Avenue, Hackensack, NJ, 07601"/>
    <s v="H1"/>
    <n v="8"/>
    <s v="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
    <n v="50300"/>
    <m/>
    <m/>
    <m/>
    <m/>
    <m/>
    <m/>
    <m/>
    <m/>
    <m/>
    <s v="klosk_j"/>
    <s v="Complete"/>
    <s v="P.O. Peter Voorhis 380"/>
    <s v="B1"/>
    <s v="Sgt. Patrick Williams 143"/>
    <s v="Active/Administratively Closed"/>
    <s v="220 = Burglary/Breaking &amp; Entering"/>
    <n v="9"/>
    <d v="2025-03-27T00:00:00"/>
    <d v="1899-12-30T23:30:00"/>
    <d v="1899-12-30T23:00:00"/>
    <s v="Night (20:00–23:59)"/>
    <s v="Park Avenue, 0 Block"/>
    <x v="0"/>
    <s v="YTD"/>
    <d v="1899-12-30T23:30:00"/>
    <x v="6"/>
    <d v="1899-12-30T23:00:00"/>
    <m/>
    <x v="3"/>
    <x v="0"/>
    <s v="March"/>
    <n v="2025"/>
    <n v="13"/>
    <n v="5"/>
    <n v="27"/>
    <n v="86"/>
    <s v="Park Avenue, 0 Block"/>
    <s v="2 Park Avenue, Hackensack, NJ, 07601"/>
    <m/>
    <m/>
    <m/>
    <m/>
    <n v="50300"/>
    <m/>
    <x v="3"/>
    <s v="Night (20:00–23:59)"/>
  </r>
  <r>
    <s v="25-025926"/>
    <d v="2025-03-31T00:00:00"/>
    <d v="1899-12-30T12:00:00"/>
    <m/>
    <m/>
    <d v="2025-03-31T00:00:00"/>
    <d v="1899-12-30T13:02:43"/>
    <s v="Burglary - Residence - 2C:18-2"/>
    <m/>
    <m/>
    <s v="100 Essex Street, Hackensack, NJ, 07601"/>
    <s v="G2"/>
    <n v="7"/>
    <s v="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quot;Asaad Martinez-Pollard&quot; may be the suspect. The victim reported being assaulted by the suspect a few weeks prior and seeing him briefly today. See Case #25-010292 for further. A NJ Victim Notification form was completed and a copy was provided to the victim. Detective DeBonis was advised."/>
    <m/>
    <m/>
    <m/>
    <m/>
    <m/>
    <m/>
    <m/>
    <m/>
    <m/>
    <m/>
    <s v="competiello_fa"/>
    <s v="Complete"/>
    <s v="P.O. Anthony Mattalian 83"/>
    <s v="A2"/>
    <s v="Sgt. Francesco Tripodi 134"/>
    <s v="No Investigation"/>
    <s v="220 = Burglary/Breaking &amp; Entering"/>
    <n v="9"/>
    <d v="2025-03-31T00:00:00"/>
    <d v="1899-12-30T12:00:00"/>
    <d v="1899-12-30T12:00:00"/>
    <s v="Afternoon (12:00–15:59)"/>
    <s v="Essex Street, 100 Block"/>
    <x v="0"/>
    <s v="YTD"/>
    <d v="1899-12-30T12:00:00"/>
    <x v="7"/>
    <d v="1899-12-30T12:00:00"/>
    <m/>
    <x v="0"/>
    <x v="4"/>
    <s v="March"/>
    <n v="2025"/>
    <n v="14"/>
    <n v="6"/>
    <n v="31"/>
    <n v="90"/>
    <s v="Essex Street, 100 Block"/>
    <s v="100 Essex Street, Hackensack, NJ, 07601"/>
    <m/>
    <m/>
    <m/>
    <m/>
    <m/>
    <m/>
    <x v="0"/>
    <s v="Afternoon (12:00–15:59)"/>
  </r>
  <r>
    <s v="25-027338"/>
    <d v="2025-04-01T00:00:00"/>
    <d v="1899-12-30T12:00:00"/>
    <d v="2025-04-04T00:00:00"/>
    <d v="1899-12-30T12:30:00"/>
    <d v="2025-04-04T00:00:00"/>
    <d v="1899-12-30T13:05:28"/>
    <s v="Burglary - Residence - 2C:18-2"/>
    <m/>
    <m/>
    <s v="75 Fair Street, Hackensack, NJ, 07601"/>
    <s v="E1"/>
    <n v="5"/>
    <s v="On Friday, April 4, 2025, at approximately 13:15 hours, I responded in marked radio car #108 to 75 Fair Street, Apt. 1, for a report of a burglary to a residence.  Upon arrival, I spoke to SANDY JOHNSON, the victim's neighbor, who stated that the listed residence was burglarized.     JOHNSON stated that the victim has been at New Bridge Medical Center's intensive care unit for over month and she has permission from the victim to check on her apartment.  JOHNSON further stated that she regularly checks the victim's mailbox and puts the victim's mail inside the victim's apartment which is reported to be left unlocked at all times.  On Tuesday, 04/01/2025 at approximately 12:00 hours, JOHNSON entered the apartment to drop off the victim's mail and check the apartment, specifically checking to make sure that the TV in the victim's bedroom was still there.  The TV was last seen at this time.  On today's date at approximately 12:30 hours,  JOHNSON entered the apartment and noticed that the TV in the victim's bedroom was missing.  JOHNSON left the apartment and notified the complainant (victim's son).       I requested a supervisor to which Sgt. Tovbin responded.  Upon his arrival, we cleared the apartment which yielded negative results for unwanted persons.  Sgt. Tovbin notified Det. Sgt. Tripodi regarding the incident.  Det. Sgt. Tripodi received consent to process the scene from the complainant on the victim's behalf via telephone.  Det. Sgt. Tripodi, Det. G. Lara-Nunez and Det. Dogali responded on scene.  Bergen County Sheriff's Office BCI Unit responded on scene.  Det. Colon #1952 photographed the scene, see BCI case number #2025-0211.  The door to the apartment was secured by JOHNSON."/>
    <m/>
    <m/>
    <m/>
    <m/>
    <m/>
    <m/>
    <m/>
    <m/>
    <m/>
    <m/>
    <s v="klosk_j"/>
    <s v="Complete"/>
    <s v="P.O. Alexander Reyes 355"/>
    <s v="B4"/>
    <s v="Det. Gunther Lara-Nunez 351"/>
    <s v="Active/Administratively Closed"/>
    <s v="220 = Burglary/Breaking &amp; Entering"/>
    <n v="9"/>
    <d v="2025-04-01T00:00:00"/>
    <d v="1899-12-30T12:00:00"/>
    <d v="1899-12-30T12:00:00"/>
    <s v="Afternoon (12:00–15:59)"/>
    <s v="Fair Street, 0 Block"/>
    <x v="0"/>
    <s v="YTD"/>
    <d v="1899-12-30T12:00:00"/>
    <x v="8"/>
    <d v="1899-12-30T12:00:00"/>
    <m/>
    <x v="0"/>
    <x v="5"/>
    <s v="April"/>
    <n v="2025"/>
    <n v="14"/>
    <n v="1"/>
    <n v="1"/>
    <n v="91"/>
    <s v="Fair Street, 0 Block"/>
    <s v="75 Fair Street, Hackensack, NJ, 07601"/>
    <m/>
    <m/>
    <m/>
    <m/>
    <m/>
    <m/>
    <x v="0"/>
    <s v="Afternoon (12:00–15:59)"/>
  </r>
  <r>
    <s v="25-029829"/>
    <d v="2025-04-08T00:00:00"/>
    <d v="1899-12-30T12:00:00"/>
    <d v="2025-04-12T00:00:00"/>
    <d v="1899-12-30T12:00:00"/>
    <d v="2025-04-12T00:00:00"/>
    <d v="1899-12-30T12:38:52"/>
    <s v="Burglary - Residence - 2C:18-2"/>
    <m/>
    <m/>
    <s v="140 Hudson Street, Hackensack, NJ, 07601"/>
    <s v="E1"/>
    <n v="5"/>
    <s v="I responded to the listed location on a report of a suspicious incident. Upon arrival, I spoke to the home residents who stated somebody entered their apartment and took their belongings. The victims explained that they were going through an eviction process so they were unable to enter the apartment for a couple of days. They then explained that they fixed the issue and when they returned to their apartment, some of their belongings were missing.    The victims advised that they left the apartment on April 8th, 2025 and returned on today's date.    Manuel Vasquez stated he was missing:           3 Citizen watches           3 Gold necklaces           $26.00 Manuel stated he believes the total loss is $400.00.    Tomas Lopez stated he was missing:          3 Dewalt drill sets          A necklace          A watch           2 Samsung Tablets          $50.00.Tomas stated he believes the total loss is $700.00.     There was also no sign of forced entry.     The victims stated that prior to contacting the police they touched several items in the apartment thus contaminating the scene."/>
    <m/>
    <m/>
    <m/>
    <m/>
    <m/>
    <m/>
    <m/>
    <m/>
    <m/>
    <m/>
    <s v="bay_f"/>
    <s v="Complete"/>
    <s v="P.O. Laura Lopez-Amaya 374"/>
    <s v="B3"/>
    <s v="Det. Matthew Dogali 338"/>
    <s v="Active/Administratively Closed"/>
    <s v="220 = Burglary/Breaking &amp; Entering"/>
    <n v="9"/>
    <d v="2025-04-08T00:00:00"/>
    <d v="1899-12-30T12:00:00"/>
    <d v="1899-12-30T12:00:00"/>
    <s v="Afternoon (12:00–15:59)"/>
    <s v="Hudson Street, 100 Block"/>
    <x v="0"/>
    <s v="YTD"/>
    <d v="1899-12-30T12:00:00"/>
    <x v="9"/>
    <d v="1899-12-30T12:00:00"/>
    <m/>
    <x v="0"/>
    <x v="5"/>
    <s v="April"/>
    <n v="2025"/>
    <n v="15"/>
    <n v="2"/>
    <n v="8"/>
    <n v="98"/>
    <s v="Hudson Street, 100 Block"/>
    <s v="140 Hudson Street, Hackensack, NJ, 07601"/>
    <m/>
    <m/>
    <m/>
    <m/>
    <m/>
    <m/>
    <x v="0"/>
    <s v="Afternoon (12:00–15:59)"/>
  </r>
  <r>
    <s v="25-030220"/>
    <d v="2025-04-13T00:00:00"/>
    <d v="1899-12-30T18:44:52"/>
    <m/>
    <m/>
    <d v="2025-04-13T00:00:00"/>
    <d v="1899-12-30T18:44:52"/>
    <s v="Burglary - Residence - 2C:18-2"/>
    <s v="Terroristic Threats - 2C:12-3"/>
    <s v="Criminal Mischief - 2C:17-3"/>
    <s v="64 Prospect Avenue, Hackensack, NJ, 07601"/>
    <s v="G4"/>
    <n v="7"/>
    <s v="On April 13, 2025 at approximately 18:44 hours, P.O. Alvarez, SPO Abueg, and I responded to 64 prospect ave apt #B9 for a 911 call for a possible fight.     Upon arrival, I observed a black male, wearing a black leather jacket with white on the boarders, grey jeans, black and red shoes, with short hair, running out of the apartment complex. I attempted to stop the party but he fled running to the rear of 77 Prospect Ave. As I was unaware if the person who fled was involved in the incident I responded to apartment #B9 where I observed the door half open, glass on the floor, and the apartment to be in disarray.     At that moment, Anthony Campbell (victim hereafter), walked out. I observed a laceration to his forehead. The victim also complained of right leg pain. I observed a laceration to his right leg. Hackensack EMS #134 were on scene. They evaluated the victim and he signed an RMA form.     The victim reported he was sitting in his apartment when he began to hear loud banging. The victim reported he made his way to the front door to investigate the sound. The victim reported as he approached the door, it swung open violently. The victim reported he then saw Michael Dearmas (arrestee hereafter) standing on the outside. It should be noted that Dearmas matched the description of the person who fled upon my arrival to the building. The victim reported the arrestee then ran into the apartment and grabbed him by the shirt striking him in the head in the process. The victim reported he then attempted to back up to call 911 to which the arrestee then yelled &quot; I am going to kill you &quot;. The victim reported the arrestee then ran out of the apartment.      The victim reported damage to the front door which would cost approximately $50.00 to repair. The victim also reported a broken mirror which cost him approximately $150.00.     The victim reported he has never had issues with the arrestee until the divorce proceeding with his daughter was initiated. Sgt. Ghirardi arrived on scene. Sgt. Ghirardi notified Det. Tanucilli. Det. Tanucilli arrived on scene.  I asked the victim if he wished to have the scene processed to which he accepted. A Hackensack Police Consent to Search form was completed and turned over to Det. Tanucilli upon his arrival on scene. BCSO Det. S. Delacruz #1955 arrived on scene. Det. Delacruz photographed and processed the scene. See BCSO case number #2025-0233 for more.       While on scene, Sgt. Ghirardi was speaking to the victims daughter on the phone when she received a call from the arrestee. The victims daughter placed the call on 3-way where he disclosed he was standing in front of a liquor store on Lehigh St. Communications was able to confirm the arrestees location via security cameras. P.O. Vicale, SPO Abueg, P.O. Voorhis, P.O. Caero, and P.O. Alvarez made their way to the arrestees location. Upon arrival, the arrestee again fled on an electric bicycle heading south into the NJ Transit Station Lot on Essex St. P.O. Vicale activated his exterior emergency warning lights in attempted to stop the arrestee.     Upon reaching the back of the parking lot the arrestee jumped off the bicycle and ran onto the train tracks. The arrestee then jumped into a small creek but surrendered to P.O. Vicale shortly after. The arrestee was pulled out of the creek by P.O. Vicale and handcuffed behind his back. The arrestee then requested an ambulance for leg pain. The arrestee was transported to Hackensack Hospital. The arrestee was searched before and after the transported which yielded negative results for contraband. P.O. Voorhis rode in the ambulance with the arrestee while P.O. Vicale followed.     At approximately 21:00 the victim contacted the Hackensack Police Headquarters advising he had located the arrestees phone inside the apartment. I responded to the apartment to secure the phone as evidence. The phone was tagged and secured in evidence locker #2.      Communication confirmed the arrestee had active warrant #W-2025-000167 out of this jurisdiction.        The arrestee also had warrant # W-2025-000078 and 1604-W-2025-000080 from Hawthrone PD.     The victims daughter, Toya Campbell-Dearmas, had active FRO #FV-14-001021-25 against the arrestee. The victims address is listed on the FRO.      The bicycle the arrestee was on was logged into property and secured in bulk storage in the old police garage.       A New Jersey Victim Notification form was filled out and a copy was provided to the victim.      Lt. Klosk authored complainant #W 2025 000178 0223 on my behalf for the charges of 2C:18-2, 2C:12-3, 2C12-1a, 2C:17-3, 2C:25-31."/>
    <m/>
    <m/>
    <m/>
    <m/>
    <m/>
    <m/>
    <m/>
    <m/>
    <m/>
    <m/>
    <s v="klosk_j"/>
    <s v="Complete"/>
    <s v="P.O. Andres Lopez 375"/>
    <s v="A2"/>
    <s v="Det. John Tanucilli 335"/>
    <s v="Cleared - Arrest"/>
    <s v="220 = Burglary/Breaking &amp; Entering"/>
    <n v="9"/>
    <d v="2025-04-13T00:00:00"/>
    <d v="1899-12-30T18:44:52"/>
    <d v="1899-12-30T18:00:00"/>
    <s v="Evening Peak (16:00–19:59)"/>
    <s v="Prospect Avenue, 0 Block"/>
    <x v="4"/>
    <s v="YTD"/>
    <d v="1899-12-30T18:44:52"/>
    <x v="10"/>
    <d v="1899-12-30T18:00:00"/>
    <m/>
    <x v="4"/>
    <x v="6"/>
    <s v="April"/>
    <n v="2025"/>
    <n v="16"/>
    <n v="3"/>
    <n v="13"/>
    <n v="103"/>
    <s v="Prospect Avenue, 0 Block"/>
    <s v="64 Prospect Avenue, Hackensack, NJ, 07601"/>
    <m/>
    <m/>
    <m/>
    <m/>
    <m/>
    <m/>
    <x v="4"/>
    <s v="Evening Peak (16:00–19:59)"/>
  </r>
  <r>
    <s v="25-030780"/>
    <d v="2025-04-14T00:00:00"/>
    <d v="1899-12-30T23:00:00"/>
    <d v="2025-04-15T00:00:00"/>
    <d v="1899-12-30T18:30:00"/>
    <d v="2025-04-15T00:00:00"/>
    <d v="1899-12-30T18:40:03"/>
    <s v="Burglary - Residence - 2C:18-2"/>
    <s v="Theft - 2C:20-3"/>
    <s v="Criminal Mischief - 2C:17-3"/>
    <s v="325 Union Street, Hackensack, NJ, 07601"/>
    <s v="H2"/>
    <n v="8"/>
    <s v="P.O. Mattalian and I responded to the listed location on a report of a burglary that took place in the past.  The victim's residence is occupied as a rooming house with multiple tenants. Upon arrival, we made contact with the victim, Gerard White.  The victim stated that he left his residence yesterday 4/14/2025 at approximately 2300 hours. The victim had slept in a hotel due to him and his girlfriend (Erica Best) getting into a verbal altercation. The victim stated Best was not in the room when he left to the hotel.  The victim returned back to his home today 4/15/2025 at approximately 1830 hours and was unable to open his door due to unknown object blocking his room door. The victim walked to the back of the structure to look through his window. The victim discovered his room window was ajar which appeared suspicious. The victim further discovered his apartment in complete disarray, with furniture flipped upside down, and tomato sauce smeared all over his walls.  The victim then discovered his pillow and some personal belongings in the garbage can that was across the driveway in the rear of the home.  Sgt. Competiello arrived on scene.     An anonymous neighbor from room # 5 advised us that at approximately 0400 hours on 4/15/2025 he observed the silhouette of a women dressed like a &quot;ninja&quot; coming from the rear of the listed location with unknown items. The female then entered into an unknown SUV.  The victim stated that he was missing a pair of suede &quot;Jordan&quot; shoes with an approximate cost of $300.00.  He also had damage to his dresser and bed that had an approximate cost of $550.00.  P.O. Mattalian was able to pry the bedroom door open and I observed tomato sauce and food smeared all over the walls of the room.  Det./Sgt. Williams and Det. Tanucilli arrived on scene.  The victim gave us verbal and written consent to have the room processed.  Det. Brielle Colon # 1952 from BCI arrived on scene to photograph and fingerprint the scene.  The victim was given a copy of the victim notification form and advised that detectives would follow up with him.        ****See Detective Tanucilli's supplement***"/>
    <m/>
    <m/>
    <m/>
    <m/>
    <m/>
    <m/>
    <m/>
    <m/>
    <m/>
    <m/>
    <s v="butler_j"/>
    <s v="Complete"/>
    <s v="P.O. Paula Lopez 362"/>
    <s v="A1"/>
    <s v="Det. John Tanucilli 335"/>
    <s v="Ex-Cleared / Closed"/>
    <s v="220 = Burglary/Breaking &amp; Entering"/>
    <n v="9"/>
    <d v="2025-04-14T00:00:00"/>
    <d v="1899-12-30T23:00:00"/>
    <d v="1899-12-30T23:00:00"/>
    <s v="Night (20:00–23:59)"/>
    <s v="Union Street, 300 Block"/>
    <x v="5"/>
    <s v="YTD"/>
    <d v="1899-12-30T23:00:00"/>
    <x v="11"/>
    <d v="1899-12-30T23:00:00"/>
    <m/>
    <x v="3"/>
    <x v="4"/>
    <s v="April"/>
    <n v="2025"/>
    <n v="16"/>
    <n v="3"/>
    <n v="14"/>
    <n v="104"/>
    <s v="Union Street, 300 Block"/>
    <s v="325 Union Street, Hackensack, NJ, 07601"/>
    <m/>
    <m/>
    <m/>
    <m/>
    <m/>
    <m/>
    <x v="3"/>
    <s v="Night (20:00–23:59)"/>
  </r>
  <r>
    <s v="25-031651"/>
    <d v="2025-04-16T00:00:00"/>
    <d v="1899-12-30T06:00:00"/>
    <d v="2025-04-18T00:00:00"/>
    <m/>
    <d v="2025-04-18T00:00:00"/>
    <d v="1899-12-30T22:08:36"/>
    <s v="Burglary - Residence - 2C:18-2"/>
    <m/>
    <m/>
    <s v="28 Summit Avenue, Hackensack, NJ, 07601"/>
    <s v="G4"/>
    <n v="7"/>
    <s v="On April 18, 2025, at approximately 22:08 hours Sgt. Donnerstag, P.O. Bonsu, and I responded to 28 Summit Avenue for a report of a burglary that occurred in the past. The victims reported that they last saw their green Aipass electric bicycle and 58&quot; TLC 4k TV  on Wednesday, April 16, 2025 at approximately 06:00 hours in their garage (located in the rear). They reported noticing that both the electric bicycle and 58&quot; TV was gone earlier today. It should be noted, the garage door remains unlocked at all times and the victims do not have a key for it. There was no sign of forced entry observed. The victims reported the green Aipass electric bicycle costs approximately $758.00 and the 58&quot; TV costs approximately $300.00 for a total loss of $1,058.00.       Due to the victims contaminating the area Bergen County BCI was not advised. The New Jersey Victim Notification Form was completed and a copy was provided.      Det./Sgt. Williams was notified.       The victims reported they would like to sign complaints if the suspects are identified."/>
    <m/>
    <m/>
    <m/>
    <m/>
    <m/>
    <m/>
    <m/>
    <m/>
    <m/>
    <m/>
    <s v="ghirardi_r"/>
    <s v="Complete"/>
    <s v="P.O. Denisse Caero 367"/>
    <s v="B2"/>
    <s v="Det. Demetrius Carroll 133"/>
    <s v="Active/Administratively Closed"/>
    <s v="220 = Burglary/Breaking &amp; Entering"/>
    <n v="9"/>
    <d v="2025-04-16T00:00:00"/>
    <d v="1899-12-30T06:00:00"/>
    <d v="1899-12-30T06:00:00"/>
    <s v="Morning (04:00–07:59)"/>
    <s v="Summit Avenue, 0 Block"/>
    <x v="0"/>
    <s v="YTD"/>
    <d v="1899-12-30T06:00:00"/>
    <x v="12"/>
    <d v="1899-12-30T06:00:00"/>
    <m/>
    <x v="5"/>
    <x v="3"/>
    <s v="April"/>
    <n v="2025"/>
    <n v="16"/>
    <n v="3"/>
    <n v="16"/>
    <n v="106"/>
    <s v="Summit Avenue, 0 Block"/>
    <s v="28 Summit Avenue, Hackensack, NJ, 07601"/>
    <m/>
    <m/>
    <m/>
    <m/>
    <m/>
    <m/>
    <x v="5"/>
    <s v="Morning (04:00–07:59)"/>
  </r>
  <r>
    <s v="25-032451"/>
    <m/>
    <m/>
    <m/>
    <m/>
    <d v="2025-04-21T00:00:00"/>
    <d v="1899-12-30T09:39:40"/>
    <s v="Burglary - Residence - 2C:18-2"/>
    <m/>
    <m/>
    <s v="130 Overlook Avenue, Hackensack, NJ, 07601"/>
    <s v="G4"/>
    <n v="7"/>
    <s v="I responded to 130 Overlook Avenue for a report of a burglary.  Upon arrival, I met with the complainant in the lobby of the apartment building. She stated that she believes the suspect had stolen her wallet from her apartment.      The victim stated that approximately a week and a half ago the incident had occurred.  The victim was unable to provide a specific date and time of the incident.  The suspect is a neighbor of the victim and has had interactions with him in the past.  She further stated that on the day of the incident, the suspect appeared in her residence uninvited and did not see him come through the front door.  When inside, the suspect began asking the victim questions about her carpet and couch.  The victim said after he asked the questions, the suspect left.  After the incident, she realized her wallet was missing from her dining room table.  The victim reported that the wallet is of the brand Victoria's Secret which is black in color with a flower design (worth approximately $30.00), containing two NJ Transit bus tickets and approximately $7.00 in coin currency. She stated that she did not see the suspect take the wallet.  No signs of forced entry were reported to the victim's apartment door.      The suspect was on scene and he stated that he has never gone into the victim's residence, invited or uninvited.  The only time he's interacted with her was a few months ago he gave the victim containers of food after the victim had surgery.  The suspect stated that the victim might be going through early stages of dementia.A New Jersey Victim Notification form was completed and a copy was given to the victim.I notified Sgt. Tovbin who advised Det. Sgt. Williams of the incident."/>
    <m/>
    <m/>
    <m/>
    <m/>
    <m/>
    <m/>
    <m/>
    <m/>
    <m/>
    <m/>
    <s v="peralta_k"/>
    <s v="Complete"/>
    <s v="P.O. Alexander Reyes 355"/>
    <s v="B4"/>
    <s v="Sgt. Patrick Williams 143"/>
    <s v="No Investigation"/>
    <s v="220 = Burglary/Breaking &amp; Entering"/>
    <n v="9"/>
    <d v="2025-04-21T00:00:00"/>
    <d v="1899-12-30T09:39:40"/>
    <d v="1899-12-30T09:00:00"/>
    <s v="Morning Peak (08:00–11:59)"/>
    <s v="Overlook Avenue, 100 Block"/>
    <x v="0"/>
    <s v="YTD"/>
    <d v="1899-12-30T09:39:40"/>
    <x v="13"/>
    <d v="1899-12-30T09:00:00"/>
    <m/>
    <x v="1"/>
    <x v="4"/>
    <s v="April"/>
    <n v="2025"/>
    <n v="17"/>
    <n v="4"/>
    <n v="21"/>
    <n v="111"/>
    <s v="Overlook Avenue, 100 Block"/>
    <s v="130 Overlook Avenue, Hackensack, NJ, 07601"/>
    <m/>
    <m/>
    <m/>
    <m/>
    <m/>
    <m/>
    <x v="1"/>
    <s v="Morning Peak (08:00–11:59)"/>
  </r>
  <r>
    <s v="25-032420"/>
    <d v="2025-04-20T00:00:00"/>
    <d v="1899-12-30T03:34:00"/>
    <d v="2025-04-21T00:00:00"/>
    <d v="1899-12-30T08:00:00"/>
    <d v="2025-04-21T00:00:00"/>
    <d v="1899-12-30T08:04:33"/>
    <s v="Burglary - Commercial - 2C:18-2"/>
    <m/>
    <m/>
    <s v="16 Johnson Avenue, Hackensack, NJ, 07601"/>
    <s v="I4"/>
    <n v="9"/>
    <s v="On Monday, April 21, 2025 at approximately 0800 hours,  P.O Francavilla and I responded to 16 Johnson Avenue on a report of a burglary.     Upon my arrival, I spoke to the complainant who escorted P.O. Francavilla and myself to the rear of the building where a window appeared to be forced open. I then spoke to Giustina who stated she arrived at the business and unlocked the door to set up the office. She advised that once she entered, she realized the alarm was going off and then noticed 3 alcohol bottles on the floor. Giustina stated that once she noticed the bottles, she exited the business and waited in the parking lot. P.O Francavilla and I made entry into the business and completed an interior check.  The interior check yielded negative results for any person(s) in the business.  While completing the interior check, I observed a safe on the floor pried open and the main office was torn apart. Upon further inspection, I observed that several other rooms had cabinets opened. Giustina then handed us the key for the outside gate that lead to the opened window. Upon further investigation, we noticed a crow bar on the floor next to the window. I requested for a supervisor and SGT. Tovbin arrived on scene. SGT. Tovbin requested detectives and DET. Dogali and D/SGT. Williams arrived on scene at approximately 0855 hours.    The complainant consented to the business to be processed and signed a Consent to Search form.    At 0850 hours, the scene was preserved and a crime scene log had commenced.-0908 hours, Det. Charlenea/Det. Delacruz/ D/SGT. Dilkes (BCI) arrived to process the scene.-1014 hours, detectives were completed and the scene was turned over to D/SGT. Williams and DET. Dogali.  Giustina advised $4,000.00 were taken but that she was unaware what else was taken."/>
    <m/>
    <m/>
    <m/>
    <m/>
    <m/>
    <m/>
    <m/>
    <m/>
    <m/>
    <m/>
    <s v="peralta_k"/>
    <s v="Complete"/>
    <s v="P.O. Laura Lopez-Amaya 374"/>
    <s v="B3"/>
    <s v="Det. Matthew Dogali 338"/>
    <s v="Active/Administratively Closed"/>
    <s v="220 = Burglary/Breaking &amp; Entering"/>
    <n v="9"/>
    <d v="2025-04-20T00:00:00"/>
    <d v="1899-12-30T03:34:00"/>
    <d v="1899-12-30T03:00:00"/>
    <s v="Early Morning (00:00–03:59)"/>
    <s v="Johnson Avenue, 0 Block"/>
    <x v="6"/>
    <s v="YTD"/>
    <d v="1899-12-30T03:34:00"/>
    <x v="14"/>
    <d v="1899-12-30T03:00:00"/>
    <m/>
    <x v="2"/>
    <x v="6"/>
    <s v="April"/>
    <n v="2025"/>
    <n v="17"/>
    <n v="4"/>
    <n v="20"/>
    <n v="110"/>
    <s v="Johnson Avenue, 0 Block"/>
    <s v="16 Johnson Avenue, Hackensack, NJ, 07601"/>
    <m/>
    <m/>
    <m/>
    <m/>
    <m/>
    <m/>
    <x v="2"/>
    <s v="Early Morning (00:00–03:59)"/>
  </r>
  <r>
    <s v="25-035868"/>
    <d v="2025-05-01T00:00:00"/>
    <d v="1899-12-30T22:27:45"/>
    <m/>
    <m/>
    <d v="2025-05-01T00:00:00"/>
    <d v="1899-12-30T22:27:45"/>
    <s v="Burglary - Residence - 2C:18-2"/>
    <s v="Theft - 2C:20-3"/>
    <s v="Warrant Arrest"/>
    <s v="185 Central Avenue, Hackensack, NJ, 07601"/>
    <s v="G3"/>
    <n v="7"/>
    <s v="I responded to the listed location on theft of sneakers.  Upon arrival I made contact with the victim, Matese Shine, who stated that 15 pairs of her Jordan and Nike sneakers were missing from her home.  The victim stated that she has been staying at her boyfriends house but came back to her home this morning at approximately 1100 hours and realized a few of her sneaker boxes were missing.  She then called her son who stays in her home sometimes to ask him if he took her sneakers or had anyone in the home while she wasn't there in which he responded &quot;no.&quot; The victim's son then stated that he left the door open to the home while he went to the corner store and came back home shortly after.  The victim then returned back to her home this evening at approximately 2200 hours and discovered that she had more sneakers missing from her home.  The estimated cost in sneakers that were taken is approximately $5000.00.  Due to the sneakers being taken from the home, I requested a Sgt. for a possible burglary.  Sgt. Butler arrived on scene.        I did not observe the door or handle to be tampered with and no other items were missing according to the victim.  The victim, however, did notice a pair of gray, white, and light blue Nike Air Force size 8 in a Black Nike Air show box size 9 that did not belong to her or her son.  Det. Tanucilli arrived on scene.  While confirming the victim's pedigree information through Info Cop, the results revealed that she had an outstanding warrant out of Waldwick (Warrant # E21 337).  The victim was given a copy of the R.O.R. form with a new court date from Walwick to appear in-person on May 19th, 2025.  The victim was also given a copy of the victim notification form.  If the suspect is identified, the victim would like to pursue with criminal complaints.  The sneakers were secured into evidence in Locker # 2  See Detective Tanucilli's report for further."/>
    <m/>
    <m/>
    <m/>
    <m/>
    <m/>
    <m/>
    <m/>
    <m/>
    <m/>
    <m/>
    <s v="levis_r"/>
    <s v="Complete"/>
    <s v="P.O. Paula Lopez 362"/>
    <s v="A2"/>
    <s v="Det. John Tanucilli 335"/>
    <s v="Active/Administratively Closed"/>
    <s v="220 = Burglary/Breaking &amp; Entering"/>
    <n v="9"/>
    <d v="2025-05-01T00:00:00"/>
    <d v="1899-12-30T22:27:45"/>
    <d v="1899-12-30T22:00:00"/>
    <s v="Night (20:00–23:59)"/>
    <s v="Central Avenue, 100 Block"/>
    <x v="7"/>
    <s v="YTD"/>
    <d v="1899-12-30T22:27:45"/>
    <x v="15"/>
    <d v="1899-12-30T22:00:00"/>
    <m/>
    <x v="3"/>
    <x v="0"/>
    <s v="May"/>
    <n v="2025"/>
    <n v="18"/>
    <n v="1"/>
    <n v="1"/>
    <n v="121"/>
    <s v="Central Avenue, 100 Block"/>
    <s v="185 Central Avenue, Hackensack, NJ, 07601"/>
    <m/>
    <m/>
    <m/>
    <m/>
    <m/>
    <m/>
    <x v="3"/>
    <s v="Night (20:00–23:59)"/>
  </r>
  <r>
    <s v="25-038962"/>
    <d v="2025-05-12T00:00:00"/>
    <d v="1899-12-30T06:32:00"/>
    <m/>
    <m/>
    <d v="2025-05-12T00:00:00"/>
    <d v="1899-12-30T06:37:50"/>
    <s v="Burglary - Residence - 2C:18-2"/>
    <s v="Aggravated Assault - 2C:12-1b"/>
    <s v="Unlawful Taking - 2C:20-10"/>
    <s v="70 Cedar Avenue, Hackensack, NJ, 07601"/>
    <s v="I5"/>
    <n v="9"/>
    <s v="The suspect is the victim's mother's boyfriend's son, who is not related to the victim and does not reside at the residence. The victim is not friends with the suspect but only knows him.          On Monday, May 12th, 2025, P.O. Lyak, P.O. Rivera, and I responded to 70 Cedar Avenue on a report of a fight involving a stick. Upon arrival, I spoke with the victim, who is now referred to as Molano-Rivera, Alejandro. He reported that the suspect, who is now referred to as Amadiz, Freddy Jr, assaulted him multiple times to his hands and one time to his head. Alejandro reported that he was walking down his steps, opened the door, and observed Amadiz standing there. Amadiz then squatted down, picked up a stick, and started to assault Alejandro with it multiple times. Alejandro then ran back up the steps and began to scream for help. Amadiz then followed Alejandro up the stairs and continued to assault Alejandro. Alejandro made contact with his father, who was inside the apartment,when the father opened the apartment door, Amadiz took off down the steps and went toward the front of the house. Alejandro reported that Amandiz did not state anything to him during the assault. Alejandro refused medical attention on scene. While Amadiz was assaulting Alejandro, Amandiz caused damage to the ceiling causing a hole. The estimated total cost of repairing the hole in the wall is $300.00.       Sgt. Ghirardi was advised and responded to the scene to assist.      Amandiz entered the listed vehicle and left the scene after the assault occurred with the weapon he used.       Masshiel Barriows, who is the witness, reported hearing the screaming from inside her apartment which is located on the first floor. She reported that when she heard the scream, she went outside and only observed the suspect walking out of the stairs with the stick in his hands, and did not observe the assault occur.    Det/Sgt. Tripodi was advised and responded to the scene to assist and captured pictures of the incident.      Victim Notification forms were completed and were given to the victim."/>
    <m/>
    <m/>
    <s v="s28snh"/>
    <s v="Honda"/>
    <s v="PIL"/>
    <s v="NJ"/>
    <m/>
    <m/>
    <m/>
    <m/>
    <s v="knapp_j"/>
    <s v="Complete"/>
    <s v="P.O. Nicholas Mazzaccaro 377"/>
    <s v="B2"/>
    <s v="Sgt. Francesco Tripodi 134"/>
    <s v="Complaint Signed"/>
    <s v="13A = Aggravated Assault"/>
    <n v="9"/>
    <d v="2025-05-12T00:00:00"/>
    <d v="1899-12-30T06:32:00"/>
    <d v="1899-12-30T06:00:00"/>
    <s v="Morning (04:00–07:59)"/>
    <s v="Cedar Avenue, 0 Block"/>
    <x v="8"/>
    <s v="YTD"/>
    <d v="1899-12-30T06:32:00"/>
    <x v="16"/>
    <d v="1899-12-30T06:00:00"/>
    <m/>
    <x v="5"/>
    <x v="4"/>
    <s v="May"/>
    <n v="2025"/>
    <n v="20"/>
    <n v="3"/>
    <n v="12"/>
    <n v="132"/>
    <s v="Cedar Avenue, 0 Block"/>
    <s v="70 Cedar Avenue, Hackensack, NJ, 07601"/>
    <m/>
    <m/>
    <s v="Honda PIL"/>
    <m/>
    <m/>
    <m/>
    <x v="5"/>
    <s v="Morning (04:00–07:59)"/>
  </r>
  <r>
    <s v="25-039095"/>
    <d v="2025-05-04T00:00:00"/>
    <d v="1899-12-30T13:00:00"/>
    <m/>
    <m/>
    <d v="2025-05-12T00:00:00"/>
    <d v="1899-12-30T13:20:26"/>
    <s v="Burglary - Residence - 2C:18-2"/>
    <m/>
    <m/>
    <s v="343 Park Street, Hackensack, NJ, 07601"/>
    <s v="H2"/>
    <n v="8"/>
    <s v="On May 12th, 2025, I responded to Headquarters on a report of a burglary. Upon arrival, I met with Gnahore Gnegbo (Victim), who stated that on May 4th, 2025, at approximately 13:00 hours, his residence was burglarized. The victim stated that the front door did not have a lock and was very poorly secured which is how he supposed the suspect/s gained access. The victim stated that he did not know what exactly was missing other than what he reported.      Items stolen:      Old Social Security Card     Old New Jersey Drivers License     Unknown Miscellaneous items     The victim completed a Hackensack PD Fraud packet as a precaution in case there was any credit card fraud discovered on his banking account after the incident to which he did not disclose any suspicious activity.      Detectives notified"/>
    <m/>
    <m/>
    <m/>
    <m/>
    <m/>
    <m/>
    <m/>
    <m/>
    <m/>
    <m/>
    <s v="knapp_j"/>
    <s v="Complete"/>
    <s v="P.O. Peter Voorhis 380"/>
    <s v="B1"/>
    <s v="Sgt. Francesco Tripodi 134"/>
    <s v="No Investigation"/>
    <s v="220 = Burglary/Breaking &amp; Entering"/>
    <n v="9"/>
    <d v="2025-05-04T00:00:00"/>
    <d v="1899-12-30T13:00:00"/>
    <d v="1899-12-30T13:00:00"/>
    <s v="Afternoon (12:00–15:59)"/>
    <s v="Park Street, 300 Block"/>
    <x v="0"/>
    <s v="YTD"/>
    <d v="1899-12-30T13:00:00"/>
    <x v="17"/>
    <d v="1899-12-30T13:00:00"/>
    <m/>
    <x v="0"/>
    <x v="6"/>
    <s v="May"/>
    <n v="2025"/>
    <n v="19"/>
    <n v="2"/>
    <n v="4"/>
    <n v="124"/>
    <s v="Park Street, 300 Block"/>
    <s v="343 Park Street, Hackensack, NJ, 07601"/>
    <m/>
    <m/>
    <m/>
    <m/>
    <m/>
    <m/>
    <x v="0"/>
    <s v="Afternoon (12:00–15:59)"/>
  </r>
  <r>
    <s v="25-040394"/>
    <d v="2025-05-12T00:00:00"/>
    <d v="1899-12-30T08:00:00"/>
    <d v="2025-05-16T00:00:00"/>
    <m/>
    <d v="2025-05-16T00:00:00"/>
    <d v="1899-12-30T13:20:08"/>
    <s v="Burglary - Residence - 2C:18-2"/>
    <m/>
    <m/>
    <s v="33 Henry Place, Hackensack, NJ, 07601"/>
    <s v="E3"/>
    <n v="5"/>
    <s v="I responded to police headquarters on a report of a burglary to a residence.  Upon arrival I made contact with the victim, Vanessa Durango, who stated initially that she believes her ex-boyfriend, Max Makarov (suspect), stole money from her.  The victim stated that on Monday, May 12, 2025 at approximately 0800 hours, the suspect got home and asked the victim for some money and food.  The victim stated that she did not have any money but he can help himself to some food and then went back to sleep.  The victim then woke back up at 1130 hours and realized $500.00 was missing from her purse.  The victim tried contacting the suspect via phone with negative results.       Furthermore, the victim stated that she got home this afternoon as approximately 1200 hours and saw her apartment was ransacked.  The victim is unaware if the suspect has copies of her keys and did not notice any visible forced entry to the home.  The victim did not give permission to the suspect to enter her home.  The victim stated that she noticed her yellow Gucci purse was missing that has an estimated cost of $1000.00.  The victim also stated that she had money taken out of her Capital One Bank Account totaling $2200.00.  She was given a fraud packet to fill out and advised to bring back with all proper documentation and we would create a supplement report.  The victim was given a copy of the victim notification form.  Detective Dogali was advised of the incident."/>
    <m/>
    <m/>
    <m/>
    <m/>
    <m/>
    <m/>
    <m/>
    <m/>
    <m/>
    <m/>
    <s v="levis_r"/>
    <s v="Complete"/>
    <s v="P.O. Paula Lopez 362"/>
    <s v="A2"/>
    <s v="Sgt. Francesco Tripodi 134"/>
    <s v="No Investigation"/>
    <s v="220 = Burglary/Breaking &amp; Entering"/>
    <n v="9"/>
    <d v="2025-05-12T00:00:00"/>
    <d v="1899-12-30T08:00:00"/>
    <d v="1899-12-30T08:00:00"/>
    <s v="Morning Peak (08:00–11:59)"/>
    <s v="Henry Place, 0 Block"/>
    <x v="0"/>
    <s v="YTD"/>
    <d v="1899-12-30T08:00:00"/>
    <x v="16"/>
    <d v="1899-12-30T08:00:00"/>
    <m/>
    <x v="1"/>
    <x v="4"/>
    <s v="May"/>
    <n v="2025"/>
    <n v="20"/>
    <n v="3"/>
    <n v="12"/>
    <n v="132"/>
    <s v="Henry Place, 0 Block"/>
    <s v="33 Henry Place, Hackensack, NJ, 07601"/>
    <m/>
    <m/>
    <m/>
    <m/>
    <m/>
    <m/>
    <x v="1"/>
    <s v="Morning Peak (08:00–11:59)"/>
  </r>
  <r>
    <s v="25-042858"/>
    <d v="2025-05-24T00:00:00"/>
    <d v="1899-12-30T22:24:00"/>
    <m/>
    <m/>
    <d v="2025-05-24T00:00:00"/>
    <d v="1899-12-30T22:36:34"/>
    <s v="Burglary - Residence - 2C:18-2"/>
    <s v="Criminal Mischief - 2C:17-3"/>
    <s v="Simple Assault - 2C:12-1a"/>
    <s v="79 Lodi Street, Hackensack, NJ, 07601"/>
    <s v="E2"/>
    <n v="5"/>
    <s v="I responded to the listed location on a reported criminal mischief. On arrival, Sgt. Farhi was on scene speaking with the victims. Samora Turner (Victim), the resident, reported that while she was inside her apartment the suspect came inside her home without permission and entered on the Briscolina Street entrance of her apartment that was unlocked at the time. It should be noted that the suspect is known to both victims as a friend. An argument ensued between the victims and the suspect, as the suspect attempted to punch Samora Turner with closed fist, her friend (Alexis Salas) which was inside the apartment also stepped in front of her and the suspect punched her in the face. The suspect then took Alexis Salas's (Victim) Iphone 15 pro valued at $1,200,00 USD and exited via the front door of the apartment which is located on the Lodi Street side. The suspect then attempted to re enter the apartment but was locked out and subsequently kicked the door in causing damage to the frame of the door of about $500.00 USD. The argument continued until the suspect fled eastbound on Lodi Street , stopped and slammed the Iphone 15 pro on the ground causing it to shatter. The incident was  witnessed by S.T., as she was inside the apartment the entire time.      The victim, Alexis Salas complained of pain to her right eye but refused medical attention. Both victims refused to complete a voluntary hand written statement. They both refused to respond to police headquarters to provide a recorded statement but were advised to respond at a later time if they wished. Victim notification forms were completed for both victims and they received copies.      A handle with care form was completed for S.T. Det. Tanucilli was notified and advised of the incident."/>
    <m/>
    <m/>
    <m/>
    <m/>
    <m/>
    <m/>
    <m/>
    <m/>
    <m/>
    <m/>
    <s v="gretkowski_j"/>
    <s v="Complete"/>
    <s v="P.O. Jeffrey Rodriguez 342"/>
    <s v="A4"/>
    <s v="Det. John Tanucilli 335"/>
    <s v="Active/Administratively Closed"/>
    <s v="220 = Burglary/Breaking &amp; Entering"/>
    <n v="9"/>
    <d v="2025-05-24T00:00:00"/>
    <d v="1899-12-30T22:24:00"/>
    <d v="1899-12-30T22:00:00"/>
    <s v="Night (20:00–23:59)"/>
    <s v="Lodi Street, 0 Block"/>
    <x v="9"/>
    <s v="YTD"/>
    <d v="1899-12-30T22:24:00"/>
    <x v="18"/>
    <d v="1899-12-30T22:00:00"/>
    <m/>
    <x v="3"/>
    <x v="1"/>
    <s v="May"/>
    <n v="2025"/>
    <n v="21"/>
    <n v="4"/>
    <n v="24"/>
    <n v="144"/>
    <s v="Lodi Street, 0 Block"/>
    <s v="79 Lodi Street, Hackensack, NJ, 07601"/>
    <m/>
    <m/>
    <m/>
    <m/>
    <m/>
    <m/>
    <x v="3"/>
    <s v="Night (20:00–23:59)"/>
  </r>
  <r>
    <s v="25-042950"/>
    <d v="2025-05-25T00:00:00"/>
    <d v="1899-12-30T05:45:00"/>
    <m/>
    <d v="1899-12-30T07:00:00"/>
    <d v="2025-05-25T00:00:00"/>
    <d v="1899-12-30T08:51:39"/>
    <s v="Burglary - Commercial - 2C:18-2"/>
    <m/>
    <m/>
    <s v="20 Prospect Avenue, Hackensack, NJ, 07601"/>
    <s v="G4"/>
    <n v="7"/>
    <s v="On 05/25/25 P.O. W. Rivera, P.O. I. Papanikolaou and I were dispatched to 20 Prospect, Suite 602, to a suspected burglary in the past. Upon arrival to the listed location, I met with Ms. Alfaro, who is the Operations Manager. I then met Ms. Guzman who is a Palliative Care Coordinator, and Mr. Bravo, who is a nurse at the practice. Ms. Alfaro stated that Mr. Bravo and Ms. Guzman, upon arriving to work at 0700 hrs, witnessed the suspect sitting in the front desk area. Mr. Bravo believed he locked the office doors when he left work yesterday, 05/24/25, at approximately 1900 hrs. Ms. Guzman tried talking to the suspect to ask why she was there, and the suspect did not respond. Ms. Guzman stated that the suspect was mumbling to herself incoherently, and did not make eye contact. The suspect then moved toward the door. The suspect then placed a pair of glasses down on the table next to the front door, and walked out of the office. It is unknown if the glasses belonged to the suspect or a staff member.After the suspect left the office, Mr. Bravo and Ms. Guzman stated they checked all the rooms to see if anything was missing. Upon checking the rooms, they observed the suspect had made multiple stacks of coins on the desk in one of the rooms. Its unknown if the coins belong to a staff member, or if they belong to the suspect. They also observed that the suspect had eaten food in their office break room. She left behind a drink, a half eaten chocolate bar, and other remnants of food on the break room table.  They also found that the suspect left a sticky note with a number 973-223-5491 and the name Great Darris Grandpa on the break room table. Mr. Bravo and Ms. Guzman stated no items of value appear to be missing at this time. Ms. Guzman then called Ms. Alfaro, and Ms. Alfaro called security. Ms. Alfaro afterward contacted Hackensack PD. Sgt. Butler arrived on scene and called the number on the sticky note. Sgt. Butler was able to make contact with the party listed on the note. The contact told Sgt.  Butler that the suspect's name was Tammi Brodish. The contact informed Sgt. Butler that the suspect suffers from mental illness. The contact is unaware of the suspect's current whereabouts, but believes she maybe homeless. HUMC security viewed the cameras and gave the description of the suspect. Suspect was described as a white female, wearing a grey hoodie and white leopard print pants. The cameras showed she entered the office at approximately 0600 hrs and left the office at approximately 0710 hrs. Suspect was then observed heading toward the service elevator.Sgt. Butler notified Lt. Levis who Det. Sgt. Tripodi. The scene had been disturbed by employees prior to police arrival."/>
    <m/>
    <m/>
    <m/>
    <m/>
    <m/>
    <m/>
    <m/>
    <m/>
    <m/>
    <m/>
    <s v="butler_j"/>
    <s v="Complete"/>
    <s v="P.O. Jann Aberde 386"/>
    <s v="A1"/>
    <s v="Sgt. Francesco Tripodi 134"/>
    <s v="Ex-Cleared / Closed"/>
    <s v="220 = Burglary/Breaking &amp; Entering"/>
    <n v="9"/>
    <d v="2025-05-25T00:00:00"/>
    <d v="1899-12-30T05:45:00"/>
    <d v="1899-12-30T05:00:00"/>
    <s v="Morning (04:00–07:59)"/>
    <s v="Prospect Avenue, 0 Block"/>
    <x v="6"/>
    <s v="YTD"/>
    <d v="1899-12-30T05:45:00"/>
    <x v="19"/>
    <d v="1899-12-30T05:00:00"/>
    <m/>
    <x v="5"/>
    <x v="6"/>
    <s v="May"/>
    <n v="2025"/>
    <n v="22"/>
    <n v="5"/>
    <n v="25"/>
    <n v="145"/>
    <s v="Prospect Avenue, 0 Block"/>
    <s v="20 Prospect Avenue, Hackensack, NJ, 07601"/>
    <m/>
    <m/>
    <m/>
    <m/>
    <m/>
    <m/>
    <x v="5"/>
    <s v="Morning (04:00–07:59)"/>
  </r>
  <r>
    <s v="25-043052"/>
    <d v="2025-05-25T00:00:00"/>
    <d v="1899-12-30T18:15:00"/>
    <m/>
    <m/>
    <d v="2025-05-25T00:00:00"/>
    <d v="1899-12-30T18:21:55"/>
    <s v="Burglary - Residence - 2C:18-2"/>
    <s v="Suspicious Person"/>
    <s v="Suspicious Incident"/>
    <s v="87 Troast Street, Hackensack, NJ, 07601"/>
    <s v="E2"/>
    <n v="5"/>
    <s v="Suspect Descriptions: Five Hispanic/Dominican males, unknown clothing description. Seen fleeing the area in two vehicles, one possibly a white Honda sedan.     P.O. Antista and I responded to the listed location on a reported suspicious incident. Upon arrival, we spoke with the victim. He stated that today at approximately 18:15, he was inside his home watching the television. He further stated that the door was slightly ajar and that one of the suspects suddenly kicked it, causing it to fully open. The victim reported that the five suspects entered his home, with one of them stating that they were &quot;looking for someone&quot;. The victim advised that his primary language is Spanish and that the suspects spoke to him in English. He further reported that he had asked the suspects to leave, at which time the main suspect told him &quot;Don't talk to me like that&quot;. The victim stated that the suspects then left the residence, with him guiding them out the front door. He further stated that one of the suspects purposely struck the victim with the screen door as they were leaving, causing him slight pain to his arm. When asked if he needed medical attention, he declined.    Sgt. Farhi was contacted and advised of the circumstances. The victim was advised that detectives would be in contact with him in the following day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100 Troast and 79 Troast, which may have captured the incident."/>
    <m/>
    <m/>
    <m/>
    <m/>
    <m/>
    <m/>
    <m/>
    <m/>
    <m/>
    <m/>
    <s v="gretkowski_j"/>
    <s v="Complete"/>
    <s v="P.O. Micah Gibson 365"/>
    <s v="A4"/>
    <s v="Det. John Tanucilli 335"/>
    <s v="Active/Administratively Closed"/>
    <s v="220 = Burglary/Breaking &amp; Entering"/>
    <n v="9"/>
    <d v="2025-05-25T00:00:00"/>
    <d v="1899-12-30T18:15:00"/>
    <d v="1899-12-30T18:00:00"/>
    <s v="Evening Peak (16:00–19:59)"/>
    <s v="Troast Street, 0 Block"/>
    <x v="10"/>
    <s v="YTD"/>
    <d v="1899-12-30T18:15:00"/>
    <x v="19"/>
    <d v="1899-12-30T18:00:00"/>
    <m/>
    <x v="4"/>
    <x v="6"/>
    <s v="May"/>
    <n v="2025"/>
    <n v="22"/>
    <n v="5"/>
    <n v="25"/>
    <n v="145"/>
    <s v="Troast Street, 0 Block"/>
    <s v="87 Troast Street, Hackensack, NJ, 07601"/>
    <m/>
    <m/>
    <m/>
    <m/>
    <m/>
    <m/>
    <x v="4"/>
    <s v="Evening Peak (16:00–19:59)"/>
  </r>
  <r>
    <s v="25-043063"/>
    <d v="2025-04-27T00:00:00"/>
    <d v="1899-12-30T19:00:00"/>
    <d v="2025-05-25T00:00:00"/>
    <m/>
    <d v="2025-05-25T00:00:00"/>
    <d v="1899-12-30T19:23:00"/>
    <s v="Burglary - Residence - 2C:18-2"/>
    <m/>
    <m/>
    <s v="60 Kansas Street, Hackensack, NJ, 07601"/>
    <s v="E1"/>
    <n v="5"/>
    <s v="On Sunday, May 25, 2025 at approximately 19:23 hours, I responded to the lobby of 60 Kansas Street on a report of a theft. Upon my arrival, I met with Ms. Shannon Gaddy (Complainant) who wished to report several missing items from her deceased brother's apartment. The complainant advised me, that she had received an e-mail from the Housing Authority to clean out her deceased brother's (Norman Gaddy) apartment by June 1, 2025. The complainant further advised me, that she came to the apartment today at approximately 19:00 hours, and began removing her brother's belongings when she noticed several items belonging to her brother missing. At that point, I asked the complainant if she knew of anyone other than herself that had access to the apartment to which she stated &quot;No&quot;. The complainant then stated that the last time she was in her brother's apartment was the day he passed which was on April 26, 2025 and since then, no one to her knowledge had entered the apartment.  As per the complainant, no other friend or family member had key access to the apartment other than her. The complainant stated, that the only other individuals with key access to the apartment were the building's maintenance department. I checked the exterior door to the apartment and it appeared to be secure and did not exhibit any signs of forced entry. I also checked the hallway for cameras and there were no cameras located anywhere in the hallway or corridor of the second floor or outside of the apartment. Due to the complainant's observations and statements, I believed a possible burglary had occurred and contacted headquarters and requested for a supervisor to respond. Shortly thereafter, Sgt. Farhi arrived on scene and was advised of the circumstances. After speaking with myself and the complainant, Sgt. Farhi concurred that a burglary may have occurred and contacted the on-call Detective. Sgt. Farhi spoke with Detective Lara-Nunez and it was determined that Detective Lara-Nunez would conduct a follow up investigation at a later date and time. Due to the complainant already entering the apartment and moving and touching items in the apartment, the Bergen County Sheriff's Office Bureau of Criminal Identification was not contacted. The list of belongings removed from the apartment are as follows: 1. (1)  Sony Playstation 7 valued at approximately $750.00 dollars. 2. (1) Poland Spring Water Jug containing a $20 dollar bill and a large quantity of coins valued at approximately $350 dollars.  3. (1) Pair of silver studded earings valued at approximately $60.00 dollars. 4. (1) Silver chain and cross valued at approximately $100.00 dollars.Total value of missing property is $1,260 dollars. The complainant was provided with a victim notification form and advised that she would be receiving a follow up call in a few days from the Detective Bureau."/>
    <m/>
    <m/>
    <m/>
    <m/>
    <m/>
    <m/>
    <m/>
    <m/>
    <m/>
    <m/>
    <s v="gretkowski_j"/>
    <s v="Complete"/>
    <s v="P.O. Reuven Lyak 318"/>
    <s v="B1"/>
    <s v="Det. Gunther Lara-Nunez 351"/>
    <s v="Active/Administratively Closed"/>
    <s v="220 = Burglary/Breaking &amp; Entering"/>
    <n v="9"/>
    <d v="2025-04-27T00:00:00"/>
    <d v="1899-12-30T19:00:00"/>
    <d v="1899-12-30T19:00:00"/>
    <s v="Evening Peak (16:00–19:59)"/>
    <s v="Kansas Street, 0 Block"/>
    <x v="0"/>
    <s v="YTD"/>
    <d v="1899-12-30T19:00:00"/>
    <x v="20"/>
    <d v="1899-12-30T19:00:00"/>
    <m/>
    <x v="4"/>
    <x v="6"/>
    <s v="April"/>
    <n v="2025"/>
    <n v="18"/>
    <n v="5"/>
    <n v="27"/>
    <n v="117"/>
    <s v="Kansas Street, 0 Block"/>
    <s v="60 Kansas Street, Hackensack, NJ, 07601"/>
    <m/>
    <m/>
    <m/>
    <m/>
    <m/>
    <m/>
    <x v="4"/>
    <s v="Evening Peak (16:00–19:59)"/>
  </r>
  <r>
    <s v="25-043899"/>
    <d v="2025-05-23T00:00:00"/>
    <d v="1899-12-30T08:00:00"/>
    <d v="2025-05-23T00:00:00"/>
    <d v="1899-12-30T16:00:00"/>
    <d v="2025-05-28T00:00:00"/>
    <d v="1899-12-30T16:53:40"/>
    <s v="Burglary - Residence - 2C:18-2"/>
    <m/>
    <m/>
    <s v="160 River Street, Hackensack, NJ, 07601"/>
    <m/>
    <m/>
    <s v="On Wednesday, 05/28/2025, Mr. Matthew Gilson (victim) responded to headquarters for a burglary report. The victim reported that he is the only person that has access to his apartment. His front door is key fob access.      The victim reported, on 05/23/2025, he left his apartment at 0800 hours and returned at 1600 hours. When he returned, he observed his front apartment door ajar. He further reported he entered his apartment and did not notice anything missing or his disturbed. He reported when he was looked in his closet, he notice a blue suit pants was missing. He also notice his social security card was missing as well.      The total amount stolen is $1,200.00. The suit pants brand name is unknown at this time. He is also unaware if he is missing anything else. The victim did not have surveillance cameras at the time.      Sgt. Ghirardi and Detectives were notified.     The victim would like to sign complaints against the suspect if they were identified. A New Jersey Victim Notification form was completed."/>
    <m/>
    <m/>
    <m/>
    <m/>
    <m/>
    <m/>
    <m/>
    <m/>
    <m/>
    <m/>
    <s v="ghirardi_r"/>
    <s v="Complete"/>
    <s v="P.O. Kevin Small 328"/>
    <s v="B2"/>
    <s v="Det. Matthew Dogali 338"/>
    <s v="Active/Administratively Closed"/>
    <s v="220 = Burglary/Breaking &amp; Entering"/>
    <n v="9"/>
    <d v="2025-05-23T00:00:00"/>
    <d v="1899-12-30T08:00:00"/>
    <d v="1899-12-30T08:00:00"/>
    <s v="Morning Peak (08:00–11:59)"/>
    <s v="River Street, 100 Block"/>
    <x v="0"/>
    <s v="YTD"/>
    <d v="1899-12-30T08:00:00"/>
    <x v="21"/>
    <d v="1899-12-30T08:00:00"/>
    <m/>
    <x v="1"/>
    <x v="2"/>
    <s v="May"/>
    <n v="2025"/>
    <n v="21"/>
    <n v="4"/>
    <n v="23"/>
    <n v="143"/>
    <s v="River Street, 100 Block"/>
    <s v="160 River Street, Hackensack, NJ, 07601"/>
    <m/>
    <m/>
    <m/>
    <m/>
    <m/>
    <m/>
    <x v="1"/>
    <s v="Morning Peak (08:00–11:59)"/>
  </r>
  <r>
    <s v="25-050281"/>
    <d v="2025-06-18T00:00:00"/>
    <d v="1899-12-30T09:15:00"/>
    <d v="2025-06-18T00:00:00"/>
    <d v="1899-12-30T10:00:00"/>
    <d v="2025-06-18T00:00:00"/>
    <d v="1899-12-30T11:09:24"/>
    <s v="Burglary - Residence - 2C:18-2"/>
    <m/>
    <m/>
    <s v="259 Park Street, Hackensack, NJ, 07601"/>
    <s v="H2"/>
    <n v="8"/>
    <s v="I responded to the listed location on a reported burglary to a residence. Upon arrival, I spoke with the victim and her family. She stated that on 06/18/2025 at approximately 09:15 hours, she left her home through the back door to go for a run, leaving it closed but unlocked. She further stated that her husband and daughter were sleeping in another room while she was gone. The victim reported that she returned to the rear of her home at 10:00 hours. She further reported that when she re-entered her home, she observed the kitchen to be in disarray, with chairs knocked over and cleaning products knocked onto the ground. The victim stated that she then alerted her family, who reported the mess was not their doing. She further stated that they noticed their family cat was missing and then attempted to locate her, proving unsuccessful.    I then requested a supervisor. Sgt's Tedesco and Farhi responded to assist. Det. Sgt. Williams and Det. Dogali also responded and were advised.      The victim reported that no items, valuables or furniture was missing and the only thing taken was the family cat.     The cat, Ebony, is described as a black and white Tuxexdo cat, 3 years old with a pink collar around her neck containing contact information, with no health issue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263 Park Street and 252 Park Street, which may have captured the incident."/>
    <m/>
    <m/>
    <m/>
    <m/>
    <m/>
    <m/>
    <m/>
    <m/>
    <m/>
    <m/>
    <s v="knapp_j"/>
    <s v="Complete"/>
    <s v="P.O. Micah Gibson 365"/>
    <s v="A4"/>
    <s v="Det. Matthew Dogali 338"/>
    <s v="Unfounded / Closed"/>
    <s v="220 = Burglary/Breaking &amp; Entering"/>
    <n v="9"/>
    <d v="2025-06-18T00:00:00"/>
    <d v="1899-12-30T09:15:00"/>
    <d v="1899-12-30T09:00:00"/>
    <s v="Morning Peak (08:00–11:59)"/>
    <s v="Park Street, 200 Block"/>
    <x v="0"/>
    <s v="28-Day"/>
    <d v="1899-12-30T09:15:00"/>
    <x v="22"/>
    <d v="1899-12-30T09:00:00"/>
    <m/>
    <x v="1"/>
    <x v="3"/>
    <s v="June"/>
    <n v="2025"/>
    <n v="25"/>
    <n v="3"/>
    <n v="18"/>
    <n v="169"/>
    <s v="Park Street, 200 Block"/>
    <s v="259 Park Street, Hackensack, NJ, 07601"/>
    <m/>
    <m/>
    <m/>
    <m/>
    <m/>
    <m/>
    <x v="1"/>
    <s v="Morning Peak (08:00–11:59)"/>
  </r>
  <r>
    <s v="25-052908"/>
    <d v="2025-06-23T00:00:00"/>
    <d v="1899-12-30T08:00:00"/>
    <d v="2025-06-26T00:00:00"/>
    <d v="1899-12-30T19:00:00"/>
    <d v="2025-06-26T00:00:00"/>
    <d v="1899-12-30T20:57:00"/>
    <s v="Burglary - Residence - 2C:18-2"/>
    <s v="Theft - 2C:20-3"/>
    <m/>
    <s v="250 Main Street, Hackensack, NJ, 07601"/>
    <s v="H1"/>
    <n v="8"/>
    <s v="I responded to police headquarters on a report of a burglary to a resident.  Upon arrival,  I made contact with the victim, Santos De La Cruz, who stated that somebody stole his safe from his room.  The victim stated that the safe was on the floor next to his bed and he saw it last on Monday, June 23rd, 2025.  The victim then went back to his safe this evening (06/26/2025) at approximately 1900 hours to put some of his savings in there, when he noticed the safe was missing.  The safe had $2,000.00 cash, a gold necklace ($300.00), an engagement ring ($300.00), and a gold ring ($300.00).  The safe also has an approximate value of $200.00.  The total estimated proceeds that were taken is approximately $3,100.00.  The victim did not observe an signs of forced entry and stated that his bedroom door is always locked.  Furthermore, he advised that he is the only person that has access to his room keys.  The victim was given a copy of the victim notification form.  Lt. L. Dominguez was advised of the incident and he informed D/Sgt. P. Williams."/>
    <m/>
    <m/>
    <m/>
    <m/>
    <m/>
    <m/>
    <m/>
    <m/>
    <m/>
    <m/>
    <s v="Dominguez_l"/>
    <s v="Complete"/>
    <s v="P.O. Paula Lopez 362"/>
    <s v="A2"/>
    <s v="Det. Matthew Dogali 338"/>
    <s v="Active/Administratively Closed"/>
    <m/>
    <n v="9"/>
    <d v="2025-06-23T00:00:00"/>
    <d v="1899-12-30T08:00:00"/>
    <d v="1899-12-30T08:00:00"/>
    <s v="Morning Peak (08:00–11:59)"/>
    <s v="Main Street, 200 Block"/>
    <x v="11"/>
    <s v="7-Day"/>
    <d v="1899-12-30T08:00:00"/>
    <x v="23"/>
    <d v="1899-12-30T08:00:00"/>
    <m/>
    <x v="1"/>
    <x v="4"/>
    <s v="June"/>
    <n v="2025"/>
    <n v="26"/>
    <n v="4"/>
    <n v="23"/>
    <n v="174"/>
    <s v="Main Street, 200 Block"/>
    <s v="250 Main Street, Hackensack, NJ, 07601"/>
    <m/>
    <m/>
    <m/>
    <m/>
    <m/>
    <m/>
    <x v="1"/>
    <s v="Morning Peak (08:00–11:59)"/>
  </r>
  <r>
    <s v="25-053161"/>
    <d v="2025-06-27T00:00:00"/>
    <d v="1899-12-30T14:18:09"/>
    <m/>
    <m/>
    <d v="2025-06-27T00:00:00"/>
    <d v="1899-12-30T14:18:09"/>
    <s v="Burglary - Residence - 2C:18-2"/>
    <m/>
    <m/>
    <s v="77 Prospect Avenue, Hackensack, NJ, 07601"/>
    <s v="G4"/>
    <n v="7"/>
    <s v="On June 27, 2025, I responded to 77 Prospect on a report of a residential burglary that occurred in the past.  The reported burglary may have occurred today between 1100 hours and 1300 hours.      Upon arrival there was no initial response at the door. I contacted headquarters and they advised that the victim was hard of hearing. The door was unsecured and  I was able to make contact with the victim.  check on the welfare of the victim.            The victim stated she went to take a nap in the living room, at approximately 1100 hours and woke up at approximately 1300 hours. Upon waking up she noticed her apartment was rummaged through and her belongings were all around her on the floor. She observed that $70 cash, some credit cards and food stamps were missing. The victim stated she did not hear anyone walk into her apartment, since she took off her hearing aid when talking her nap. She also states that the apartment door is always left unlocked. The victim contaminated the scene prior to my arrival. No cameras are located on that floor level.Sgt. Farhi was advised and DSGT. Tripodi followed up."/>
    <m/>
    <m/>
    <m/>
    <m/>
    <m/>
    <m/>
    <m/>
    <m/>
    <m/>
    <m/>
    <s v="peralta_k"/>
    <s v="Complete"/>
    <s v="P.O. Angie Tabares 363"/>
    <s v="A3"/>
    <s v="Sgt. Patrick Williams 143"/>
    <s v="Under Supervisor Review"/>
    <m/>
    <n v="9"/>
    <d v="2025-06-27T00:00:00"/>
    <d v="1899-12-30T14:18:09"/>
    <d v="1899-12-30T14:00:00"/>
    <s v="Afternoon (12:00–15:59)"/>
    <s v="Prospect Avenue, 0 Block"/>
    <x v="0"/>
    <s v="7-Day"/>
    <d v="1899-12-30T14:18:09"/>
    <x v="24"/>
    <d v="1899-12-30T14:00:00"/>
    <m/>
    <x v="0"/>
    <x v="2"/>
    <s v="June"/>
    <n v="2025"/>
    <n v="26"/>
    <n v="4"/>
    <n v="27"/>
    <n v="178"/>
    <s v="Prospect Avenue, 0 Block"/>
    <s v="77 Prospect Avenue, Hackensack, NJ, 07601"/>
    <m/>
    <m/>
    <m/>
    <m/>
    <m/>
    <m/>
    <x v="0"/>
    <s v="Afternoon (12:00–15:5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
  <r>
    <s v="25-000813"/>
    <n v="45660"/>
    <d v="1899-12-30T21:30:00"/>
    <d v="2025-01-04T00:00:00"/>
    <d v="1899-12-30T06:25:00"/>
    <d v="2025-01-04T00:00:00"/>
    <d v="1899-12-30T10:59:09"/>
    <s v="Motor Vehicle Theft - 2C:20-3"/>
    <m/>
    <m/>
    <s v="309 Lookout Avenue, Hackensack, NJ, 07601"/>
    <s v="I2"/>
    <n v="9"/>
    <s v="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
    <m/>
    <m/>
    <s v="W46uly"/>
    <s v="Honda"/>
    <s v="ACC"/>
    <s v="NJ"/>
    <m/>
    <m/>
    <m/>
    <m/>
    <s v="klosk_j"/>
    <s v="Complete"/>
    <s v="P.O. Nicholas Mazzaccaro 377"/>
    <s v="B4"/>
    <s v="Det. Robert Ghirardi 150"/>
    <s v="Active/Administratively Closed"/>
    <s v="240 = Theft of Motor Vehicle"/>
    <n v="9"/>
    <d v="2025-01-03T00:00:00"/>
    <d v="1899-12-30T21:30:00"/>
    <d v="1899-12-30T21:00:00"/>
    <s v="Night (20:00–23:59)"/>
    <s v="Lookout Avenue, 300 Block"/>
    <x v="0"/>
    <s v="YTD"/>
    <d v="1899-12-30T21:30:00"/>
    <x v="0"/>
    <d v="1899-12-30T21:00:00"/>
    <m/>
    <s v="Night (20:00–23:59)"/>
    <x v="0"/>
    <s v="January"/>
    <n v="2025"/>
    <n v="1"/>
    <n v="1"/>
    <n v="3"/>
    <n v="3"/>
    <s v="Lookout Avenue, 300 Block"/>
    <s v="309 Lookout Avenue, Hackensack, NJ, 07601"/>
    <m/>
    <m/>
    <s v="Honda ACC"/>
    <m/>
    <m/>
    <s v="Next Day"/>
    <x v="0"/>
    <s v="Night (20:00–23:59)"/>
  </r>
  <r>
    <s v="25-002635"/>
    <n v="45663"/>
    <d v="1899-12-30T15:30:00"/>
    <d v="2025-01-10T00:00:00"/>
    <m/>
    <d v="2025-01-10T00:00:00"/>
    <d v="1899-12-30T19:49:52"/>
    <s v="Burglary - Auto - 2C:18-2"/>
    <m/>
    <m/>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XCSW43"/>
    <s v="Honda"/>
    <s v="PIL"/>
    <s v="NJ"/>
    <m/>
    <m/>
    <m/>
    <m/>
    <s v="deleon_a"/>
    <s v="Complete"/>
    <s v="P.O. Ruben Almonte 359"/>
    <s v="A3"/>
    <s v="Det. Matthew DeBonis 325"/>
    <s v="Active Investigation"/>
    <s v="23F = Theft From Motor Vehicle"/>
    <n v="9"/>
    <d v="2025-01-06T00:00:00"/>
    <d v="1899-12-30T15:30:00"/>
    <d v="1899-12-30T15:00:00"/>
    <s v="Afternoon (12:00–15:59)"/>
    <s v="Prospect Avenue, 0 Block"/>
    <x v="1"/>
    <s v="YTD"/>
    <d v="1899-12-30T15:30:00"/>
    <x v="1"/>
    <d v="1899-12-30T15:00:00"/>
    <m/>
    <s v="Afternoon (12:00–15:59)"/>
    <x v="1"/>
    <s v="January"/>
    <n v="2025"/>
    <n v="2"/>
    <n v="2"/>
    <n v="6"/>
    <n v="6"/>
    <s v="Prospect Avenue, 0 Block"/>
    <s v="90 Prospect Avenue, Hackensack, NJ, 07601"/>
    <m/>
    <m/>
    <s v="Honda PIL"/>
    <m/>
    <m/>
    <s v="Within Week"/>
    <x v="1"/>
    <s v="Afternoon (12:00–15:59)"/>
  </r>
  <r>
    <s v="25-004097"/>
    <n v="45672"/>
    <d v="1899-12-30T12:57:26"/>
    <m/>
    <m/>
    <d v="2025-01-15T00:00:00"/>
    <d v="1899-12-30T12:57:26"/>
    <s v="Motor Vehicle Theft - 2C:20-3"/>
    <m/>
    <m/>
    <s v="244 First Street, Hackensack, NJ, 07601"/>
    <s v="H3"/>
    <n v="8"/>
    <s v="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
    <m/>
    <m/>
    <s v="U38ULG"/>
    <s v="Honda"/>
    <s v="CIV"/>
    <s v="NJ"/>
    <m/>
    <m/>
    <m/>
    <m/>
    <s v="swetits_m"/>
    <s v="Complete"/>
    <s v="P.O. Frank Lorenzo 371"/>
    <s v="b1"/>
    <s v="Det. Matthew DeBonis 325"/>
    <s v="Active/Administratively Closed"/>
    <s v="240 = Theft of Motor Vehicle"/>
    <n v="9"/>
    <d v="2025-01-15T00:00:00"/>
    <d v="1899-12-30T12:57:26"/>
    <d v="1899-12-30T12:00:00"/>
    <s v="Afternoon (12:00–15:59)"/>
    <s v="First Street, 200 Block"/>
    <x v="0"/>
    <s v="YTD"/>
    <d v="1899-12-30T12:57:26"/>
    <x v="2"/>
    <d v="1899-12-30T12:00:00"/>
    <m/>
    <s v="Afternoon (12:00–15:59)"/>
    <x v="2"/>
    <s v="January"/>
    <n v="2025"/>
    <n v="3"/>
    <n v="3"/>
    <n v="15"/>
    <n v="15"/>
    <s v="First Street, 200 Block"/>
    <s v="244 First Street, Hackensack, NJ, 07601"/>
    <m/>
    <m/>
    <s v="Honda CIV"/>
    <m/>
    <m/>
    <s v="Same Day"/>
    <x v="1"/>
    <s v="Afternoon (12:00–15:59)"/>
  </r>
  <r>
    <s v="25-005871"/>
    <n v="45678"/>
    <d v="1899-12-30T19:00:00"/>
    <d v="2025-01-22T00:00:00"/>
    <d v="1899-12-30T03:09:00"/>
    <d v="2025-01-22T00:00:00"/>
    <d v="1899-12-30T03:10:53"/>
    <s v="Motor Vehicle Theft - 2C:20-3"/>
    <m/>
    <m/>
    <s v="33 Ross Avenue, Hackensack, NJ, 07601"/>
    <s v="I1"/>
    <n v="9"/>
    <s v="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
    <m/>
    <m/>
    <s v="U22RSV"/>
    <s v="Honda"/>
    <s v="PAS"/>
    <s v="NJ"/>
    <m/>
    <m/>
    <m/>
    <m/>
    <s v="tovbin_s"/>
    <s v="Complete"/>
    <s v="P.O. Roselys Salas 369"/>
    <s v="B4"/>
    <s v="Det. John Tanucilli 335"/>
    <s v="Active/Administratively Closed"/>
    <s v="240 = Theft of Motor Vehicle"/>
    <n v="9"/>
    <d v="2025-01-21T00:00:00"/>
    <d v="1899-12-30T19:00:00"/>
    <d v="1899-12-30T19:00:00"/>
    <s v="Evening Peak (16:00–19:59)"/>
    <s v="Ross Avenue, 0 Block"/>
    <x v="0"/>
    <s v="YTD"/>
    <d v="1899-12-30T19:00:00"/>
    <x v="3"/>
    <d v="1899-12-30T19:00:00"/>
    <m/>
    <s v="Evening Peak (16:00–19:59)"/>
    <x v="3"/>
    <s v="January"/>
    <n v="2025"/>
    <n v="4"/>
    <n v="4"/>
    <n v="21"/>
    <n v="21"/>
    <s v="Ross Avenue, 0 Block"/>
    <s v="33 Ross Avenue, Hackensack, NJ, 07601"/>
    <m/>
    <m/>
    <s v="HONDA PAS"/>
    <m/>
    <m/>
    <s v="Next Day"/>
    <x v="2"/>
    <s v="Evening Peak (16:00–19:59)"/>
  </r>
  <r>
    <s v="25-006083"/>
    <n v="45679"/>
    <d v="1899-12-30T08:00:00"/>
    <d v="2025-01-22T00:00:00"/>
    <d v="1899-12-30T19:13:00"/>
    <d v="2025-01-22T00:00:00"/>
    <d v="1899-12-30T19:14:56"/>
    <s v="Motor Vehicle Theft - 2C:20-3"/>
    <m/>
    <m/>
    <s v="443 Hudson Street, Hackensack, NJ, 07601"/>
    <s v="E3"/>
    <n v="5"/>
    <s v="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quot;the vehicle was towed off the property early morning and he got some money for it.&quo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
    <m/>
    <m/>
    <s v="Y62SRJ"/>
    <s v="Nissan"/>
    <s v="PTH"/>
    <s v="NJ"/>
    <m/>
    <m/>
    <m/>
    <m/>
    <s v="swetits_m"/>
    <s v="Complete"/>
    <s v="P.O. Roselys Salas 369"/>
    <s v="B4"/>
    <s v="Det. Demetrius Carroll 133"/>
    <s v="Active/Administratively Closed"/>
    <s v="240 = Theft of Motor Vehicle"/>
    <n v="9"/>
    <d v="2025-01-22T00:00:00"/>
    <d v="1899-12-30T08:00:00"/>
    <d v="1899-12-30T08:00:00"/>
    <s v="Morning Peak (08:00–11:59)"/>
    <s v="Hudson Street, 400 Block"/>
    <x v="0"/>
    <s v="YTD"/>
    <d v="1899-12-30T08:00:00"/>
    <x v="4"/>
    <d v="1899-12-30T08:00:00"/>
    <m/>
    <s v="Morning Peak (08:00–11:59)"/>
    <x v="2"/>
    <s v="January"/>
    <n v="2025"/>
    <n v="4"/>
    <n v="4"/>
    <n v="22"/>
    <n v="22"/>
    <s v="Hudson Street, 400 Block"/>
    <s v="443 Hudson Street, Hackensack, NJ, 07601"/>
    <m/>
    <m/>
    <s v="Nissan PTH"/>
    <m/>
    <m/>
    <s v="Same Day"/>
    <x v="3"/>
    <s v="Morning Peak (08:00–11:59)"/>
  </r>
  <r>
    <s v="25-007074"/>
    <n v="45682"/>
    <d v="1899-12-30T18:27:00"/>
    <m/>
    <m/>
    <d v="2025-01-26T00:00:00"/>
    <d v="1899-12-30T10:34:25"/>
    <s v="Burglary - Auto - 2C:18-2"/>
    <s v="Theft - 2C:20-3"/>
    <m/>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r36gbb"/>
    <s v="Honda"/>
    <s v="CRV"/>
    <s v="NJ"/>
    <m/>
    <m/>
    <m/>
    <m/>
    <s v="levis_r"/>
    <s v="Complete"/>
    <s v="P.O. Massimo Gallorini 379"/>
    <s v="A2"/>
    <s v="Sgt. Franklin Bay 162"/>
    <s v="No Investigation"/>
    <s v="23F = Theft From Motor Vehicle"/>
    <n v="9"/>
    <d v="2025-01-25T00:00:00"/>
    <d v="1899-12-30T18:27:00"/>
    <d v="1899-12-30T18:00:00"/>
    <s v="Evening Peak (16:00–19:59)"/>
    <s v="Stanley Place, 200 Block"/>
    <x v="2"/>
    <s v="YTD"/>
    <d v="1899-12-30T18:27:00"/>
    <x v="5"/>
    <d v="1899-12-30T18:00:00"/>
    <m/>
    <s v="Evening Peak (16:00–19:59)"/>
    <x v="4"/>
    <s v="January"/>
    <n v="2025"/>
    <n v="4"/>
    <n v="4"/>
    <n v="25"/>
    <n v="25"/>
    <s v="Stanley Place, 200 Block"/>
    <s v="206 Stanley Place, Hackensack, NJ, 07601"/>
    <m/>
    <m/>
    <s v="Honda CRV"/>
    <m/>
    <m/>
    <s v="Next Day"/>
    <x v="2"/>
    <s v="Evening Peak (16:00–19:59)"/>
  </r>
  <r>
    <s v="25-007197"/>
    <n v="45683"/>
    <d v="1899-12-30T20:10:00"/>
    <d v="2025-01-26T00:00:00"/>
    <d v="1899-12-30T20:19:00"/>
    <d v="2025-01-26T00:00:00"/>
    <d v="1899-12-30T20:24:08"/>
    <s v="Burglary - Auto - 2C:18-2"/>
    <s v="Theft - 2C:20-3"/>
    <m/>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r97ryw"/>
    <s v="Honda"/>
    <s v="ODY"/>
    <s v="NJ"/>
    <m/>
    <m/>
    <m/>
    <m/>
    <s v="deleon_a"/>
    <s v="Complete"/>
    <s v="P.O. Micah Gibson 365"/>
    <s v="A3"/>
    <s v="Det. Matthew Dogali 338"/>
    <s v="Active/Administratively Closed"/>
    <s v="23F = Theft From Motor Vehicle"/>
    <n v="9"/>
    <d v="2025-01-26T00:00:00"/>
    <d v="1899-12-30T20:10:00"/>
    <d v="1899-12-30T20:00:00"/>
    <s v="Night (20:00–23:59)"/>
    <s v="Pangborn Place, 0 Block"/>
    <x v="2"/>
    <s v="YTD"/>
    <d v="1899-12-30T20:10:00"/>
    <x v="6"/>
    <d v="1899-12-30T20:00:00"/>
    <m/>
    <s v="Night (20:00–23:59)"/>
    <x v="5"/>
    <s v="January"/>
    <n v="2025"/>
    <n v="5"/>
    <n v="5"/>
    <n v="26"/>
    <n v="26"/>
    <s v="Pangborn Place, 0 Block"/>
    <s v="5 Pangborn Place, Hackensack, NJ, 07601"/>
    <m/>
    <m/>
    <s v="Honda ODY"/>
    <m/>
    <m/>
    <s v="Same Day"/>
    <x v="0"/>
    <s v="Night (20:00–23:59)"/>
  </r>
  <r>
    <s v="25-008075"/>
    <n v="45685"/>
    <d v="1899-12-30T15:00:00"/>
    <d v="2025-01-29T00:00:00"/>
    <d v="1899-12-30T22:01:00"/>
    <d v="2025-01-29T00:00:00"/>
    <d v="1899-12-30T22:02:24"/>
    <s v="Motor Vehicle Theft - 2C:20-3"/>
    <s v="Theft - 2C:20-3"/>
    <m/>
    <s v="119 Essex Street, Hackensack, NJ, 07601"/>
    <s v="F1"/>
    <n v="6"/>
    <s v="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
    <m/>
    <m/>
    <s v="k84cxu"/>
    <s v="Lexus"/>
    <s v="ES"/>
    <s v="NJ"/>
    <m/>
    <m/>
    <m/>
    <m/>
    <s v="swetits_m"/>
    <s v="Complete"/>
    <s v="P.O. Roselys Salas 369"/>
    <s v="B4"/>
    <s v="Det. Matthew DeBonis 325"/>
    <s v="Ex-Cleared / Closed"/>
    <s v="240 = Theft of Motor Vehicle"/>
    <n v="9"/>
    <d v="2025-01-28T00:00:00"/>
    <d v="1899-12-30T15:00:00"/>
    <d v="1899-12-30T15:00:00"/>
    <s v="Afternoon (12:00–15:59)"/>
    <s v="Essex Street, 100 Block"/>
    <x v="3"/>
    <s v="YTD"/>
    <d v="1899-12-30T15:00:00"/>
    <x v="7"/>
    <d v="1899-12-30T15:00:00"/>
    <m/>
    <s v="Afternoon (12:00–15:59)"/>
    <x v="3"/>
    <s v="January"/>
    <n v="2025"/>
    <n v="5"/>
    <n v="5"/>
    <n v="28"/>
    <n v="28"/>
    <s v="Essex Street, 100 Block"/>
    <s v="119 Essex Street, Hackensack, NJ, 07601"/>
    <m/>
    <m/>
    <s v="Lexus ES"/>
    <m/>
    <m/>
    <s v="Next Day"/>
    <x v="1"/>
    <s v="Afternoon (12:00–15:59)"/>
  </r>
  <r>
    <s v="25-008777"/>
    <n v="45689"/>
    <d v="1899-12-30T01:00:00"/>
    <m/>
    <d v="1899-12-30T02:30:00"/>
    <d v="2025-02-01T00:00:00"/>
    <d v="1899-12-30T02:52:33"/>
    <s v="Motor Vehicle Theft - 2C:20-3"/>
    <m/>
    <m/>
    <s v="453 Sutton Avenue, Hackensack, NJ, 07601"/>
    <s v="F2"/>
    <n v="6"/>
    <s v="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
    <m/>
    <m/>
    <s v="p77uzj"/>
    <s v="Ford"/>
    <s v="CRO"/>
    <s v="NJ"/>
    <m/>
    <m/>
    <m/>
    <m/>
    <s v="swetits_m"/>
    <s v="Complete"/>
    <s v="P.O. Roselys Salas 369"/>
    <s v="B4"/>
    <s v="Det. Demetrius Carroll 133"/>
    <s v="Active/Administratively Closed"/>
    <s v="240 = Theft of Motor Vehicle"/>
    <n v="9"/>
    <d v="2025-02-01T00:00:00"/>
    <d v="1899-12-30T01:00:00"/>
    <d v="1899-12-30T01:00:00"/>
    <s v="Early Morning (00:00–03:59)"/>
    <s v="Sutton Avenue, 400 Block"/>
    <x v="0"/>
    <s v="YTD"/>
    <d v="1899-12-30T01:00:00"/>
    <x v="8"/>
    <d v="1899-12-30T01:00:00"/>
    <m/>
    <s v="Early Morning (00:00–03:59)"/>
    <x v="4"/>
    <s v="February"/>
    <n v="2025"/>
    <n v="5"/>
    <n v="1"/>
    <n v="1"/>
    <n v="32"/>
    <s v="Sutton Avenue, 400 Block"/>
    <s v="453 Sutton Avenue, Hackensack, NJ, 07601"/>
    <m/>
    <m/>
    <s v="Ford CRO"/>
    <m/>
    <m/>
    <s v="Same Day"/>
    <x v="4"/>
    <s v="Early Morning (00:00–03:59)"/>
  </r>
  <r>
    <s v="25-009657"/>
    <n v="45691"/>
    <d v="1899-12-30T18:30:00"/>
    <d v="2025-02-04T00:00:00"/>
    <d v="1899-12-30T19:00:00"/>
    <d v="2025-02-04T00:00:00"/>
    <d v="1899-12-30T12:43:32"/>
    <s v="Motor Vehicle Theft - 2C:20-3"/>
    <m/>
    <m/>
    <s v="55 Midtown Bridge Approach, Hackensack, NJ, 07601"/>
    <s v="H1"/>
    <n v="8"/>
    <s v="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
    <m/>
    <m/>
    <s v="am82732"/>
    <s v="RAM"/>
    <s v="Promaster"/>
    <s v="AZ"/>
    <m/>
    <m/>
    <m/>
    <m/>
    <s v="deleon_a"/>
    <s v="Complete"/>
    <s v="P.O. Micah Gibson 365"/>
    <s v="A3"/>
    <s v="Det. Matthew DeBonis 325"/>
    <s v="Complaint Signed"/>
    <s v="240 = Theft of Motor Vehicle"/>
    <n v="9"/>
    <d v="2025-02-03T00:00:00"/>
    <d v="1899-12-30T18:30:00"/>
    <d v="1899-12-30T18:00:00"/>
    <s v="Evening Peak (16:00–19:59)"/>
    <s v="Midtown Bridge Approach, 0 Block"/>
    <x v="0"/>
    <s v="YTD"/>
    <d v="1899-12-30T18:30:00"/>
    <x v="9"/>
    <d v="1899-12-30T18:00:00"/>
    <m/>
    <s v="Evening Peak (16:00–19:59)"/>
    <x v="1"/>
    <s v="February"/>
    <n v="2025"/>
    <n v="6"/>
    <n v="2"/>
    <n v="3"/>
    <n v="34"/>
    <s v="Midtown Bridge Approach, 0 Block"/>
    <s v="55 Midtown Bridge Approach, Hackensack, NJ, 07601"/>
    <m/>
    <m/>
    <s v="RAM Promaster"/>
    <m/>
    <m/>
    <s v="Next Day"/>
    <x v="2"/>
    <s v="Evening Peak (16:00–19:59)"/>
  </r>
  <r>
    <s v="25-010474"/>
    <n v="45695"/>
    <d v="1899-12-30T06:35:00"/>
    <d v="2025-02-07T00:00:00"/>
    <d v="1899-12-30T06:50:00"/>
    <d v="2025-02-07T00:00:00"/>
    <d v="1899-12-30T07:22:38"/>
    <s v="Motor Vehicle Theft - 2C:20-3"/>
    <m/>
    <m/>
    <s v="170 Hudson Street, Hackensack, NJ, 07601"/>
    <s v="E2"/>
    <n v="5"/>
    <s v="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
    <m/>
    <m/>
    <s v="T12sse"/>
    <s v="Dodge"/>
    <s v="CAR"/>
    <s v="NJ"/>
    <m/>
    <m/>
    <m/>
    <m/>
    <s v="swetits_m"/>
    <s v="Complete"/>
    <s v="P.O. Matthew Tedesco 316"/>
    <s v="B3"/>
    <s v="Sgt. Francesco Tripodi 134"/>
    <s v="No Investigation"/>
    <s v="240 = Theft of Motor Vehicle"/>
    <n v="9"/>
    <d v="2025-02-07T00:00:00"/>
    <d v="1899-12-30T06:35:00"/>
    <d v="1899-12-30T06:00:00"/>
    <s v="Morning (04:00–07:59)"/>
    <s v="Hudson Street, 100 Block"/>
    <x v="0"/>
    <s v="YTD"/>
    <d v="1899-12-30T06:35:00"/>
    <x v="10"/>
    <d v="1899-12-30T06:00:00"/>
    <m/>
    <s v="Morning (04:00–07:59)"/>
    <x v="0"/>
    <s v="February"/>
    <n v="2025"/>
    <n v="6"/>
    <n v="2"/>
    <n v="7"/>
    <n v="38"/>
    <s v="Hudson Street, 100 Block"/>
    <s v="170 Hudson Street, Hackensack, NJ, 07601"/>
    <m/>
    <m/>
    <s v="Dodge CAR"/>
    <m/>
    <m/>
    <s v="Same Day"/>
    <x v="5"/>
    <s v="Morning (04:00–07:59)"/>
  </r>
  <r>
    <s v="25-010788"/>
    <n v="45688"/>
    <d v="1899-12-30T12:00:00"/>
    <d v="2025-02-07T00:00:00"/>
    <d v="1899-12-30T13:00:00"/>
    <d v="2025-02-08T00:00:00"/>
    <d v="1899-12-30T09:22:04"/>
    <s v="Motor Vehicle Theft - 2C:20-3"/>
    <m/>
    <m/>
    <s v="535 Hudson Street, Hackensack, NJ, 07601"/>
    <s v="E3"/>
    <n v="5"/>
    <s v="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
    <m/>
    <m/>
    <s v="s70mpz"/>
    <m/>
    <s v="CIV"/>
    <s v="NJ"/>
    <m/>
    <m/>
    <m/>
    <m/>
    <s v="swetits_m"/>
    <s v="Complete"/>
    <s v="P.O. Daniel Francavilla 329"/>
    <s v="B4"/>
    <s v="Det. Matthew Dogali 338"/>
    <s v="Active/Administratively Closed"/>
    <s v="240 = Theft of Motor Vehicle"/>
    <n v="9"/>
    <d v="2025-01-31T00:00:00"/>
    <d v="1899-12-30T12:00:00"/>
    <d v="1899-12-30T12:00:00"/>
    <s v="Afternoon (12:00–15:59)"/>
    <s v="Hudson Street, 500 Block"/>
    <x v="0"/>
    <s v="YTD"/>
    <d v="1899-12-30T12:00:00"/>
    <x v="11"/>
    <d v="1899-12-30T12:00:00"/>
    <m/>
    <s v="Afternoon (12:00–15:59)"/>
    <x v="0"/>
    <s v="January"/>
    <n v="2025"/>
    <n v="5"/>
    <n v="5"/>
    <n v="31"/>
    <n v="31"/>
    <s v="Hudson Street, 500 Block"/>
    <s v="535 Hudson Street, Hackensack, NJ, 07601"/>
    <m/>
    <m/>
    <m/>
    <m/>
    <m/>
    <s v="Within Month"/>
    <x v="1"/>
    <s v="Afternoon (12:00–15:59)"/>
  </r>
  <r>
    <s v="25-012325"/>
    <n v="45701"/>
    <d v="1899-12-30T16:00:00"/>
    <m/>
    <m/>
    <d v="2025-02-14T00:00:00"/>
    <d v="1899-12-30T07:10:39"/>
    <s v="Burglary - Auto - 2C:18-2"/>
    <m/>
    <m/>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XGDR55"/>
    <s v="Ford"/>
    <s v="R1Z"/>
    <s v="NJ"/>
    <m/>
    <m/>
    <m/>
    <m/>
    <s v="swetits_m"/>
    <s v="Complete"/>
    <s v="P.O. Angelo Vicale 370"/>
    <s v="B3"/>
    <s v="Det. Demetrius Carroll 133"/>
    <s v="Active/Administratively Closed"/>
    <s v="23F = Theft From Motor Vehicle"/>
    <n v="9"/>
    <d v="2025-02-13T00:00:00"/>
    <d v="1899-12-30T16:00:00"/>
    <d v="1899-12-30T16:00:00"/>
    <s v="Evening Peak (16:00–19:59)"/>
    <s v="Pleasantview Avenue &amp; Kipp Street, Unknown Block"/>
    <x v="1"/>
    <s v="YTD"/>
    <d v="1899-12-30T16:00:00"/>
    <x v="12"/>
    <d v="1899-12-30T16:00:00"/>
    <m/>
    <s v="Evening Peak (16:00–19:59)"/>
    <x v="6"/>
    <s v="February"/>
    <n v="2025"/>
    <n v="7"/>
    <n v="3"/>
    <n v="13"/>
    <n v="44"/>
    <s v="Pleasantview Avenue &amp; Kipp Street, Unknown Block"/>
    <s v="East Pleasantview Avenue &amp; Kipp Street, Hackensack, NJ, 07601"/>
    <m/>
    <m/>
    <s v="Ford R1Z"/>
    <m/>
    <m/>
    <s v="Next Day"/>
    <x v="2"/>
    <s v="Evening Peak (16:00–19:59)"/>
  </r>
  <r>
    <s v="25-013091"/>
    <n v="45705"/>
    <d v="1899-12-30T08:22:14"/>
    <m/>
    <m/>
    <d v="2025-02-17T00:00:00"/>
    <d v="1899-12-30T08:22:14"/>
    <s v="Motor Vehicle Theft - 2C:20-3"/>
    <s v="Recovered Stolen Vehicle"/>
    <m/>
    <s v="100 Second Street, Hackensack, NJ, 07601"/>
    <s v="G3"/>
    <n v="7"/>
    <s v="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
    <m/>
    <m/>
    <s v="l17pum"/>
    <s v="Honda"/>
    <s v="ACC"/>
    <s v="NJ"/>
    <m/>
    <m/>
    <m/>
    <m/>
    <s v="deleon_a"/>
    <s v="Complete"/>
    <s v="P.O. Ruben Almonte 359"/>
    <s v="A3"/>
    <s v="Det. Demetrius Carroll 133"/>
    <s v="Active/Administratively Closed"/>
    <s v="240 = Theft of Motor Vehicle"/>
    <n v="9"/>
    <d v="2025-02-17T00:00:00"/>
    <d v="1899-12-30T08:22:14"/>
    <d v="1899-12-30T08:00:00"/>
    <s v="Morning Peak (08:00–11:59)"/>
    <s v="Second Street, 100 Block"/>
    <x v="4"/>
    <s v="YTD"/>
    <d v="1899-12-30T08:22:14"/>
    <x v="13"/>
    <d v="1899-12-30T08:00:00"/>
    <m/>
    <s v="Morning Peak (08:00–11:59)"/>
    <x v="1"/>
    <s v="February"/>
    <n v="2025"/>
    <n v="8"/>
    <n v="4"/>
    <n v="17"/>
    <n v="48"/>
    <s v="Second Street, 100 Block"/>
    <s v="100 Second Street, Hackensack, NJ, 07601"/>
    <m/>
    <m/>
    <s v="Honda ACC"/>
    <m/>
    <m/>
    <s v="Same Day"/>
    <x v="3"/>
    <s v="Morning Peak (08:00–11:59)"/>
  </r>
  <r>
    <s v="25-013106"/>
    <n v="45705"/>
    <d v="1899-12-30T09:31:55"/>
    <m/>
    <m/>
    <d v="2025-02-17T00:00:00"/>
    <d v="1899-12-30T09:31:55"/>
    <s v="Motor Vehicle Theft - 2C:20-3"/>
    <m/>
    <m/>
    <s v="30 Prospect Avenue, Hackensack, NJ, 07601"/>
    <s v="G4"/>
    <n v="7"/>
    <s v="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
    <m/>
    <m/>
    <s v="z53rvg"/>
    <s v="Honda"/>
    <s v="ACC"/>
    <s v="NJ"/>
    <m/>
    <m/>
    <m/>
    <m/>
    <s v="deleon_a"/>
    <s v="Complete"/>
    <s v="P.O. Anzour Marza 356"/>
    <s v="A3"/>
    <s v="Det. Demetrius Carroll 133"/>
    <s v="Active/Administratively Closed"/>
    <s v="240 = Theft of Motor Vehicle"/>
    <n v="9"/>
    <d v="2025-02-17T00:00:00"/>
    <d v="1899-12-30T09:31:55"/>
    <d v="1899-12-30T09:00:00"/>
    <s v="Morning Peak (08:00–11:59)"/>
    <s v="Prospect Avenue, 0 Block"/>
    <x v="0"/>
    <s v="YTD"/>
    <d v="1899-12-30T09:31:55"/>
    <x v="13"/>
    <d v="1899-12-30T09:00:00"/>
    <m/>
    <s v="Morning Peak (08:00–11:59)"/>
    <x v="1"/>
    <s v="February"/>
    <n v="2025"/>
    <n v="8"/>
    <n v="4"/>
    <n v="17"/>
    <n v="48"/>
    <s v="Prospect Avenue, 0 Block"/>
    <s v="30 Prospect Avenue, Hackensack, NJ, 07601"/>
    <m/>
    <m/>
    <s v="Honda ACC"/>
    <m/>
    <m/>
    <s v="Same Day"/>
    <x v="3"/>
    <s v="Morning Peak (08:00–11:59)"/>
  </r>
  <r>
    <s v="25-015290"/>
    <n v="45713"/>
    <d v="1899-12-30T10:00:00"/>
    <d v="2025-02-25T00:00:00"/>
    <d v="1899-12-30T23:00:00"/>
    <d v="2025-02-24T00:00:00"/>
    <d v="1899-12-30T23:47:34"/>
    <s v="Motor Vehicle Theft - 2C:20-3"/>
    <m/>
    <m/>
    <s v="430 Washington Avenue, Hackensack, NJ, 07601"/>
    <s v="E3"/>
    <n v="5"/>
    <s v="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
    <m/>
    <m/>
    <s v="8FL4661"/>
    <s v="Honda"/>
    <s v="PILOT"/>
    <s v="MD"/>
    <m/>
    <m/>
    <m/>
    <m/>
    <s v="klosk_j"/>
    <s v="Complete"/>
    <s v="P.O. Denisse Caero 367"/>
    <s v="B2"/>
    <s v="Det. John Tanucilli 335"/>
    <s v="Unfounded / Closed"/>
    <s v="240 = Theft of Motor Vehicle"/>
    <n v="9"/>
    <d v="2025-02-25T00:00:00"/>
    <d v="1899-12-30T10:00:00"/>
    <d v="1899-12-30T10:00:00"/>
    <s v="Morning Peak (08:00–11:59)"/>
    <s v="Washington Avenue, 400 Block"/>
    <x v="0"/>
    <s v="YTD"/>
    <d v="1899-12-30T10:00:00"/>
    <x v="14"/>
    <d v="1899-12-30T10:00:00"/>
    <m/>
    <s v="Morning Peak (08:00–11:59)"/>
    <x v="3"/>
    <s v="February"/>
    <n v="2025"/>
    <n v="9"/>
    <n v="5"/>
    <n v="25"/>
    <n v="56"/>
    <s v="Washington Avenue, 400 Block"/>
    <s v="430 Washington Avenue, Hackensack, NJ, 07601"/>
    <m/>
    <m/>
    <s v="Honda PILOT"/>
    <m/>
    <m/>
    <s v="Within Week"/>
    <x v="3"/>
    <s v="Morning Peak (08:00–11:59)"/>
  </r>
  <r>
    <s v="25-018160"/>
    <n v="45722"/>
    <d v="1899-12-30T22:35:45"/>
    <m/>
    <m/>
    <d v="2025-03-06T00:00:00"/>
    <d v="1899-12-30T22:35:45"/>
    <s v="Burglary - Auto - 2C:18-2"/>
    <m/>
    <m/>
    <s v="216 Central Avenue, Hackensack, NJ, 07601"/>
    <s v="H3"/>
    <n v="8"/>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m/>
    <m/>
    <s v="R64NVW"/>
    <s v="Ford"/>
    <s v="EXP"/>
    <s v="NJ"/>
    <m/>
    <m/>
    <m/>
    <m/>
    <s v="farhi_b"/>
    <s v="Complete"/>
    <s v="P.O. Ruben Almonte 359"/>
    <s v="A3"/>
    <s v="Det. John Tanucilli 335"/>
    <s v="Active/Administratively Closed"/>
    <s v="23F = Theft From Motor Vehicle"/>
    <n v="9"/>
    <d v="2025-03-06T00:00:00"/>
    <d v="1899-12-30T22:35:45"/>
    <d v="1899-12-30T22:00:00"/>
    <s v="Night (20:00–23:59)"/>
    <s v="Central Avenue, 200 Block"/>
    <x v="1"/>
    <s v="YTD"/>
    <d v="1899-12-30T22:35:45"/>
    <x v="15"/>
    <d v="1899-12-30T22:00:00"/>
    <m/>
    <s v="Night (20:00–23:59)"/>
    <x v="6"/>
    <s v="March"/>
    <n v="2025"/>
    <n v="10"/>
    <n v="2"/>
    <n v="6"/>
    <n v="65"/>
    <s v="Central Avenue, 200 Block"/>
    <s v="216 Central Avenue, Hackensack, NJ, 07601"/>
    <m/>
    <m/>
    <s v="Ford EXP"/>
    <m/>
    <m/>
    <s v="Same Day"/>
    <x v="0"/>
    <s v="Night (20:00–23:59)"/>
  </r>
  <r>
    <s v="25-019245"/>
    <n v="45725"/>
    <d v="1899-12-30T19:30:00"/>
    <d v="2025-03-10T00:00:00"/>
    <d v="1899-12-30T08:30:00"/>
    <d v="2025-03-10T00:00:00"/>
    <d v="1899-12-30T08:53:28"/>
    <s v="Burglary - Auto - 2C:18-2"/>
    <m/>
    <m/>
    <s v="282 American Legion Drive, Hackensack, NJ, 07601"/>
    <s v="G3"/>
    <n v="7"/>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m/>
    <m/>
    <s v="K46PXJ"/>
    <s v="HYN"/>
    <s v="TIB"/>
    <s v="NJ"/>
    <m/>
    <m/>
    <m/>
    <m/>
    <s v="klosk_j"/>
    <s v="Complete"/>
    <s v="P.O. Peter Voorhis 380"/>
    <s v="b1"/>
    <s v="Det. Demetrius Carroll 133"/>
    <s v="Active/Administratively Closed"/>
    <s v="23F = Theft From Motor Vehicle"/>
    <n v="9"/>
    <d v="2025-03-09T00:00:00"/>
    <d v="1899-12-30T19:30:00"/>
    <d v="1899-12-30T19:00:00"/>
    <s v="Evening Peak (16:00–19:59)"/>
    <s v="American Legion Drive, 200 Block"/>
    <x v="1"/>
    <s v="YTD"/>
    <d v="1899-12-30T19:30:00"/>
    <x v="16"/>
    <d v="1899-12-30T19:00:00"/>
    <m/>
    <s v="Evening Peak (16:00–19:59)"/>
    <x v="5"/>
    <s v="March"/>
    <n v="2025"/>
    <n v="11"/>
    <n v="3"/>
    <n v="9"/>
    <n v="68"/>
    <s v="American Legion Drive, 200 Block"/>
    <s v="282 American Legion Drive, Hackensack, NJ, 07601"/>
    <m/>
    <m/>
    <s v="HYN TIB"/>
    <m/>
    <m/>
    <s v="Next Day"/>
    <x v="2"/>
    <s v="Evening Peak (16:00–19:59)"/>
  </r>
  <r>
    <s v="25-019756"/>
    <n v="45727"/>
    <d v="1899-12-30T14:30:00"/>
    <m/>
    <m/>
    <d v="2025-03-11T00:00:00"/>
    <d v="1899-12-30T16:34:10"/>
    <s v="Burglary - Auto - 2C:18-2"/>
    <m/>
    <m/>
    <s v="123 Anderson Street, Hackensack, NJ, 07601"/>
    <s v="H3"/>
    <n v="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m/>
    <m/>
    <s v="K87VEF"/>
    <s v="Subaru"/>
    <s v="TRI"/>
    <s v="NJ"/>
    <m/>
    <m/>
    <m/>
    <m/>
    <s v="bay_f"/>
    <s v="Complete"/>
    <s v="P.O. Denisse Caero 367"/>
    <s v="B2"/>
    <s v="Det. Gunther Lara-Nunez 351"/>
    <s v="Active/Administratively Closed"/>
    <s v="23F = Theft From Motor Vehicle"/>
    <n v="9"/>
    <d v="2025-03-11T00:00:00"/>
    <d v="1899-12-30T14:30:00"/>
    <d v="1899-12-30T14:00:00"/>
    <s v="Afternoon (12:00–15:59)"/>
    <s v="Anderson Street, 100 Block"/>
    <x v="1"/>
    <s v="YTD"/>
    <d v="1899-12-30T14:30:00"/>
    <x v="17"/>
    <d v="1899-12-30T14:00:00"/>
    <m/>
    <s v="Afternoon (12:00–15:59)"/>
    <x v="3"/>
    <s v="March"/>
    <n v="2025"/>
    <n v="11"/>
    <n v="3"/>
    <n v="11"/>
    <n v="70"/>
    <s v="Anderson Street, 100 Block"/>
    <s v="123 Anderson Street, Hackensack, NJ, 07601"/>
    <m/>
    <m/>
    <s v="Subaru TRI"/>
    <m/>
    <m/>
    <s v="Same Day"/>
    <x v="1"/>
    <s v="Afternoon (12:00–15:59)"/>
  </r>
  <r>
    <s v="25-022902"/>
    <n v="45737"/>
    <d v="1899-12-30T07:48:00"/>
    <m/>
    <m/>
    <d v="2025-03-21T00:00:00"/>
    <d v="1899-12-30T14:19:53"/>
    <s v="Motor Vehicle Theft - 2C:20-3"/>
    <m/>
    <m/>
    <s v="171 Kenneth Street, Hackensack, NJ, 07601"/>
    <s v="F1"/>
    <n v="6"/>
    <s v="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
    <m/>
    <m/>
    <s v="JWG42F"/>
    <s v="Chevrolet"/>
    <m/>
    <s v="NJ"/>
    <m/>
    <m/>
    <m/>
    <m/>
    <s v="farhi_b"/>
    <s v="Complete"/>
    <s v="P.O. Andres Lopez 375"/>
    <s v="A2"/>
    <s v="Det. Frank Scarpa 348"/>
    <s v="Ex-Cleared / Closed"/>
    <s v="240 = Theft of Motor Vehicle"/>
    <n v="9"/>
    <d v="2025-03-21T00:00:00"/>
    <d v="1899-12-30T07:48:00"/>
    <d v="1899-12-30T07:00:00"/>
    <s v="Morning (04:00–07:59)"/>
    <s v="Kenneth Street, 100 Block"/>
    <x v="0"/>
    <s v="YTD"/>
    <d v="1899-12-30T07:48:00"/>
    <x v="18"/>
    <d v="1899-12-30T07:00:00"/>
    <m/>
    <s v="Morning (04:00–07:59)"/>
    <x v="0"/>
    <s v="March"/>
    <n v="2025"/>
    <n v="12"/>
    <n v="4"/>
    <n v="21"/>
    <n v="80"/>
    <s v="Kenneth Street, 100 Block"/>
    <s v="171 Kenneth Street, Hackensack, NJ, 07601"/>
    <m/>
    <m/>
    <s v="Chevrolet "/>
    <m/>
    <m/>
    <s v="Same Day"/>
    <x v="5"/>
    <s v="Morning (04:00–07:59)"/>
  </r>
  <r>
    <s v="25-023424"/>
    <n v="45739"/>
    <d v="1899-12-30T04:10:00"/>
    <d v="2025-03-23T00:00:00"/>
    <d v="1899-12-30T04:20:00"/>
    <d v="2025-03-23T00:00:00"/>
    <d v="1899-12-30T04:55:22"/>
    <s v="Burglary - Auto - 2C:18-2"/>
    <s v="Criminal Mischief - Vehicle - 2C:17-3"/>
    <m/>
    <s v="24 Pulaski Place, Hackensack, NJ, 07601"/>
    <s v="E3"/>
    <n v="5"/>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m/>
    <m/>
    <s v="m88kxu"/>
    <s v="Ford"/>
    <s v="ECO"/>
    <s v="NJ"/>
    <m/>
    <m/>
    <m/>
    <m/>
    <s v="competiello_fa"/>
    <s v="Complete"/>
    <s v="P.O. Micah Gibson 365"/>
    <s v="A3"/>
    <s v="Det. Demetrius Carroll 133"/>
    <s v="Active/Administratively Closed"/>
    <s v="23F = Theft From Motor Vehicle"/>
    <n v="9"/>
    <d v="2025-03-23T00:00:00"/>
    <d v="1899-12-30T04:10:00"/>
    <d v="1899-12-30T04:00:00"/>
    <s v="Morning (04:00–07:59)"/>
    <s v="Pulaski Place, 0 Block"/>
    <x v="5"/>
    <s v="YTD"/>
    <d v="1899-12-30T04:10:00"/>
    <x v="19"/>
    <d v="1899-12-30T04:00:00"/>
    <m/>
    <s v="Morning (04:00–07:59)"/>
    <x v="5"/>
    <s v="March"/>
    <n v="2025"/>
    <n v="13"/>
    <n v="5"/>
    <n v="23"/>
    <n v="82"/>
    <s v="Pulaski Place, 0 Block"/>
    <s v="24 Pulaski Place, Hackensack, NJ, 07601"/>
    <m/>
    <m/>
    <s v="Ford ECO"/>
    <m/>
    <m/>
    <s v="Same Day"/>
    <x v="5"/>
    <s v="Morning (04:00–07:59)"/>
  </r>
  <r>
    <s v="25-025341"/>
    <n v="45744"/>
    <d v="1899-12-30T20:30:00"/>
    <d v="2025-03-29T00:00:00"/>
    <d v="1899-12-30T10:00:00"/>
    <d v="2025-03-29T00:00:00"/>
    <d v="1899-12-30T10:19:00"/>
    <s v="Motor Vehicle Theft - 2C:20-3"/>
    <m/>
    <m/>
    <s v="296 Berry Street, Hackensack, NJ, 07601"/>
    <s v="H4"/>
    <n v="8"/>
    <s v="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
    <m/>
    <m/>
    <s v="T41VHN"/>
    <s v="Acura"/>
    <s v="TLX"/>
    <s v="NJ"/>
    <m/>
    <m/>
    <m/>
    <m/>
    <s v="competiello_fa"/>
    <s v="Complete"/>
    <s v="P.O. Wanda Rivera 161"/>
    <s v="A1"/>
    <s v="Det. John Tanucilli 335"/>
    <s v="Active/Administratively Closed"/>
    <s v="240 = Theft of Motor Vehicle"/>
    <n v="9"/>
    <d v="2025-03-28T00:00:00"/>
    <d v="1899-12-30T20:30:00"/>
    <d v="1899-12-30T20:00:00"/>
    <s v="Night (20:00–23:59)"/>
    <s v="Berry Street, 200 Block"/>
    <x v="0"/>
    <s v="YTD"/>
    <d v="1899-12-30T20:30:00"/>
    <x v="20"/>
    <d v="1899-12-30T20:00:00"/>
    <m/>
    <s v="Night (20:00–23:59)"/>
    <x v="0"/>
    <s v="March"/>
    <n v="2025"/>
    <n v="13"/>
    <n v="5"/>
    <n v="28"/>
    <n v="87"/>
    <s v="Berry Street, 200 Block"/>
    <s v="296 Berry Street, Hackensack, NJ, 07601"/>
    <m/>
    <m/>
    <s v="Acura TLX"/>
    <m/>
    <m/>
    <s v="Next Day"/>
    <x v="0"/>
    <s v="Night (20:00–23:59)"/>
  </r>
  <r>
    <s v="25-026077"/>
    <n v="45747"/>
    <d v="1899-12-30T18:40:00"/>
    <d v="2025-03-31T00:00:00"/>
    <d v="1899-12-30T22:00:00"/>
    <d v="2025-03-31T00:00:00"/>
    <d v="1899-12-30T22:19:40"/>
    <s v="Burglary - Auto - 2C:18-2"/>
    <s v="Theft - 2C:20-3"/>
    <s v="Criminal Mischief - 2C:17-3"/>
    <s v="Second Street &amp; American Legion Drive, Hackensack, NJ, 07601"/>
    <s v="G3"/>
    <n v="7"/>
    <s v="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
    <m/>
    <m/>
    <s v="J72JJJ"/>
    <s v="Toyota"/>
    <s v="SIENNA"/>
    <s v="NJ"/>
    <m/>
    <m/>
    <m/>
    <m/>
    <s v="farhi_b"/>
    <s v="Complete"/>
    <s v="P.O. Jeffrey Rodriguez 342"/>
    <s v="A2"/>
    <s v="Det. John Tanucilli 335"/>
    <s v="Active/Administratively Closed"/>
    <s v="290 = Destruction/Damage/Vandalism of Property"/>
    <n v="9"/>
    <d v="2025-03-31T00:00:00"/>
    <d v="1899-12-30T18:40:00"/>
    <d v="1899-12-30T18:00:00"/>
    <s v="Evening Peak (16:00–19:59)"/>
    <s v="Street &amp; American Legion Drive, Unknown Block"/>
    <x v="6"/>
    <s v="YTD"/>
    <d v="1899-12-30T18:40:00"/>
    <x v="21"/>
    <d v="1899-12-30T18:00:00"/>
    <m/>
    <s v="Evening Peak (16:00–19:59)"/>
    <x v="1"/>
    <s v="March"/>
    <n v="2025"/>
    <n v="14"/>
    <n v="6"/>
    <n v="31"/>
    <n v="90"/>
    <s v="Street &amp; American Legion Drive, Unknown Block"/>
    <s v="Second Street &amp; American Legion Drive, Hackensack, NJ, 07601"/>
    <m/>
    <m/>
    <s v="Toyota SIENNA"/>
    <m/>
    <m/>
    <s v="Same Day"/>
    <x v="2"/>
    <s v="Evening Peak (16:00–19:59)"/>
  </r>
  <r>
    <s v="25-026113"/>
    <n v="45747"/>
    <d v="1899-12-30T18:00:00"/>
    <m/>
    <m/>
    <d v="2025-04-01T00:00:00"/>
    <d v="1899-12-30T00:53:05"/>
    <s v="Burglary - Auto - 2C:18-2"/>
    <m/>
    <m/>
    <s v="310 Lookout Avenue, Hackensack, NJ, 07601"/>
    <s v="I2"/>
    <m/>
    <s v="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
    <n v="2"/>
    <n v="0"/>
    <s v="imkr57"/>
    <s v="Nissan"/>
    <s v="Rogue"/>
    <s v="NJ"/>
    <m/>
    <m/>
    <m/>
    <m/>
    <s v="farhi_b"/>
    <s v="Complete"/>
    <s v="P.O. Matthew Antista 135"/>
    <s v="A4"/>
    <s v="Det. John Tanucilli 335"/>
    <s v="Complaint Signed"/>
    <s v="290 = Destruction/Damage/Vandalism of Property"/>
    <n v="9"/>
    <d v="2025-03-31T00:00:00"/>
    <d v="1899-12-30T18:00:00"/>
    <d v="1899-12-30T18:00:00"/>
    <s v="Evening Peak (16:00–19:59)"/>
    <s v="Lookout Avenue, 300 Block"/>
    <x v="1"/>
    <s v="YTD"/>
    <d v="1899-12-30T18:00:00"/>
    <x v="21"/>
    <d v="1899-12-30T18:00:00"/>
    <m/>
    <s v="Evening Peak (16:00–19:59)"/>
    <x v="1"/>
    <s v="March"/>
    <n v="2025"/>
    <n v="14"/>
    <n v="6"/>
    <n v="31"/>
    <n v="90"/>
    <s v="Lookout Avenue, 300 Block"/>
    <s v="310 Lookout Avenue, Hackensack, NJ, 07601"/>
    <m/>
    <m/>
    <s v="Nissan Rogue"/>
    <m/>
    <n v="2"/>
    <s v="Next Day"/>
    <x v="2"/>
    <s v="Evening Peak (16:00–19:59)"/>
  </r>
  <r>
    <s v="25-026103"/>
    <n v="45747"/>
    <d v="1899-12-30T20:00:00"/>
    <m/>
    <m/>
    <d v="2025-03-31T00:00:00"/>
    <d v="1899-12-30T23:58:33"/>
    <s v="Burglary - Auto - 2C:18-2"/>
    <m/>
    <m/>
    <s v="310 Lookout Avenue, Hackensack, NJ, 07601"/>
    <s v="I2"/>
    <n v="9"/>
    <s v="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
    <n v="5"/>
    <n v="0"/>
    <s v="utu50w"/>
    <s v="Nissan"/>
    <s v="RGE"/>
    <s v="NJ"/>
    <m/>
    <m/>
    <m/>
    <m/>
    <s v="farhi_b"/>
    <s v="Complete"/>
    <s v="P.O. Matthew Antista 135"/>
    <s v="A4"/>
    <s v="Det. John Tanucilli 335"/>
    <s v="Complaint Signed"/>
    <s v="290 = Destruction/Damage/Vandalism of Property"/>
    <n v="9"/>
    <d v="2025-03-31T00:00:00"/>
    <d v="1899-12-30T20:00:00"/>
    <d v="1899-12-30T20:00:00"/>
    <s v="Night (20:00–23:59)"/>
    <s v="Lookout Avenue, 300 Block"/>
    <x v="1"/>
    <s v="YTD"/>
    <d v="1899-12-30T20:00:00"/>
    <x v="21"/>
    <d v="1899-12-30T20:00:00"/>
    <m/>
    <s v="Night (20:00–23:59)"/>
    <x v="1"/>
    <s v="March"/>
    <n v="2025"/>
    <n v="14"/>
    <n v="6"/>
    <n v="31"/>
    <n v="90"/>
    <s v="Lookout Avenue, 300 Block"/>
    <s v="310 Lookout Avenue, Hackensack, NJ, 07601"/>
    <m/>
    <m/>
    <s v="Nissan RGE"/>
    <m/>
    <n v="5"/>
    <s v="Same Day"/>
    <x v="0"/>
    <s v="Night (20:00–23:59)"/>
  </r>
  <r>
    <s v="25-026357"/>
    <n v="45748"/>
    <d v="1899-12-30T20:28:40"/>
    <m/>
    <m/>
    <d v="2025-04-01T00:00:00"/>
    <d v="1899-12-30T20:28:40"/>
    <s v="Burglary - Auto - 2C:18-2"/>
    <m/>
    <m/>
    <s v="77 Prospect Avenue, Hackensack, NJ, 07601"/>
    <s v="G4"/>
    <n v="7"/>
    <s v="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
    <m/>
    <m/>
    <s v="U57SNU"/>
    <s v="Mazda"/>
    <s v="C30"/>
    <s v="NJ"/>
    <m/>
    <m/>
    <m/>
    <m/>
    <s v="deleon_a"/>
    <s v="Complete"/>
    <s v="P.O. Anzour Marza 356"/>
    <s v="A3"/>
    <s v="Det. John Tanucilli 335"/>
    <s v="Active/Administratively Closed"/>
    <s v="23F = Theft From Motor Vehicle"/>
    <n v="9"/>
    <d v="2025-04-01T00:00:00"/>
    <d v="1899-12-30T20:28:40"/>
    <d v="1899-12-30T20:00:00"/>
    <s v="Night (20:00–23:59)"/>
    <s v="Prospect Avenue, 0 Block"/>
    <x v="1"/>
    <s v="YTD"/>
    <d v="1899-12-30T20:28:40"/>
    <x v="22"/>
    <d v="1899-12-30T20:00:00"/>
    <m/>
    <s v="Night (20:00–23:59)"/>
    <x v="3"/>
    <s v="April"/>
    <n v="2025"/>
    <n v="14"/>
    <n v="1"/>
    <n v="1"/>
    <n v="91"/>
    <s v="Prospect Avenue, 0 Block"/>
    <s v="77 Prospect Avenue, Hackensack, NJ, 07601"/>
    <m/>
    <m/>
    <s v="Mazda C30"/>
    <m/>
    <m/>
    <s v="Same Day"/>
    <x v="0"/>
    <s v="Night (20:00–23:59)"/>
  </r>
  <r>
    <s v="25-028451"/>
    <n v="45755"/>
    <d v="1899-12-30T00:47:00"/>
    <m/>
    <m/>
    <d v="2025-04-08T00:00:00"/>
    <d v="1899-12-30T00:52:33"/>
    <s v="Burglary - Auto - 2C:18-2"/>
    <s v="Suspicious Person"/>
    <s v="Property - Found"/>
    <s v="120 Atlantic Street, Hackensack, NJ, 07601"/>
    <s v="G2"/>
    <n v="7"/>
    <s v="Suspect description: Slim build, black male, approximately 5'11 in height, wearing all black / dark clothing.     On 4/8/25 at approximately 00:52 hours,  I responded to the area of 120 Atlantic Street on a reported suspicious person. It was reported an unknown male suspect attempted to open a vehicle door and fled the area on foot. P.O. Papanikolaou and Sgt. Butler responded to assist.   Upon arrival I met with the complainant / witness, Sherif Abraham. The complainant reported on 4/8/25 at approximately 00:47 hours, he observed the suspect inside vehicle 1 (NJ T21VBK). Vehicle 1 was parked curbside on the north side of Atlantic Street, in front of 118 Atlantic Street. The complainant further reported the suspect fled the area on foot traveling north, last seen jumping the fence of 118 Atlantic Street. The complainant reported while the suspect fled, he dropped a black duffle bag, which was located on the west side of 118 Atlantic Street.  Upon inspecting vehicle 1, the interior did not appear disturbed. Upon further investigation, the front passenger side door to vehicle 1 was left insecure. The front passenger door to vehicle 1 was unable to be secured. Vehicle 1 also had a dash camera fixed to the front windshield. At this time it was unknown if the dash camera was recording / operable.  Upon responding to the west side of 118 Atlantic Street, I observed a medium size black in color &quot;Jordan&quot; duffle bag containing clothing / property. Upon further checking the area, a tied / knotted mint colored small size towel was also observed. All found property was secured in radio car 104.   A DMV check of vehicle 1 was conducted, which resulted the registered owner, Luis Moreno Colmenares, resided at 107 Atlantic Street. P.O. Papanikolaou later responded to 107 Atlantic Street in attempt to locate / speak with the owner, which resulted negative.  A Hackensack Notification Card was completed and secured on vehicle 1. Additionally a Hackensack Notification Card was completed and secured in the mail box of 107 Atlantic Street.   P.O. Estrada and P.O. Mena checked the area in an attempt to locate the suspect, which resulted negative.   At this time, I was unable to confirm vehicle 1 was burglarized or what proceeds may have been stolen from the vehicle. All evidence / found property was transported to headquarters. At headquarters all property was inventoried.   The medium size black in color &quot;Jordan&quot; duffle bag containing a white in color Adidas hat, a pair of white and blue colored socks, black colored shorts, white colored shirt, clear glass bottle of cologne / perfume and a pair of white and orange colored puma sneakers.  The tied / knotted mint colored small size towel contained a black plastic organizing tray inside. Inside the tray contained the following: - A black  plastic ash tray cup- Juicy J's rolling paper(s)- &quot;OCB&quot; slim premium rolling paper(s) with tip(s)- Three multi color plastic lighters - White in color USB car charger - A backwoods magnet - Two &quot;UFOND&quot; headband lights - White colored paper matches - A silver and black in color &quot;driven&quot; ammunition style key chain- $4.53 in assorted change- A small clear glass bottle with a silver in color metal screw cap. Attached to the screw cap was a small silver in color spoon / scooper. Within the bottle contained an unknown white powdered substance (suspected cocaine).    The mint in color towel containing multiple items was later placed in a brown paper bag. The currency was later placed in currency security bag # 0588856. The small clear glass bottle containing the suspected cocaine was later placed in evidence bag # 7824140. All evidence / found property was later secured in evidence locker 6. See evidence report for further.   The immediate area was checked for any other vehicles possibly burglarized with negative results."/>
    <m/>
    <m/>
    <s v="t21vbk"/>
    <s v="BMW"/>
    <s v="530"/>
    <s v="NJ"/>
    <m/>
    <m/>
    <m/>
    <m/>
    <s v="butler_j"/>
    <s v="Complete"/>
    <s v="P.O. Massimo Gallorini 379"/>
    <s v="A2"/>
    <s v="Det. Matthew Dogali 338"/>
    <s v="Active/Administratively Closed"/>
    <s v="23F = Theft From Motor Vehicle"/>
    <n v="9"/>
    <d v="2025-04-08T00:00:00"/>
    <d v="1899-12-30T00:47:00"/>
    <d v="1899-12-30T00:00:00"/>
    <s v="Early Morning (00:00–03:59)"/>
    <s v="Atlantic Street, 100 Block"/>
    <x v="7"/>
    <s v="YTD"/>
    <d v="1899-12-30T00:47:00"/>
    <x v="23"/>
    <d v="1899-12-30T00:00:00"/>
    <m/>
    <s v="Early Morning (00:00–03:59)"/>
    <x v="3"/>
    <s v="April"/>
    <n v="2025"/>
    <n v="15"/>
    <n v="2"/>
    <n v="8"/>
    <n v="98"/>
    <s v="Atlantic Street, 100 Block"/>
    <s v="120 Atlantic Street, Hackensack, NJ, 07601"/>
    <m/>
    <m/>
    <s v="BMW 530"/>
    <m/>
    <m/>
    <s v="Same Day"/>
    <x v="4"/>
    <s v="Early Morning (00:00–03:59)"/>
  </r>
  <r>
    <s v="25-029155"/>
    <n v="45756"/>
    <d v="1899-12-30T23:10:00"/>
    <d v="2025-04-09T00:00:00"/>
    <d v="1899-12-30T23:11:00"/>
    <d v="2025-04-10T00:00:00"/>
    <d v="1899-12-30T13:49:36"/>
    <s v="Burglary - Auto - 2C:18-2"/>
    <m/>
    <m/>
    <s v="283 Summit Avenue, Hackensack, NJ, 07601"/>
    <s v="H5"/>
    <n v="8"/>
    <s v="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
    <m/>
    <m/>
    <s v="Z73VFP"/>
    <s v="Chevrolet"/>
    <s v="SUB"/>
    <s v="NJ"/>
    <m/>
    <m/>
    <m/>
    <m/>
    <s v="bay_f"/>
    <s v="Complete"/>
    <s v="P.O. Roselys Salas 369"/>
    <s v="B4"/>
    <s v="Det. Gunther Lara-Nunez 351"/>
    <s v="Active/Administratively Closed"/>
    <s v="23F = Theft From Motor Vehicle"/>
    <n v="9"/>
    <d v="2025-04-09T00:00:00"/>
    <d v="1899-12-30T23:10:00"/>
    <d v="1899-12-30T23:00:00"/>
    <s v="Night (20:00–23:59)"/>
    <s v="Summit Avenue, 200 Block"/>
    <x v="1"/>
    <s v="YTD"/>
    <d v="1899-12-30T23:10:00"/>
    <x v="24"/>
    <d v="1899-12-30T23:00:00"/>
    <m/>
    <s v="Night (20:00–23:59)"/>
    <x v="2"/>
    <s v="April"/>
    <n v="2025"/>
    <n v="15"/>
    <n v="2"/>
    <n v="9"/>
    <n v="99"/>
    <s v="Summit Avenue, 200 Block"/>
    <s v="283 Summit Avenue, Hackensack, NJ, 07601"/>
    <m/>
    <m/>
    <s v="Chevrolet SUB"/>
    <m/>
    <m/>
    <s v="Next Day"/>
    <x v="0"/>
    <s v="Night (20:00–23:59)"/>
  </r>
  <r>
    <s v="25-030198"/>
    <m/>
    <m/>
    <d v="2025-04-13T00:00:00"/>
    <d v="1899-12-30T16:30:00"/>
    <d v="2025-04-13T00:00:00"/>
    <d v="1899-12-30T16:34:49"/>
    <s v="Burglary - Auto - 2C:18-2"/>
    <s v="Weapons - Unlawful Purposes - 2C:39-4"/>
    <m/>
    <s v="157 Central Avenue, Hackensack, NJ, 07601"/>
    <s v="G3"/>
    <n v="7"/>
    <s v="On April 13, 2025, at approximately 1634 hours, P.O. McCarthy and I were dispatched to 157 Central Ave for a parking complaint. Upon our arrival, arrestee 1, Melanie Curry,  arrestee 2, Tyrone Miles, victim 1, Edwin Vasquez, and victim 2, Mirelis Lopez, were standing in the rear parking lot of 157 Central Ave arguing.  I spoke with arrestee 1, Melanie Curry, who stated that the victim, Edwin Lopez, has been parking in her parking spot, which has been an ongoing problem. Arrestee 1 also stated that she went into the rear seat of the Ford Explorer and took victim 2's pocketbook. She further stated the reason she took the pocketbook was so they would move their vehicle. I spoke with Victim 1, who stated that he was arguing with arrestee 1 and arrestee 2 over parking. Arrestee 2 walked over to the victim's 2005 Honda Accord, silver in color, New Jersey Registration N51UXW, and punctured both front tires with a knife.  I spoke with victim 2, who stated that arrestee 2 walked over to her 2019 Ford Explorer, black in color, New Jersey Registration D478UTT, which was also parked in the parking lot. The arrestee opened the rear door without permission and took out her Michael Kors black pocketbook from the back seat, and brought it into her apartment. See below for a detailed list of the contents of the purse. Victim 2 showed us a video of arrestee 2 puncturing the front tires of victim 1's vehicle. The video shows a black male wearing different clothing than what arrestee 2 was wearing, but you could see that arrestee 2 had the same wedding ring and blue bracelet that he had on his left wrist. Victim 2 further stated that arrestee 2 went into his residence and changed his clothes and sneakers.  Sgt. Briggs and P.O. Marble arrived on the scene to assist. Sgt. Brigg advised me that while he was speaking with arrestee 2, the arrestee admitted that he did puncture the two front tires with a knife. Sgt. Briggs went with the arrestee and retrieved the knife, described at a 10&quot; kitchen knife with a blue handle and five inch blade which he turned over to me to be secured and transported to headquarters.   Both arrestees were placed in handcuffs, arrestee 1 was placed in the rear of patrol vehicle 108, and arrestee 2 was placed in the rear of patrol vehicle 107, Both vehicles were checked before and after for contraband. Both arrestees were searched at the scene and back at headquarters with negative results for additional contraband.  Victim notification forms were filled out and provided to both victims. A Handle with Care form was completed and turned into the front desk.  The knife was placed in an evidence knife box, tagged and placed into evidence locker 1  I contacted DCPP and spoke with Alisha #1357 and informed her of the situation. She advised me that they would not be responding but would be documenting the incident at this time.  Vehicle 1: cost of two tires $300.00 eachGeico Insurance 6168591045 The following items were taken from Vehicle 2 Black Michael Kors pocketbook $300.00wallet                                          $50.00Cash                                           $70.00 Diapers                                       $50.00Medicationa single blank check for the victim's checking account which was loose in the purse. Detective Tanucilli was notified and responded to headquarters to take recorded statements. See his report for further.  Both suspects were processed without incident and Lt. Klosk authored complaints S2025-000176, S2025-000177 on my behalf. The suspects were then released from custody."/>
    <m/>
    <m/>
    <s v="n51uxw"/>
    <s v="Honda"/>
    <s v="ACC"/>
    <s v="NJ"/>
    <s v="d48utt"/>
    <s v="NJ"/>
    <s v="Ford"/>
    <s v="XPL"/>
    <s v="klosk_j"/>
    <s v="Complete"/>
    <s v="P.O. Michael Scangarella 349"/>
    <s v="B2"/>
    <s v="Det. John Tanucilli 335"/>
    <s v="Cleared - Arrest"/>
    <s v="23F = Theft From Motor Vehicle"/>
    <n v="9"/>
    <d v="2025-04-13T00:00:00"/>
    <d v="1899-12-30T16:30:00"/>
    <d v="1899-12-30T16:00:00"/>
    <s v="Evening Peak (16:00–19:59)"/>
    <s v="Central Avenue, 100 Block"/>
    <x v="8"/>
    <s v="YTD"/>
    <d v="1899-12-30T16:30:00"/>
    <x v="25"/>
    <d v="1899-12-30T16:00:00"/>
    <m/>
    <s v="Evening Peak (16:00–19:59)"/>
    <x v="5"/>
    <s v="April"/>
    <n v="2025"/>
    <n v="16"/>
    <n v="3"/>
    <n v="13"/>
    <n v="103"/>
    <s v="Central Avenue, 100 Block"/>
    <s v="157 Central Avenue, Hackensack, NJ, 07601"/>
    <m/>
    <m/>
    <s v="Honda ACC"/>
    <m/>
    <m/>
    <s v="Same Day"/>
    <x v="2"/>
    <s v="Evening Peak (16:00–19:59)"/>
  </r>
  <r>
    <s v="25-031868"/>
    <n v="45766"/>
    <d v="1899-12-30T14:00:00"/>
    <d v="2025-04-19T00:00:00"/>
    <d v="1899-12-30T15:00:00"/>
    <d v="2025-04-19T00:00:00"/>
    <d v="1899-12-30T15:17:07"/>
    <s v="Burglary - Auto - 2C:18-2"/>
    <s v="Theft - 2C:20-3"/>
    <m/>
    <s v="11 Passaic Street, Hackensack, NJ, 07601"/>
    <s v="H1"/>
    <n v="8"/>
    <s v="I responded to the listed location on a report of a burglary. Upon arrival, I spoke to the complainant who explained that both of the vehicles they use for work had been burglarized.    Vehicle 1 is owned by Rusin Doru Electric but is driven by Victim Wilian daily for work. I spoke to Wilian who explained that he had his belongings inside the vehicle while he worked inside the building. He explained that his wallet was in the front passenger seat of the vehicle and the doors were left unlocked. Wilian then further explained that he is consistently grabbing tools out of the vehicle which is why he kept the doors unlocked, he also stated he was near the vehicle at all times except from 1400 to 1500 hours. Wilian then advised that his wallet was taken from the front seat of the vehicle with      His license     1 debit card from TD bank     1 WIC Card     1 ID from Guatemala      $375.00 and     1 key fob for his Acura that is parked at his residence.     Vehicle 2 is owned by Selvin Duarte but is driven daily by the complainant Victor Duarte for work. Victor explained that when they returned to both vehicles at approximately 1500 hours, both glove box compartments were opened. They started searching the vehicles once they realized Wilians wallet was missing, but nothing else was taken.       The vehicles were unable to be processed due to Wilian and Victor touching all handles and items inside.   2 New Jersey Victim Witness notification forms were completed and given to the victims."/>
    <m/>
    <m/>
    <s v="xkem57"/>
    <s v="Ford"/>
    <s v="E25"/>
    <s v="NJ"/>
    <s v="h88kag"/>
    <s v="NJ"/>
    <s v="GMC"/>
    <s v="SIE"/>
    <s v="donnerstag_r"/>
    <s v="Complete"/>
    <s v="P.O. Laura Lopez-Amaya 374"/>
    <s v="B3"/>
    <s v="Det. Gunther Lara-Nunez 351"/>
    <s v="Active/Administratively Closed"/>
    <s v="23F = Theft From Motor Vehicle"/>
    <n v="9"/>
    <d v="2025-04-19T00:00:00"/>
    <d v="1899-12-30T14:00:00"/>
    <d v="1899-12-30T14:00:00"/>
    <s v="Afternoon (12:00–15:59)"/>
    <s v="Passaic Street, 0 Block"/>
    <x v="2"/>
    <s v="YTD"/>
    <d v="1899-12-30T14:00:00"/>
    <x v="26"/>
    <d v="1899-12-30T14:00:00"/>
    <m/>
    <s v="Afternoon (12:00–15:59)"/>
    <x v="4"/>
    <s v="April"/>
    <n v="2025"/>
    <n v="16"/>
    <n v="3"/>
    <n v="19"/>
    <n v="109"/>
    <s v="Passaic Street, 0 Block"/>
    <s v="11 Passaic Street, Hackensack, NJ, 07601"/>
    <m/>
    <m/>
    <s v="Ford E25"/>
    <m/>
    <m/>
    <s v="Same Day"/>
    <x v="1"/>
    <s v="Afternoon (12:00–15:59)"/>
  </r>
  <r>
    <s v="25-032505"/>
    <n v="45755"/>
    <d v="1899-12-30T05:00:00"/>
    <d v="2025-04-10T00:00:00"/>
    <d v="1899-12-30T09:00:00"/>
    <d v="2025-04-21T00:00:00"/>
    <d v="1899-12-30T12:46:50"/>
    <s v="Burglary - Auto - 2C:18-2"/>
    <m/>
    <m/>
    <s v="395 South River Street, Hackensack, NJ, 07601"/>
    <s v="E3"/>
    <n v="5"/>
    <s v="On April 21, 2025 at approximately 12:46 hours, the victim responded to headquarters to report a burglary to his vehicle that happened in the past.  I met with the victim in headquarters where I escorted him to report room 2 to conduct my investigation.       The victim stated that some of his collectable toy cars were stolen from the trunk of the listed vehicle.  The victim believes that the incident occurred at 395 South River Street (John Leckie Bus Company parking lot) between the dates of 04/08/2025 and 04/10/2025, between 05:00 and 09:00 hours.  During those times, the victim parks the listed vehicle in the parking lot of his workplace.  The victim stated that he usually locks his vehicle when it is parked at his workplace but recalls returning to his vehicle on 04/09 and had found his vehicle unlocked.  When asked if he believes the incident occurred elsewhere, the victim stated that he has coworkers that are aware that he keeps his collection of toy cars in his vehicle.  The victim stated that all twenty (20) toy cars are in their original boxes and the approximate total value of them is $600.00.The victim stated that his vehicle was parked in view of surveillance cameras.A New Jersey Victim Notification Form was completed and a copy was provided to the victim.List of property reported stolen:M2-1970 Nissan Fairlady Z432 -A51M2- Coca Cola Pop 1955 Chevy Bel Air Hard Top Custom2025 Gulf Mini Silver Tooned Set2025 M2 Machines Gulf Set and ChaseHot Wheels Silver Series Salt Flat Racers Set"/>
    <m/>
    <m/>
    <s v="G15RSU"/>
    <s v="GEN"/>
    <s v="G80"/>
    <s v="NJ"/>
    <m/>
    <m/>
    <m/>
    <m/>
    <s v="peralta_k"/>
    <s v="Complete"/>
    <s v="P.O. Alexander Reyes 355"/>
    <s v="B4"/>
    <s v="Det. Matthew DeBonis 325"/>
    <s v="Active/Administratively Closed"/>
    <s v="23F = Theft From Motor Vehicle"/>
    <n v="9"/>
    <d v="2025-04-08T00:00:00"/>
    <d v="1899-12-30T05:00:00"/>
    <d v="1899-12-30T05:00:00"/>
    <s v="Morning (04:00–07:59)"/>
    <s v="South River Street, 300 Block"/>
    <x v="1"/>
    <s v="YTD"/>
    <d v="1899-12-30T05:00:00"/>
    <x v="23"/>
    <d v="1899-12-30T05:00:00"/>
    <m/>
    <s v="Morning (04:00–07:59)"/>
    <x v="3"/>
    <s v="April"/>
    <n v="2025"/>
    <n v="15"/>
    <n v="2"/>
    <n v="8"/>
    <n v="98"/>
    <s v="South River Street, 300 Block"/>
    <s v="395 South River Street, Hackensack, NJ, 07601"/>
    <m/>
    <m/>
    <s v="GEN G80"/>
    <m/>
    <m/>
    <s v="Within Month"/>
    <x v="5"/>
    <s v="Morning (04:00–07:59)"/>
  </r>
  <r>
    <s v="25-034836"/>
    <n v="45772"/>
    <d v="1899-12-30T12:00:00"/>
    <d v="2025-04-28T00:00:00"/>
    <d v="1899-12-30T15:00:00"/>
    <d v="2025-04-28T00:00:00"/>
    <d v="1899-12-30T15:57:33"/>
    <s v="Motor Vehicle Theft - 2C:20-3"/>
    <m/>
    <m/>
    <s v="530 West Lookout Avenue, Hackensack, NJ, 07601"/>
    <s v="I2"/>
    <n v="9"/>
    <s v="I responded to the listed location on a report of a motor vehicle theft. Upon arrival, I spoke to the victim who stated the listed vehicle was taken out of her driveway. The victim advised that on Friday, April 25th, 2025 she parked her vehicle in her driveway and left for the weekend. She returned to her residence on April 28th, 2025 and realized the vehicle was missing.    The victim stated she has no possible suspects for the incident.    A New Jersey Victim Witness Notification form was completed and the victim was provided a copy. The victim also stated she would like to have the vehicle processed if it was found. The stolen vehicle check list was completed and given to dispatch to be entered into NCIC. The vehicle was also enetered into the ATTF website.    Total cost of vehicle: $45,000.  Vehicle Insurance:   Policy #: 6173947828         Code: 369"/>
    <m/>
    <m/>
    <s v="G86REG"/>
    <s v="Tesla"/>
    <s v="MOD"/>
    <s v="NJ"/>
    <m/>
    <m/>
    <m/>
    <m/>
    <s v="klosk_j"/>
    <s v="Complete"/>
    <s v="P.O. Laura Lopez-Amaya 374"/>
    <s v="B3"/>
    <s v="Sgt. Francesco Tripodi 134"/>
    <s v="Ex-Cleared / Closed"/>
    <s v="240 = Theft of Motor Vehicle"/>
    <n v="9"/>
    <d v="2025-04-25T00:00:00"/>
    <d v="1899-12-30T12:00:00"/>
    <d v="1899-12-30T12:00:00"/>
    <s v="Afternoon (12:00–15:59)"/>
    <s v="West Lookout Avenue, 500 Block"/>
    <x v="0"/>
    <s v="YTD"/>
    <d v="1899-12-30T12:00:00"/>
    <x v="27"/>
    <d v="1899-12-30T12:00:00"/>
    <m/>
    <s v="Afternoon (12:00–15:59)"/>
    <x v="0"/>
    <s v="April"/>
    <n v="2025"/>
    <n v="17"/>
    <n v="4"/>
    <n v="25"/>
    <n v="115"/>
    <s v="West Lookout Avenue, 500 Block"/>
    <s v="530 West Lookout Avenue, Hackensack, NJ, 07601"/>
    <m/>
    <m/>
    <s v="Tesla MOD"/>
    <m/>
    <m/>
    <s v="Within Week"/>
    <x v="1"/>
    <s v="Afternoon (12:00–15:59)"/>
  </r>
  <r>
    <s v="25-035174"/>
    <n v="45776"/>
    <d v="1899-12-30T13:30:00"/>
    <m/>
    <m/>
    <d v="2025-04-29T00:00:00"/>
    <d v="1899-12-30T14:49:23"/>
    <s v="Motor Vehicle Theft - 2C:20-3"/>
    <m/>
    <m/>
    <s v="240 Prospect Avenue, Hackensack, NJ, 07601"/>
    <s v="H4"/>
    <n v="8"/>
    <s v="On April 29, 2025, I responded to the listed location for a report of a stolen vehicle.  Upon arrival, I spoke to the victim who stated her vehicle was stolen from the guest parking lot.     The victim stated that she parked her vehicle in guest spot #2 facing north at approximately 14:00 hours. The victim returned to her vehicle at approximately 14:40 hours where she realized her vehicle was missing.  Upon review of the surveillance footage, the vehicle was stolen at 14:15 hours.  At 14:14 hours, a blue colored SUV with front flashing lights (unknown registration, make or model) was seen pulling up to the listed vehicle and two white male parties exited.  The driver of the blue colored SUV entered the listed vehicle then fled in the vehicle and was last seen fleeing south on Prospect Avenue.  The other male party got into the driver seat of the blue SUV and also fled south on Prospect Avenue.       The victim was unable to articulate if she had left her vehicle unlocked and/or running but stated that she did not leave the key fob in the vehicle.   The victim stated that she had property that was left in the vehicle which included: a MCM handbag color brown (worth $500.00), her NJ driver's license, a Capital One credit card, a Wells Fargo debit card, hers and her daughter's birth certificates, Social Security card, U.S. Passport, and a car seat (worth approximately $50.00).  The estimated cost for the listed vehicle is $21,000.00. A New Jersey Victim Notification Form was completed and a copy was given to the victim.  The victim stated she does not want her vehicle processed."/>
    <m/>
    <m/>
    <s v="J73SXP"/>
    <s v="Hyundai"/>
    <s v="ELANTA"/>
    <s v="NJ"/>
    <m/>
    <m/>
    <m/>
    <m/>
    <s v="donnerstag_r"/>
    <s v="Complete"/>
    <s v="P.O. Alexander Reyes 355"/>
    <s v="B4"/>
    <s v="Det. John Tanucilli 335"/>
    <s v="Unfounded / Closed"/>
    <s v="240 = Theft of Motor Vehicle"/>
    <n v="9"/>
    <d v="2025-04-29T00:00:00"/>
    <d v="1899-12-30T13:30:00"/>
    <d v="1899-12-30T13:00:00"/>
    <s v="Afternoon (12:00–15:59)"/>
    <s v="Prospect Avenue, 200 Block"/>
    <x v="0"/>
    <s v="YTD"/>
    <d v="1899-12-30T13:30:00"/>
    <x v="28"/>
    <d v="1899-12-30T13:00:00"/>
    <m/>
    <s v="Afternoon (12:00–15:59)"/>
    <x v="3"/>
    <s v="April"/>
    <n v="2025"/>
    <n v="18"/>
    <n v="5"/>
    <n v="29"/>
    <n v="119"/>
    <s v="Prospect Avenue, 200 Block"/>
    <s v="240 Prospect Avenue, Hackensack, NJ, 07601"/>
    <m/>
    <m/>
    <s v="Hyundai ELANTA"/>
    <m/>
    <m/>
    <s v="Same Day"/>
    <x v="1"/>
    <s v="Afternoon (12:00–15:59)"/>
  </r>
  <r>
    <s v="25-036368"/>
    <n v="45717"/>
    <d v="1899-12-30T06:00:00"/>
    <d v="2025-05-03T00:00:00"/>
    <d v="1899-12-30T11:54:00"/>
    <d v="2025-05-03T00:00:00"/>
    <d v="1899-12-30T11:59:36"/>
    <s v="Motor Vehicle Theft - 2C:20-3"/>
    <m/>
    <m/>
    <s v="326 Prospect Avenue, Hackensack, NJ, 07601"/>
    <s v="H4"/>
    <n v="8"/>
    <s v="On 05/03/25, I responded to 326 Prospect Avenue on a report of a motor vehicle theft. Upon arrival, I spoke with the victim who reported her motorcycle (2023 Yamaha CZD black &amp; gray bearing NJ-3HRC7) was stolen from 326 Prospect Avenue Garage Level C #22. The victim stated she last saw the motorcycle on approximately 03/01/25.      The value of the motorcycle was approximately $9,700.00. The victim also stated inside the motorcycles storage compartments were:       Vehicle registration worth approximately $5.00      Helmet worth approximately $375.00      2 pair of leather gloves worth approximately $100.00      Battery Booster approximately $160.00      Miscellaneous Tools worth approximately $50.00           Total lost value approximately $10,390.00      There are surveillance cameras throughout the garage and on each level. Surveillance Camera footage is available per management (Spencer Ross) if requested.      A New Jersey Victim Notification Form was completed. A copy was explained and given to the victim. The victim requested the motorcycle be processed for evidence if located and a Hackensack Police Consent To Search Form was completed and signed by the victim. The vehicle was entered into NCIC and the NJ State Police ATTF web site as stolen."/>
    <m/>
    <m/>
    <s v="3HRC7"/>
    <s v="Yamaha"/>
    <s v="CZD"/>
    <s v="NJ"/>
    <m/>
    <m/>
    <m/>
    <m/>
    <s v="klosk_j"/>
    <s v="Complete"/>
    <s v="P.O. Juda DeOliveira 376"/>
    <s v="A4"/>
    <s v="Det. Matthew Dogali 338"/>
    <s v="Active/Administratively Closed"/>
    <s v="240 = Theft of Motor Vehicle"/>
    <n v="9"/>
    <d v="2025-03-01T00:00:00"/>
    <d v="1899-12-30T06:00:00"/>
    <d v="1899-12-30T06:00:00"/>
    <s v="Morning (04:00–07:59)"/>
    <s v="Prospect Avenue, 300 Block"/>
    <x v="0"/>
    <s v="YTD"/>
    <d v="1899-12-30T06:00:00"/>
    <x v="29"/>
    <d v="1899-12-30T06:00:00"/>
    <m/>
    <s v="Morning (04:00–07:59)"/>
    <x v="4"/>
    <s v="March"/>
    <n v="2025"/>
    <n v="9"/>
    <n v="1"/>
    <n v="1"/>
    <n v="60"/>
    <s v="Prospect Avenue, 300 Block"/>
    <s v="326 Prospect Avenue, Hackensack, NJ, 07601"/>
    <m/>
    <m/>
    <s v="Yamaha CZD"/>
    <m/>
    <m/>
    <s v="Delayed Report"/>
    <x v="5"/>
    <s v="Morning (04:00–07:59)"/>
  </r>
  <r>
    <s v="25-037005"/>
    <n v="45782"/>
    <d v="1899-12-30T15:00:00"/>
    <m/>
    <m/>
    <d v="2025-05-05T00:00:00"/>
    <d v="1899-12-30T18:07:55"/>
    <s v="Motor Vehicle Theft - 2C:20-3"/>
    <s v="Motor Vehicle - Private Property Tow"/>
    <m/>
    <s v="233 Kinderkamack Road, Hackensack, NJ, 07601"/>
    <s v="I4"/>
    <n v="9"/>
    <s v="I responded to the listed address on a motor vehicle theft. Upon arrival I met with the registered owner of vehicle 1 who stated she parked her car in the driveway of 233 Kinderkamack Road at 1500 hours and when she returned at 1700 hours, her car was not there.     Prior to completing this report, P.O. Wouters discovered that Top Gun Towing towed Ms. Rivera's car. She was advised of the private property tow and how to retrieve her vehicle.     Vehicle 1 was taken out of NCIC."/>
    <m/>
    <m/>
    <s v="s41usm"/>
    <s v="Volks"/>
    <s v="JET"/>
    <s v="NJ"/>
    <m/>
    <m/>
    <m/>
    <m/>
    <s v="butler_j"/>
    <s v="Complete"/>
    <s v="P.O. Angelo Vicale 370"/>
    <s v="B3"/>
    <m/>
    <m/>
    <m/>
    <n v="9"/>
    <d v="2025-05-05T00:00:00"/>
    <d v="1899-12-30T15:00:00"/>
    <d v="1899-12-30T15:00:00"/>
    <s v="Afternoon (12:00–15:59)"/>
    <s v="Kinderkamack Road, 200 Block"/>
    <x v="9"/>
    <s v="YTD"/>
    <d v="1899-12-30T15:00:00"/>
    <x v="30"/>
    <d v="1899-12-30T15:00:00"/>
    <m/>
    <s v="Afternoon (12:00–15:59)"/>
    <x v="1"/>
    <s v="May"/>
    <n v="2025"/>
    <n v="19"/>
    <n v="2"/>
    <n v="5"/>
    <n v="125"/>
    <s v="Kinderkamack Road, 200 Block"/>
    <s v="233 Kinderkamack Road, Hackensack, NJ, 07601"/>
    <m/>
    <m/>
    <s v="Volks JET"/>
    <m/>
    <m/>
    <s v="Same Day"/>
    <x v="1"/>
    <s v="Afternoon (12:00–15:59)"/>
  </r>
  <r>
    <s v="25-038971"/>
    <n v="45788"/>
    <d v="1900-03-19T04:00:00"/>
    <d v="2025-05-12T00:00:00"/>
    <d v="1899-12-30T03:21:00"/>
    <d v="2025-05-12T00:00:00"/>
    <d v="1899-12-30T06:50:10"/>
    <s v="Burglary - Auto - 2C:18-2"/>
    <m/>
    <m/>
    <s v="38 Moonachie Road, Hackensack, NJ, 07601"/>
    <s v="E3"/>
    <n v="5"/>
    <s v="On Monday, May 12th, 2025, I responded to the listed location on a burglary report to auto report. Upon arrival, I met with Isaac Martinezestrada (complainant hereafter) of vehicle 1 bearing New Jersey Plate P36RMF, which was parked in parking space 95. The complainant stated he parked the vehicle at approximately 19:00 on 05/11/2025 and was unsure if he had locked the doors. He further stated that he returned to it at approximately 06:45 on 05/12/2025. He also reported that when he returned to the vehicle, he noticed the driver's side door slightly ajar, with his charging cable outside the car. The complainant reported that he noticed his car was rummaged through, and $18.00 was missing from the driver's side compact. He further noted that nothing else was taken, and his vehicle was intact. The complainant also reported having a dash camera facing outwards of the vehicle. He further reported that at approximately 03:21 hours on 05/12/2025, he could hear a person/suspect rummaging through the vehicle. He was advised to save the audio. Sgt. Ghirardi was notified.  I completed a victim's notification form and provided a copy to the complainant. The complainant wanted to sign a complaint if the suspect was to be identified."/>
    <m/>
    <m/>
    <s v="P36RMF"/>
    <s v="Toyota"/>
    <s v="CAM"/>
    <s v="NJ"/>
    <m/>
    <m/>
    <m/>
    <m/>
    <s v="ghirardi_r"/>
    <s v="Complete"/>
    <s v="P.O. Forrod Bonsu 353"/>
    <s v="b1"/>
    <s v="Det. John Tanucilli 335"/>
    <s v="Active/Administratively Closed"/>
    <s v="23F = Theft From Motor Vehicle"/>
    <n v="9"/>
    <d v="2025-05-11T00:00:00"/>
    <d v="1899-12-30T04:00:00"/>
    <d v="1899-12-30T04:00:00"/>
    <s v="Morning (04:00–07:59)"/>
    <s v="Moonachie Road, 0 Block"/>
    <x v="1"/>
    <s v="YTD"/>
    <d v="1899-12-30T04:00:00"/>
    <x v="31"/>
    <d v="1899-12-30T04:00:00"/>
    <m/>
    <s v="Morning (04:00–07:59)"/>
    <x v="5"/>
    <s v="May"/>
    <n v="2025"/>
    <n v="20"/>
    <n v="3"/>
    <n v="11"/>
    <n v="131"/>
    <s v="Moonachie Road, 0 Block"/>
    <s v="38 Moonachie Road, Hackensack, NJ, 07601"/>
    <m/>
    <m/>
    <s v="Toyota CAM"/>
    <m/>
    <m/>
    <s v="Next Day"/>
    <x v="5"/>
    <s v="Morning (04:00–07:59)"/>
  </r>
  <r>
    <s v="25-039778"/>
    <n v="45782"/>
    <d v="1899-12-30T17:47:00"/>
    <m/>
    <m/>
    <d v="2025-05-14T00:00:00"/>
    <d v="1899-12-30T15:30:51"/>
    <s v="Motor Vehicle Theft - 2C:20-3"/>
    <s v="Suspicious Incident"/>
    <m/>
    <s v="520 River Street, Hackensack, NJ, 07601"/>
    <s v="I1"/>
    <n v="9"/>
    <s v="On Wednesday, 05/14/2025, I responded to 520 Hackensack Avenue (All American Ford) for a motor vehicle theft. I met with Mr. Nelson Minier (Complainant), who is the general manager at All American Ford. He reported that Ms. Pegeen Callagy was the lease owner of a black 2022 Ford Bronco. Fusion Auto Finance (victim) owns the rights to the vehicle and made arrangements to pick the vehicle up with a third party towing company. The vehicle was parked and secured on the north side of the Ford lot.      The complainant reported that he has been in contact via e-mail with Mr. Sam Carter, who is the manager at Fusion Auto Finance. After arrangements were confirmed between both of them, Richie's Towing responded on 05/05/2025 at 1747 hours for the vehicle and took possession of the vehicle. Mr. Erol Hasan was the tow truck driver that day. Prior to taking the vehicle, he confirmed the vehicle's identification number and he was given a key fob by an employee at Ford. The complainant further reported that the victim contacted him later reporting the vehicle was never delivered.      Today, Mr. Hasan and Mr. Richard Cazassa (Owner of Richie's Towing) responded to Ford after being notified about the vehicle's whereabouts. Mr. Cazassa reported that he has been doing business with Noriega Towing for some time. He further reported that &quot;Danny Noriega&quot; contacted him about subletting a contract for him to pick the 2022 Bronco. Mr. Cazassa sent Mr. Hasan and the vehicle was towed back to his tow yard. Mr. Cazassa reported that he held the vehicle for an unusual amount of time (4 hours) and then &quot;Danny&quot; sent him a drop off location at JC Penny parking lot at Cherry Hill Mall. Mr. Hasan reported that he gave the vehicle to two (2) young black males and in return he was given $1,000.00 in cash for his services. The total value of the vehicle is approximately $36,000.00. Sgt. Det. Tripodi was notified. To be noted, the complainant reported that Ms. Pegeen Callagy received a suspicious phone call from a towing company wanting to pick up the vehicle from her house, in which she denied."/>
    <m/>
    <m/>
    <m/>
    <s v="Ford"/>
    <s v="BRO"/>
    <m/>
    <m/>
    <m/>
    <m/>
    <m/>
    <s v="klosk_j"/>
    <s v="Complete"/>
    <s v="P.O. Kevin Small 328"/>
    <s v="B2"/>
    <s v="Sgt. Francesco Tripodi 134"/>
    <s v="Active Investigation"/>
    <s v="240 = Theft of Motor Vehicle"/>
    <n v="9"/>
    <d v="2025-05-05T00:00:00"/>
    <d v="1899-12-30T17:47:00"/>
    <d v="1899-12-30T17:00:00"/>
    <s v="Evening Peak (16:00–19:59)"/>
    <s v="River Street, 500 Block"/>
    <x v="10"/>
    <s v="YTD"/>
    <d v="1899-12-30T17:47:00"/>
    <x v="30"/>
    <d v="1899-12-30T17:00:00"/>
    <m/>
    <s v="Evening Peak (16:00–19:59)"/>
    <x v="1"/>
    <s v="May"/>
    <n v="2025"/>
    <n v="19"/>
    <n v="2"/>
    <n v="5"/>
    <n v="125"/>
    <s v="River Street, 500 Block"/>
    <s v="520 River Street, Hackensack, NJ, 07601"/>
    <m/>
    <m/>
    <s v="Ford BRO"/>
    <m/>
    <m/>
    <s v="Within Month"/>
    <x v="2"/>
    <s v="Evening Peak (16:00–19:59)"/>
  </r>
  <r>
    <s v="25-039963"/>
    <n v="45789"/>
    <d v="1899-12-30T19:30:00"/>
    <d v="2025-05-12T00:00:00"/>
    <d v="1899-12-30T20:25:00"/>
    <d v="2025-05-15T00:00:00"/>
    <d v="1899-12-30T08:15:38"/>
    <s v="Motor Vehicle Theft - 2C:20-3"/>
    <m/>
    <m/>
    <s v="South Railroad Avenue &amp; Atlantic Street, Hackensack, NJ, 07601"/>
    <s v="G2"/>
    <m/>
    <s v="On May 15, 2025, at approximately 0815 hours the victim responded to Hackensack Police Headquarters to report a stolen motor vehicle. The victim reported that on May 12, 2025, at approximately 1930 hours he parked vehicle 1 in front of 95 Railroad Avenue facing west. When he returned to his vehicle on May 12, 2025, at approximately 2025 hours his vehicle was gone. He thought housing authority may have taken possession of the vehicle so he waited to ask them if prior to reporting it stolen. The victim further reported that he had placed a lock to prohibit the steering of the vehicle and he had a kill switch for the battery enabled. The victim is unaware of any possible suspects at this time. The approximate value of the vehicle is $1,500.00. The following items were inside the vehicle:     - An air compressor with an approximate value of $50.00     - A gray helmet with an approximate value of $20.00    The total amount stolen was $1,570.00. The victim does not wish to have the vehicle processed if it is recovered. The victim reports there is surveillance cameras in the area where the incident occurred. The victim wants to sign complaints if the suspect is identified. A victim notification form was completed. I submit the stolen vehicle entry into the Auto Theft Task Force web site. Motor vehicle theft checklist was placed in the detectives' box."/>
    <m/>
    <m/>
    <s v="6BHK7"/>
    <s v="QIA"/>
    <s v="JIG"/>
    <s v="NJ"/>
    <m/>
    <m/>
    <m/>
    <m/>
    <s v="knapp_j"/>
    <s v="Complete"/>
    <s v="P.O. Christian Alvarez 364"/>
    <s v="b1"/>
    <s v="Det. Gunther Lara-Nunez 351"/>
    <s v="Active/Administratively Closed"/>
    <s v="240 = Theft of Motor Vehicle"/>
    <n v="9"/>
    <d v="2025-05-12T00:00:00"/>
    <d v="1899-12-30T19:30:00"/>
    <d v="1899-12-30T19:00:00"/>
    <s v="Evening Peak (16:00–19:59)"/>
    <s v="Railroad Avenue &amp; Atlantic Street, Unknown Block"/>
    <x v="0"/>
    <s v="YTD"/>
    <d v="1899-12-30T19:30:00"/>
    <x v="32"/>
    <d v="1899-12-30T19:00:00"/>
    <m/>
    <s v="Evening Peak (16:00–19:59)"/>
    <x v="1"/>
    <s v="May"/>
    <n v="2025"/>
    <n v="20"/>
    <n v="3"/>
    <n v="12"/>
    <n v="132"/>
    <s v="Railroad Avenue &amp; Atlantic Street, Unknown Block"/>
    <s v="South Railroad Avenue &amp; Atlantic Street, Hackensack, NJ, 07601"/>
    <m/>
    <m/>
    <s v="QIA JIG"/>
    <m/>
    <m/>
    <s v="Within Week"/>
    <x v="2"/>
    <s v="Evening Peak (16:00–19:59)"/>
  </r>
  <r>
    <s v="25-041339"/>
    <n v="45795"/>
    <d v="1899-12-30T19:30:00"/>
    <m/>
    <m/>
    <d v="2025-05-19T00:00:00"/>
    <d v="1899-12-30T19:32:34"/>
    <s v="Motor Vehicle Theft - 2C:20-3"/>
    <m/>
    <m/>
    <s v="55 Clinton Place, Hackensack, NJ, 07601"/>
    <s v="I1"/>
    <n v="9"/>
    <s v="On Monday, May 19, 2025 at approximately 1932 hours, I responded to 55 Clinton Place on report of a motor vehicle theft. The victim reported that at approximately 1930 hours on yesterday's date, she parked the listed vehicle in her assigned parking space (#29), located in the rear lot of the listed address.     The victim further reported that she returned to her vehicle the following day, in which she was unable to locate. The victim stated that she spoke to the listed building's property manager who advised that their were no recent tows authorized by management.     The approximate cost of the listed vehicle was $25,000.00. The victim wished to have the vehicle processed for fingerprints if recovered. A Latent Prints Consent Form was completed. A Victim Notification Form was completed and the victim was provided with a copy upon my departure. The listed Vehicle was entered in the NCIC database as stolen. A stolen vehicle entry was submitted through the ATTF web site.     To be noted, the victim was in possession of the vehicle's key fobs at the time this report was taken.      Vehicle Insurance: Progressive / Policy #: 991846756 / Code: 134 / Expiration: 07/16/2025"/>
    <m/>
    <m/>
    <s v="5964HJ"/>
    <s v="Ford"/>
    <s v="ESC"/>
    <s v="NJ"/>
    <m/>
    <m/>
    <m/>
    <m/>
    <s v="peralta_k"/>
    <s v="Complete"/>
    <s v="P.O. Aziah Miller 357"/>
    <s v="A3"/>
    <s v="Sgt. Francesco Tripodi 134"/>
    <s v="Active Investigation"/>
    <s v="240 = Theft of Motor Vehicle"/>
    <n v="9"/>
    <d v="2025-05-18T00:00:00"/>
    <d v="1899-12-30T19:30:00"/>
    <d v="1899-12-30T19:00:00"/>
    <s v="Evening Peak (16:00–19:59)"/>
    <s v="Clinton Place, 0 Block"/>
    <x v="0"/>
    <s v="YTD"/>
    <d v="1899-12-30T19:30:00"/>
    <x v="33"/>
    <d v="1899-12-30T19:00:00"/>
    <m/>
    <s v="Evening Peak (16:00–19:59)"/>
    <x v="5"/>
    <s v="May"/>
    <n v="2025"/>
    <n v="21"/>
    <n v="4"/>
    <n v="18"/>
    <n v="138"/>
    <s v="Clinton Place, 0 Block"/>
    <s v="55 Clinton Place, Hackensack, NJ, 07601"/>
    <m/>
    <m/>
    <s v="Ford ESC"/>
    <m/>
    <m/>
    <s v="Next Day"/>
    <x v="2"/>
    <s v="Evening Peak (16:00–19:59)"/>
  </r>
  <r>
    <s v="25-041571"/>
    <n v="45791"/>
    <d v="1899-12-30T11:15:00"/>
    <m/>
    <m/>
    <d v="2025-05-20T00:00:00"/>
    <d v="1899-12-30T13:30:15"/>
    <s v="Burglary - Auto - 2C:18-2"/>
    <s v="Theft - 2C:20-3"/>
    <m/>
    <s v="461 Passaic Street, Hackensack, NJ, 07601"/>
    <s v="H5"/>
    <n v="8"/>
    <s v="The victim responded to police headquarters on a report of an auto burglary.  The victim reported that on 05/14/2025 at approximately 11:15 hours, she had parked in the handicap parking space in the parking lot of 461 Passaic Street (Family Dollar).  The victim reported that she thought she had locked her vehicle while she was inside the Family Dollar.  An Unknown suspect (s) had entered her vehicle and stolen her handicap parking placard.  The victim reported she exited the store at approximately 11:30 hours on 05/14/2025.  The victim reported that she went from the Family Dollar to Stew Leonard's and parked her vehicle when she noticed that her handicap parking placard was missing or stolen from her vehicle.  A New Jersey Victim notification form was completed."/>
    <m/>
    <m/>
    <s v="P2403495"/>
    <m/>
    <m/>
    <m/>
    <m/>
    <m/>
    <m/>
    <m/>
    <s v="ghirardi_r"/>
    <s v="Complete"/>
    <s v="P.O. Daniel Francavilla 329"/>
    <s v="B4"/>
    <s v="Det. Matthew Dogali 338"/>
    <s v="Active/Administratively Closed"/>
    <s v="23F = Theft From Motor Vehicle"/>
    <n v="9"/>
    <d v="2025-05-14T00:00:00"/>
    <d v="1899-12-30T11:15:00"/>
    <d v="1899-12-30T11:00:00"/>
    <s v="Morning Peak (08:00–11:59)"/>
    <s v="Passaic Street, 400 Block"/>
    <x v="2"/>
    <s v="YTD"/>
    <d v="1899-12-30T11:15:00"/>
    <x v="34"/>
    <d v="1899-12-30T11:00:00"/>
    <m/>
    <s v="Morning Peak (08:00–11:59)"/>
    <x v="2"/>
    <s v="May"/>
    <n v="2025"/>
    <n v="20"/>
    <n v="3"/>
    <n v="14"/>
    <n v="134"/>
    <s v="Passaic Street, 400 Block"/>
    <s v="461 Passaic Street, Hackensack, NJ, 07601"/>
    <m/>
    <m/>
    <m/>
    <m/>
    <m/>
    <s v="Within Week"/>
    <x v="3"/>
    <s v="Morning Peak (08:00–11:59)"/>
  </r>
  <r>
    <s v="25-045625"/>
    <n v="45810"/>
    <d v="1899-12-30T13:40:00"/>
    <d v="2025-06-03T00:00:00"/>
    <d v="1899-12-30T06:00:00"/>
    <d v="2025-06-03T00:00:00"/>
    <d v="1899-12-30T06:10:31"/>
    <s v="Motor Vehicle Theft - 2C:20-3"/>
    <m/>
    <m/>
    <s v="1 University Plaza Drive, Hackensack, NJ, 07601"/>
    <s v="I3"/>
    <n v="9"/>
    <s v="I responded to 1 University Plaza on a report of and Motor Vehicle Theft. Upon arrival the complainant stated his company vehicle had been stolen over night. The complainant stated his worker; Mr. Delgado, parked the vehicle at 1340 hours on June 2, 2025. And when he returned at 0600 hours June 3, 2025 the vehicle was unable to be located. The complainant stated the vehicle was valued at approximately $7,000, and the flooring equipment and materials inside of the vehicle were valued at approximately $25,000. The complainant refused to have the vehicle processed upon recovery. The vehicle information was entered as stolen into NCIC. A completed  MV Theft Checklist was placed in the Detective Bureau Box and a Stolen Vehicle entry was made into Auto Theft Task Force.Vehicle Insurance Code - 017Insurance Policy #- PAC00001097928Detectives were notified."/>
    <m/>
    <m/>
    <s v="XEFE81"/>
    <s v="Ford"/>
    <s v="E35"/>
    <s v="NJ"/>
    <m/>
    <m/>
    <m/>
    <m/>
    <s v="farhi_b"/>
    <s v="Complete"/>
    <s v="P.O. Angie Tabares 363"/>
    <s v="A3"/>
    <s v="Det. Gunther Lara-Nunez 351"/>
    <s v="Active Investigation"/>
    <s v="240 = Theft of Motor Vehicle"/>
    <n v="9"/>
    <d v="2025-06-02T00:00:00"/>
    <d v="1899-12-30T13:40:00"/>
    <d v="1899-12-30T13:00:00"/>
    <s v="Afternoon (12:00–15:59)"/>
    <s v="University Plaza Drive, 0 Block"/>
    <x v="0"/>
    <s v="28-Day"/>
    <d v="1899-12-30T13:40:00"/>
    <x v="35"/>
    <d v="1899-12-30T13:00:00"/>
    <m/>
    <s v="Afternoon (12:00–15:59)"/>
    <x v="1"/>
    <s v="June"/>
    <n v="2025"/>
    <n v="23"/>
    <n v="1"/>
    <n v="2"/>
    <n v="153"/>
    <s v="University Plaza Drive, 0 Block"/>
    <s v="1 University Plaza Drive, Hackensack, NJ, 07601"/>
    <m/>
    <m/>
    <s v="Ford E35"/>
    <m/>
    <m/>
    <s v="Next Day"/>
    <x v="1"/>
    <s v="Afternoon (12:00–15:59)"/>
  </r>
  <r>
    <s v="25-045839"/>
    <n v="45811"/>
    <d v="1899-12-30T19:30:42"/>
    <m/>
    <m/>
    <d v="2025-06-03T00:00:00"/>
    <d v="1899-12-30T19:30:42"/>
    <s v="Motor Vehicle Theft - 2C:20-3"/>
    <m/>
    <m/>
    <s v="160 Overlook Avenue, Hackensack, NJ, 07601"/>
    <s v="G4"/>
    <n v="7"/>
    <s v="On June 3rd, 2025, I responded to 160 Overlook Avenue on a report of a motor vehicle theft. Upon arrival, the victim stated that his motorcycle, bearing NJ Reg 4HXZ4, was stolen from its parking space. The victim stated that he secured his motorcycle in a covered parking garage at the listed address, parking level G3, space #51. The victim reported last observing it on approximately 5/1/25. Estimated value of the motorcycle is $15,000.00 USD, according to the victim.      The victim reported that the parking garage is key fob swipe access only for residents of the building. The interior of the parking area was checked for cameras, yielding negative results. I observed a camera on the exterior of the building, but was unable to determine if they face the garage entrances. The victim stated that the building superintendent was not on scene at this time, therefore I was unable to review potential camera footage. The victim's friend, who he rents the parking space from, stated that he did not observe the motorcycle there on 5/22/25 when he returned from a business trip. Possible window for the theft is from approximately 5/1/25 to 5/22/25. The victim stated that he still had possession of the vehicle's keys.     A NJ Victim Notification Form was completed and a copy was provided to the victim. The listed vehicle was entered into the Auto Theft Task Force website and NCIC. A Motor Vehicle Theft Investigation checklist was completed and submitted to Detective's Bureau. The victim was unable to provide further vehicle information at this time. Sgt. Butler was advised."/>
    <m/>
    <m/>
    <s v="4HXZ4"/>
    <s v="YAM"/>
    <s v="YZF"/>
    <s v="NJ"/>
    <m/>
    <m/>
    <m/>
    <m/>
    <s v="competiello_fa"/>
    <s v="Complete"/>
    <s v="P.O. Anthony Mattalian 83"/>
    <s v="A2"/>
    <s v="Det. John Mora 257"/>
    <s v="Active/Administratively Closed"/>
    <s v="240 = Theft of Motor Vehicle"/>
    <n v="9"/>
    <d v="2025-06-03T00:00:00"/>
    <d v="1899-12-30T19:30:42"/>
    <d v="1899-12-30T19:00:00"/>
    <s v="Evening Peak (16:00–19:59)"/>
    <s v="Overlook Avenue, 100 Block"/>
    <x v="0"/>
    <s v="28-Day"/>
    <d v="1899-12-30T19:30:42"/>
    <x v="36"/>
    <d v="1899-12-30T19:00:00"/>
    <m/>
    <s v="Evening Peak (16:00–19:59)"/>
    <x v="3"/>
    <s v="June"/>
    <n v="2025"/>
    <n v="23"/>
    <n v="1"/>
    <n v="3"/>
    <n v="154"/>
    <s v="Overlook Avenue, 100 Block"/>
    <s v="160 Overlook Avenue, Hackensack, NJ, 07601"/>
    <m/>
    <m/>
    <s v="YAM YZF"/>
    <m/>
    <m/>
    <s v="Same Day"/>
    <x v="2"/>
    <s v="Evening Peak (16:00–19:59)"/>
  </r>
  <r>
    <s v="25-046294"/>
    <n v="45813"/>
    <d v="1899-12-30T06:50:00"/>
    <m/>
    <m/>
    <d v="2025-06-05T00:00:00"/>
    <d v="1899-12-30T06:53:06"/>
    <s v="Burglary - Auto - 2C:18-2"/>
    <s v="Criminal Mischief - 2C:17-3"/>
    <m/>
    <s v="411 Simons Avenue, Hackensack, NJ, 07601"/>
    <s v="F2"/>
    <n v="6"/>
    <s v="On Thursday, June 5th, 2025 at 0704 hours, I responded to 411 Simons Avenue on a burglary to auto. Upon arrival, I met with the complainant who stated he observed three (3) males dressed in black and wearing black masks surrounding the victim's vehicle (NJ-P55UNM).  He observed them smash out the rear passenger side window and enter the vehicle. The complainant yelled at the suspects which caused them to flee.  They fled in a white sedan that had both license plates covered.  The vehicle fled East on Simons Avenue towards South Summit Avenue.     Sgt. Tovbin responded to assist. The registered owner, Denise Nunez was unable to respond.  The registered owner's son, John Nunez, responded. He is the primary user of her vehicle. We observed the rear passenger window completely smashed out with shattered glass in and out of the car. Without touching the vehicle, John Nunez was able to determine that nothing was stolen from his mother's vehicle. The registered owner and John Nunez denied having the vehicle processed for fingerprints.    John Nunez captured the entire incident on a camera affixed to 416 Simons Avenue.  He saved the footage and will send it to the Hackensack Detective's e-mail. The video confirmed everything the complainant reported. John Nunez stated that the cost to repair the smashed out window is approximately $286.05. A New Jersey Victim Notification Form was completed.     There were multiple cameras affixed to the surrounding houses in the area. D/Lt. F. Bay was notified."/>
    <m/>
    <m/>
    <s v="P55UNM"/>
    <s v="Infiniti"/>
    <s v="Q50"/>
    <s v="NJ"/>
    <m/>
    <m/>
    <m/>
    <m/>
    <s v="Dominguez_l"/>
    <s v="Complete"/>
    <s v="P.O. Angelo Vicale 370"/>
    <s v="B3"/>
    <s v="Det. John Tanucilli 335"/>
    <s v="Active Investigation"/>
    <s v="23F = Theft From Motor Vehicle"/>
    <n v="9"/>
    <d v="2025-06-05T00:00:00"/>
    <d v="1899-12-30T06:50:00"/>
    <d v="1899-12-30T06:00:00"/>
    <s v="Morning (04:00–07:59)"/>
    <s v="Simons Avenue, 400 Block"/>
    <x v="11"/>
    <s v="28-Day"/>
    <d v="1899-12-30T06:50:00"/>
    <x v="37"/>
    <d v="1899-12-30T06:00:00"/>
    <m/>
    <s v="Morning (04:00–07:59)"/>
    <x v="6"/>
    <s v="June"/>
    <n v="2025"/>
    <n v="23"/>
    <n v="1"/>
    <n v="5"/>
    <n v="156"/>
    <s v="Simons Avenue, 400 Block"/>
    <s v="411 Simons Avenue, Hackensack, NJ, 07601"/>
    <m/>
    <m/>
    <s v="Infiniti Q50"/>
    <m/>
    <m/>
    <s v="Same Day"/>
    <x v="5"/>
    <s v="Morning (04:00–07:59)"/>
  </r>
  <r>
    <s v="25-046290"/>
    <n v="45813"/>
    <d v="1899-12-30T06:46:00"/>
    <m/>
    <m/>
    <d v="2025-06-05T00:00:00"/>
    <d v="1899-12-30T06:47:22"/>
    <s v="Burglary - Auto - 2C:18-2"/>
    <s v="Criminal Mischief - 2C:17-3"/>
    <m/>
    <s v="39 Union Street, Hackensack, NJ, 07601"/>
    <s v="G2"/>
    <n v="7"/>
    <s v="On June 5, 2025, I responded to the listed location on a report of a burglary to an auto. Upon arrival, I met with the witness, William Ash. The witness reported that as he was responding to his vehicle, he observed two suspects.  Two males with a black ski mask.  The witness described them as a Hispanic male and a Black male. The witness stated that one male was in a vehicle (white Infiniti) and the other male was standing next to a black Infiniti bearing NJ registration EJK4320. The black Infiniti was parked in one of the tenant parking spots. The witness stated that as he walked past the male standing next to the black Infiniti, he observed the passenger-side rear window of that vehicle was shattered. The witness then observed suspect #1 reaching inside of the vehicle. The witness reported that as he turned around in an attempt to copy the registration to the vehicle occupied by Suspect #2, Suspect #1 jumped into the vehicle and they fled Northbound on Railroad Avenue. The witness stated that he observed NJ plates with a &quot;PJ&quot; but was unable to get the remaining characters due to the plate being covered by a tinted glass. Sgt. Tovbin also responded.       The victim responded to her vehicle and stated that she last parked her vehicle on June 4, 2025 at approximately 1900 hours. The victim stated that she is in possession of both of her key fobs and nothing appears to have been taken out of the vehicle. The victim stated that she does not want the vehicle to be processed. The victim received and completed a victim notification form. D/Lt. F. Bay was notified."/>
    <m/>
    <m/>
    <s v="EJK4320"/>
    <s v="Infiniti"/>
    <s v="Q50"/>
    <s v="NY"/>
    <m/>
    <m/>
    <m/>
    <m/>
    <s v="Dominguez_l"/>
    <s v="Complete"/>
    <s v="P.O. Roselys Salas 369"/>
    <s v="B4"/>
    <s v="Det. John Tanucilli 335"/>
    <s v="Active/Administratively Closed"/>
    <s v="240 = Theft of Motor Vehicle"/>
    <n v="9"/>
    <d v="2025-06-05T00:00:00"/>
    <d v="1899-12-30T06:46:00"/>
    <d v="1899-12-30T06:00:00"/>
    <s v="Morning (04:00–07:59)"/>
    <s v="Union Street, 0 Block"/>
    <x v="11"/>
    <s v="28-Day"/>
    <d v="1899-12-30T06:46:00"/>
    <x v="37"/>
    <d v="1899-12-30T06:00:00"/>
    <m/>
    <s v="Morning (04:00–07:59)"/>
    <x v="6"/>
    <s v="June"/>
    <n v="2025"/>
    <n v="23"/>
    <n v="1"/>
    <n v="5"/>
    <n v="156"/>
    <s v="Union Street, 0 Block"/>
    <s v="39 Union Street, Hackensack, NJ, 07601"/>
    <m/>
    <m/>
    <s v="Infiniti Q50"/>
    <m/>
    <m/>
    <s v="Same Day"/>
    <x v="5"/>
    <s v="Morning (04:00–07:59)"/>
  </r>
  <r>
    <s v="25-047026"/>
    <n v="45815"/>
    <d v="1899-12-30T08:30:00"/>
    <d v="2025-06-07T00:00:00"/>
    <d v="1899-12-30T17:09:00"/>
    <d v="2025-06-07T00:00:00"/>
    <d v="1899-12-30T17:14:43"/>
    <s v="Burglary - Auto - 2C:18-2"/>
    <s v="Criminal Mischief - 2C:17-3"/>
    <m/>
    <s v="414 Hackensack Avenue, Hackensack, NJ, 07601"/>
    <s v="I6"/>
    <n v="9"/>
    <s v="On Saturday, May 7, 2025 at approximately 1714 hours, I responded to 414 Hackensack Avenue ona burglary to an auto. Upon arrival, I met with the victim who reporte that an unknown suspect had smashed the rear window of the listed vehicle (NJ Reg. J58VJZ). The victim further reported that the unknown suspect stole her computer bag with various items inside. The victim reported that she parked the listed vehicle in front of 1000 building, on 6/7/2025 at approximately 0830 hours and returned on 6/7/2025 at approximately 1700 hours. The listed vehicle could not be processed due to the victim contaminating the scene.     The victim reported the price to fix the rear window at $1,000.00. The victim reported that an employee advised her that there are no cameras facing the vehicle.Stolen items:                   Price:Black computer bag      $60.00Misc. paperworkColumbia bank checks (unknown account number)Silver Dell laptop             $1,500.00$1,500.00 cashTotal loss: $3,060.00Insurance Information: Statefarm Guaranty InsurancePolicy #2388444-A10-30A     A New Jersey Victim Notification Form was completed and a copy was provided to the victim."/>
    <m/>
    <m/>
    <s v="J58VJZ"/>
    <s v="Subaru"/>
    <s v="FOR"/>
    <s v="NJ"/>
    <m/>
    <m/>
    <m/>
    <m/>
    <s v="ghirardi_r"/>
    <s v="Complete"/>
    <s v="P.O. Maximiliano Anguizaca 368"/>
    <s v="B3"/>
    <s v="Det. Matthew Dogali 338"/>
    <s v="Active/Administratively Closed"/>
    <s v="23F = Theft From Motor Vehicle"/>
    <n v="9"/>
    <d v="2025-06-07T00:00:00"/>
    <d v="1899-12-30T08:30:00"/>
    <d v="1899-12-30T08:00:00"/>
    <s v="Morning Peak (08:00–11:59)"/>
    <s v="Hackensack Avenue, 400 Block"/>
    <x v="11"/>
    <s v="28-Day"/>
    <d v="1899-12-30T08:30:00"/>
    <x v="38"/>
    <d v="1899-12-30T08:00:00"/>
    <m/>
    <s v="Morning Peak (08:00–11:59)"/>
    <x v="4"/>
    <s v="June"/>
    <n v="2025"/>
    <n v="23"/>
    <n v="1"/>
    <n v="7"/>
    <n v="158"/>
    <s v="Hackensack Avenue, 400 Block"/>
    <s v="414 Hackensack Avenue, Hackensack, NJ, 07601"/>
    <m/>
    <m/>
    <s v="Subaru FOR"/>
    <m/>
    <m/>
    <s v="Same Day"/>
    <x v="3"/>
    <s v="Morning Peak (08:00–11:59)"/>
  </r>
  <r>
    <s v="25-047203"/>
    <n v="45816"/>
    <d v="1899-12-30T01:30:00"/>
    <m/>
    <m/>
    <d v="2025-06-08T00:00:00"/>
    <d v="1899-12-30T10:11:05"/>
    <s v="Burglary - Auto - 2C:18-2"/>
    <m/>
    <m/>
    <s v="282 American Legion Drive, Hackensack, NJ, 07601"/>
    <s v="G3"/>
    <n v="7"/>
    <s v="On June 8, 2025, I responded to the listed location on a report of a burglary to auto.  Upon arrival, I met with the victim, Vinnetta Singletary, who stated that her vehicle bearing NJ registration T64KLC was last seen by her daughter without any damage at approximately 0130 hours today. The vehicle was parked facing East near the intersection of American Legion Drive and Second Street. Surveillance cameras belonging to the Hackensack Board of Education were observed in the area but unable to view due the building being closed.     The victim reported she responded to her vehicle at approximately 1000 hours today and observed that her front passenger side window was shattered. The victim also reported that her Michael Kors purse was stolen out of the front passenger seat. The Michael Kors purse's approximate value is about $300.00 USD. The victim stated that the purse contained a lighter valued at $4.00, a tray valued at $25.00, and a finder valued at $8.00.  The total value of items stolen is $329 USD.      The victim did not wish to have the car processed. The victim received a completed victim notification form. Sgt. Tovbin was advised and responded."/>
    <m/>
    <m/>
    <s v="t64klc"/>
    <m/>
    <s v="ESC"/>
    <s v="NJ"/>
    <m/>
    <m/>
    <m/>
    <m/>
    <s v="Dominguez_l"/>
    <s v="Complete"/>
    <s v="P.O. Roselys Salas 369"/>
    <s v="B4"/>
    <s v="Det. John Tanucilli 335"/>
    <s v="Active Investigation"/>
    <s v="23F = Theft From Motor Vehicle"/>
    <n v="9"/>
    <d v="2025-06-08T00:00:00"/>
    <d v="1899-12-30T01:30:00"/>
    <d v="1899-12-30T01:00:00"/>
    <s v="Early Morning (00:00–03:59)"/>
    <s v="American Legion Drive, 200 Block"/>
    <x v="1"/>
    <s v="28-Day"/>
    <d v="1899-12-30T01:30:00"/>
    <x v="39"/>
    <d v="1899-12-30T01:00:00"/>
    <m/>
    <s v="Early Morning (00:00–03:59)"/>
    <x v="5"/>
    <s v="June"/>
    <n v="2025"/>
    <n v="24"/>
    <n v="2"/>
    <n v="8"/>
    <n v="159"/>
    <s v="American Legion Drive, 200 Block"/>
    <s v="282 American Legion Drive, Hackensack, NJ, 07601"/>
    <m/>
    <m/>
    <m/>
    <m/>
    <m/>
    <s v="Same Day"/>
    <x v="4"/>
    <s v="Early Morning (00:00–03:59)"/>
  </r>
  <r>
    <s v="25-048048"/>
    <n v="45819"/>
    <d v="1899-12-30T04:31:00"/>
    <d v="2025-06-11T00:00:00"/>
    <d v="1899-12-30T04:32:00"/>
    <d v="2025-06-11T00:00:00"/>
    <d v="1899-12-30T04:34:09"/>
    <s v="Motor Vehicle Theft - 2C:20-3"/>
    <m/>
    <m/>
    <s v="150 Main Street, Hackensack, NJ, 07601"/>
    <m/>
    <m/>
    <s v="Suspect description: Black male, approximately 30 years old, wearing black hooded sweatshirt, black sweatpants, and black sneakers.   On 6/11/25 I responded to 150 Main Street, on a reported motor vehicle theft. Upon arrival, I made contact with the victim / Amazon driver, Andryk Inojosavalor, who did not speak English. I requested for a Spanish speaking officer. P.O. W Rivera and P.O. Aberde responded. The victim stated he parked his vehicle (bearing NJ Reg V82UPJ) in the parking space right in front of 150 Main Street. The victim further stated on 6/11/25 at approximately 04:31 hours he exited his vehicle. Before the victim entered 150 Main Street to deliver a package, he observed only one person walking toward the direction of his vehicle. The victim reported the vehicle was left on and unlocked when he entered the building. The key to the vehicle was also left in the vehicle. The victim further reported upon arriving back to his vehicle at approximately 04:32 hours he witnessed the suspect drive off with his vehicle going east on Mercer Street. The estimated value of the vehicle is $8,500.00 USD according to the victim.   Headquarters was notified. The vehicle details was put out on a SPEN message.   I then spoke to the concierge, Timothy Rayford, who was not able to provide the video surveillance of the suspect at this time. Mr. Rayford advised he was going to notify his manager and that he would be able to provide me with the video surveillance at a later time. The victim later reported the following items were inside the vehicle at the time of the incident:- Wallet (estimated value is $30.00).- $20.00 USD in the wallet.- 2 License Plates (estimated value is $20.00).- 1 Bank of America Debit Card.- 1 Bank of America Credit Card.- 1 Capital One Debit Card.- 1 Capital One Credit Card.- 1 BJ's Membership Card.- 1 Mercantile Credit Card.- Multiple Amazon Packages that were not delivered yet. The total estimated value of items stolen is $8,570.00.   A NJ Victim Notification Form was completed and a copy was provided to the victim. The stolen vehicle was entered into Auto Theft Task Force and NICIC. A Motor Vehicle Theft Investigation Checklist was completed and submitted to the Detective's Bureau. Sgt. Butler was advised.      A consent to search form was not signed on scene. However, the victim was contacted after the fact and stated that he was unable to respond to headquarters to at this time to since he did not have transportation. He continued that if the car was located he would respond to headquarters to sign a consent to search form."/>
    <m/>
    <m/>
    <s v="v82upj"/>
    <s v="Toyota"/>
    <s v="RUN"/>
    <s v="NJ"/>
    <m/>
    <m/>
    <m/>
    <m/>
    <s v="knapp_j"/>
    <s v="Complete"/>
    <s v="P.O. Massimo Gallorini 379"/>
    <s v="A2"/>
    <s v="Det. Matthew Dogali 338"/>
    <s v="Active Investigation"/>
    <s v="240 = Theft of Motor Vehicle"/>
    <n v="9"/>
    <d v="2025-06-11T00:00:00"/>
    <d v="1899-12-30T04:31:00"/>
    <d v="1899-12-30T04:00:00"/>
    <s v="Morning (04:00–07:59)"/>
    <s v="Main Street, 100 Block"/>
    <x v="0"/>
    <s v="28-Day"/>
    <d v="1899-12-30T04:31:00"/>
    <x v="40"/>
    <d v="1899-12-30T04:00:00"/>
    <m/>
    <s v="Morning (04:00–07:59)"/>
    <x v="2"/>
    <s v="June"/>
    <n v="2025"/>
    <n v="24"/>
    <n v="2"/>
    <n v="11"/>
    <n v="162"/>
    <s v="Main Street, 100 Block"/>
    <s v="150 Main Street, Hackensack, NJ, 07601"/>
    <m/>
    <m/>
    <s v="Toyota RUN"/>
    <m/>
    <m/>
    <s v="Same Day"/>
    <x v="5"/>
    <s v="Morning (04:00–07:59)"/>
  </r>
  <r>
    <s v="25-051110"/>
    <n v="45829"/>
    <d v="1899-12-30T03:40:45"/>
    <m/>
    <m/>
    <d v="2025-06-21T00:00:00"/>
    <d v="1899-12-30T03:45:45"/>
    <s v="Motor Vehicle Theft - 2C:20-3"/>
    <s v="Notification Request"/>
    <m/>
    <s v="20 Atlantic Street, Hackensack, NJ, 07601"/>
    <m/>
    <m/>
    <s v="On 6/21/25 P.O. F. Caneja and I responded to the listed address to investigate the report of a stolen motor vehicle, which was used to commit a crime within the municipality of Ramsey, NJ.   Upon arrival, we spoke to Brittany Perrotti, who is the registered owner of the vehicle. She stated that she parked her vehicle at the entrance level of the Area A garage near the State Street exit at approximately 15:00 hours on 6/20/25, and had no further contact with the vehicle until she was contacted by the Ramsey Police Department. She stated that she was contacted by the Ramsey Police Department and had been notified that her vehicle was used in the commission of a crime. Officers in Ramsey located the vehicle and attempted to make a motor vehicle stop, but were not able to, which then lead the Ramsey Police Department to contact the victim and make a notification.   Afterwards, I checked the location of the Area A garage where the victim stated that she parked her car. The car was not found at the location, there was no broken glass on the ground, and no other signs of theft was found.  The vehicle is described as a black KIA Sportage bearing NJ registration W70RJE. Complaints are to be signed against identified suspects. A victim notification form was completed, and she was provided with a copy. The victim is undecided at this time about having the vehicle processed for latent prints. She was advised that if she wished to do so, that a consent form needed to be completed. Vehicle insurance information is as follows, Code 632 Plymouth Rock Policy number TCA00002035735. Vehicle information was entered into NCIC."/>
    <m/>
    <m/>
    <s v="w70rje"/>
    <s v="KIA"/>
    <s v="SPO"/>
    <s v="NJ"/>
    <m/>
    <m/>
    <m/>
    <m/>
    <s v="Dominguez_l"/>
    <s v="Complete"/>
    <s v="P.O. Jann Aberde 386"/>
    <s v="A1"/>
    <s v="Det. John Tanucilli 335"/>
    <s v="Active Investigation"/>
    <m/>
    <n v="9"/>
    <d v="2025-06-21T00:00:00"/>
    <d v="1899-12-30T03:40:45"/>
    <d v="1899-12-30T03:00:00"/>
    <s v="Early Morning (00:00–03:59)"/>
    <s v="Atlantic Street, 0 Block"/>
    <x v="12"/>
    <s v="28-Day"/>
    <d v="1899-12-30T03:40:45"/>
    <x v="41"/>
    <d v="1899-12-30T03:00:00"/>
    <m/>
    <s v="Early Morning (00:00–03:59)"/>
    <x v="4"/>
    <s v="June"/>
    <n v="2025"/>
    <n v="25"/>
    <n v="3"/>
    <n v="21"/>
    <n v="172"/>
    <s v="Atlantic Street, 0 Block"/>
    <s v="20 Atlantic Street, Hackensack, NJ, 07601"/>
    <m/>
    <m/>
    <s v="KIA SPO"/>
    <m/>
    <m/>
    <s v="Same Day"/>
    <x v="4"/>
    <s v="Early Morning (00:00–03:59)"/>
  </r>
  <r>
    <s v="25-051150"/>
    <n v="45828"/>
    <d v="1899-12-30T23:30:00"/>
    <d v="2025-06-20T00:00:00"/>
    <d v="1899-12-30T09:00:00"/>
    <d v="2025-06-21T00:00:00"/>
    <d v="1899-12-30T09:26:30"/>
    <s v="Burglary - Auto - 2C:18-2"/>
    <s v="Criminal Attempt - 2C:5-1"/>
    <s v="Motor Vehicle Theft - 2C:20-3"/>
    <s v="274 State Street, Hackensack, NJ, 07601"/>
    <s v="H2"/>
    <n v="8"/>
    <s v="On June 21, 2025, at approximately 09:26 hours, I responded in marked radio car #117 to 274 State Street (city parking lot - Area D), for a report of a burglary. Upon arrival, I met with the victim who stated that someone tried to steal his vehicle.     The victim stated that he parked the listed vehicle (NJ/M60JZJ) directly behind 251 Main Street, in a marked parking space (space #20) facing east, at approximately 23:30 hours on the date of 06/20/2025.  He returned to his vehicle on this date at approximately 09:00 hours and noticed that the front passenger side door was left ajar and the rear driver side window was broken.  The victim also noticed that the compartment under the steering wheel was left open and the ignition to the vehicle was tampered with.  The victim stated that the vehicle is no longer functional due to the incident. The victim reported that none of his belongings were missing from the vehicle.  The estimated cost of repairs is approximately $2000.00.     Due to the tampering of the ignition, it appeared that the incident was an attempt to steal the vehicle.  The victim stated that the vehicle has an anti theft system installed.  I observed pry marks on the window sill which led me to believe that burglary tools may have been utilized to gain entry.  Due to the vehicle being contaminated by the victim, the scene was unable to be processed for fingerprints.  There are several cameras in the area that may have captured the incident.  The closest camera to the incident is located on the rear of 270 State Street.  Sgt. Gretkowski was notified of the incident.     A New Jersey Victim Notification Form was completed and a copy was given to the victim.  The victim wishes to be notified if any parties involved can be identified.Vehicle Insurance: Company Code 017, Policy #HPA00002847687."/>
    <m/>
    <m/>
    <s v="M60JZJ"/>
    <s v="Hyundai"/>
    <s v="ELA"/>
    <s v="NJ"/>
    <m/>
    <m/>
    <m/>
    <m/>
    <s v="Dominguez_l"/>
    <s v="Complete"/>
    <s v="P.O. Alexander Reyes 355"/>
    <s v="B4"/>
    <s v="Det. John Tanucilli 335"/>
    <s v="Active Investigation"/>
    <m/>
    <n v="9"/>
    <d v="2025-06-20T00:00:00"/>
    <d v="1899-12-30T23:30:00"/>
    <d v="1899-12-30T23:00:00"/>
    <s v="Night (20:00–23:59)"/>
    <s v="State Street, 200 Block"/>
    <x v="13"/>
    <s v="28-Day"/>
    <d v="1899-12-30T23:30:00"/>
    <x v="42"/>
    <d v="1899-12-30T23:00:00"/>
    <m/>
    <s v="Night (20:00–23:59)"/>
    <x v="0"/>
    <s v="June"/>
    <n v="2025"/>
    <n v="25"/>
    <n v="3"/>
    <n v="20"/>
    <n v="171"/>
    <s v="State Street, 200 Block"/>
    <s v="274 State Street, Hackensack, NJ, 07601"/>
    <m/>
    <m/>
    <s v="Hyundai ELA"/>
    <m/>
    <m/>
    <s v="Next Day"/>
    <x v="0"/>
    <s v="Night (20:00–23:59)"/>
  </r>
  <r>
    <s v="25-051170"/>
    <n v="45829"/>
    <d v="1899-12-30T10:55:00"/>
    <m/>
    <m/>
    <d v="2025-06-21T00:00:00"/>
    <d v="1899-12-30T11:03:13"/>
    <s v="Motor Vehicle Theft - 2C:20-3"/>
    <m/>
    <m/>
    <s v="274 Main Street, Hackensack, NJ, 07601"/>
    <s v="H1"/>
    <n v="8"/>
    <s v="Suspect description: Black male, dressed in all black, wearing a black ski mask.    On Saturday, June 21, 2025 at 1112 hours, Sgt. Gretkowski, P.O. Conlon and I responded to the area of Main Street and Berry Street on a motor vehicle theft. Sgt. Gretkowski was first on scene and he advised communications that this theft occurred approximately 10 minutes in the past. P.O. Conlon and I checked the area with negative results. Communication was advised to announce the stolen vehicle over SPEN.    I met with the victim on Main Street and Berry Street who stated that she parked her vehicle (NJ-S88UJJ) in front of Johnson Library (274 Main Street) and left it running with the doors unlocked. She walked across the street to KD Nutrition (274 1/2 Main Street) where she observed the suspect enter her vehicle. The victim ran across the street to her vehicle, pulled on the car door (which was now locked) then the suspect drove North on Main Street and fled the area.         The victim stated she only had her wallet in the vehicle with contained: 1- New Jersey D.L. Multiple debit/credit cards (All canceled)Approximately $3.00 cashLoose changeCar information (Registration/Insurance)The registered owner was not on scene, but I spoke to him over the phone and he requested the vehicle shall be fingerprinted if located, a consent to the taking of latent prints form was completed. The vehicle had no GPS and approximate value is $34,000. The vehicle was entered into NCIC.A New Jersey Victim Notification Form was completed.  An ATTF entry was made. Insurance information: Cure Auto Insurance (946), Policy #: PANJ089443, Expiration: 09/27/2025"/>
    <m/>
    <m/>
    <s v="S88UJJ"/>
    <s v="Toyota"/>
    <s v="HIG"/>
    <s v="NJ"/>
    <m/>
    <m/>
    <m/>
    <m/>
    <s v="Dominguez_l"/>
    <s v="Complete"/>
    <s v="P.O. Angelo Vicale 370"/>
    <s v="B3"/>
    <s v="Det. Demetrius Carroll 133"/>
    <s v="Active Investigation"/>
    <m/>
    <n v="9"/>
    <d v="2025-06-21T00:00:00"/>
    <d v="1899-12-30T10:55:00"/>
    <d v="1899-12-30T10:00:00"/>
    <s v="Morning Peak (08:00–11:59)"/>
    <s v="Main Street, 200 Block"/>
    <x v="0"/>
    <s v="28-Day"/>
    <d v="1899-12-30T10:55:00"/>
    <x v="41"/>
    <d v="1899-12-30T10:00:00"/>
    <m/>
    <s v="Morning Peak (08:00–11:59)"/>
    <x v="4"/>
    <s v="June"/>
    <n v="2025"/>
    <n v="25"/>
    <n v="3"/>
    <n v="21"/>
    <n v="172"/>
    <s v="Main Street, 200 Block"/>
    <s v="274 Main Street, Hackensack, NJ, 07601"/>
    <m/>
    <m/>
    <s v="Toyota HIG"/>
    <m/>
    <m/>
    <s v="Same Day"/>
    <x v="3"/>
    <s v="Morning Peak (08:00–11:59)"/>
  </r>
  <r>
    <s v="25-051478"/>
    <n v="45829"/>
    <d v="1899-12-30T19:00:00"/>
    <d v="2025-06-22T00:00:00"/>
    <d v="1899-12-30T11:00:00"/>
    <d v="2025-06-22T00:00:00"/>
    <d v="1899-12-30T11:25:43"/>
    <s v="Motor Vehicle Theft - 2C:20-3"/>
    <m/>
    <m/>
    <s v="95 Tracy Place, Hackensack, NJ, 07601"/>
    <s v="G5"/>
    <n v="7"/>
    <s v="I responded to the listed location for a motor vehicle theft. The victim reported that he parked his vehicle on 06/21/2025 at approximately 1900 hours and when he returned to his vehicle on 06/22/2025 at approximately 1100 hours it was gone. The victim further stated that he leaves the passenger door unlocked and a key in the center console of the vehicle.      No security cameras were observed in the area of where the vehicle was last seen.     The victim does not want the vehicle processed if it is located. I completed a New Jersey Victim Notification form and a copy was given to the victim. I completed a Hackensack Police Department MV Theft check list and it was turned into the front desk. The vehicle information was entered into the ATTF website. Vehicle was entered into NCIC as stolen."/>
    <m/>
    <m/>
    <s v="G85RPW"/>
    <s v="Toyota"/>
    <s v="COR"/>
    <s v="NJ_x000a_"/>
    <m/>
    <m/>
    <m/>
    <m/>
    <s v="Dominguez_l"/>
    <s v="Complete"/>
    <s v="P.O. Jacob Price 366"/>
    <s v="B4"/>
    <s v="Det. Demetrius Carroll 133"/>
    <s v="Active Investigation"/>
    <m/>
    <n v="9"/>
    <d v="2025-06-21T00:00:00"/>
    <d v="1899-12-30T19:00:00"/>
    <d v="1899-12-30T19:00:00"/>
    <s v="Evening Peak (16:00–19:59)"/>
    <s v="Tracy Place, 0 Block"/>
    <x v="0"/>
    <s v="28-Day"/>
    <d v="1899-12-30T19:00:00"/>
    <x v="41"/>
    <d v="1899-12-30T19:00:00"/>
    <m/>
    <s v="Evening Peak (16:00–19:59)"/>
    <x v="4"/>
    <s v="June"/>
    <n v="2025"/>
    <n v="25"/>
    <n v="3"/>
    <n v="21"/>
    <n v="172"/>
    <s v="Tracy Place, 0 Block"/>
    <s v="95 Tracy Place, Hackensack, NJ, 07601"/>
    <m/>
    <m/>
    <s v="Toyota COR"/>
    <m/>
    <m/>
    <s v="Next Day"/>
    <x v="2"/>
    <s v="Evening Peak (16:00–19:59)"/>
  </r>
  <r>
    <s v="25-052508"/>
    <n v="45833"/>
    <d v="1899-12-30T13:00:00"/>
    <m/>
    <m/>
    <d v="2025-06-25T00:00:00"/>
    <d v="1899-12-30T13:52:36"/>
    <s v="Burglary - Auto - 2C:18-2"/>
    <m/>
    <m/>
    <s v="355 West Pleasantview Avenue , Hackensack, NJ, 07601"/>
    <s v="F3"/>
    <n v="6"/>
    <s v="On June 25, 2025 I responded to 355W Pleasantview Ave on a report of a burglary to auto. Upon arrival, I met with the victim, David Cohen who stated that he believes his vehicle was burglarized some time after he came home. The victim stated that at approximately 12:45 hours today he came home and parked his vehicle in his assigned parking space (space 28). The victim left the windows rolled down about 6 inches while he went into his residence. Approximately an hour later he went back to his vehicle and discovered the interior in disarray and his belongings left in a mess. There were no signs of forced entry to his vehicle at this time.After further observation he realized his black wallet was stolen along with approximately 80-100 dollars and 3 credit cards. The victim reported the wallet was described as a black wallet with an approximate $10.00 value. Sgt. Tedesco responded to the scene shortly after. The victim did not want his vehicle processed at this time. Detectives were notified and a victim notification form was completed.      The victim reported that at the time of the report there was no fraudulent activity on his credit cards.      Total loss from incident is approximately $90-$110 at this time."/>
    <m/>
    <m/>
    <s v="C58VRT"/>
    <s v="Subaru"/>
    <s v="CRO"/>
    <s v="NJ"/>
    <m/>
    <m/>
    <m/>
    <m/>
    <s v="farhi_b"/>
    <s v="Complete"/>
    <s v="P.O. Anzour Marza 356"/>
    <s v="A3"/>
    <s v="Sgt. Francesco Tripodi 134"/>
    <s v="No Investigation"/>
    <s v="23F = Theft From Motor Vehicle"/>
    <n v="9"/>
    <d v="2025-06-25T00:00:00"/>
    <d v="1899-12-30T13:00:00"/>
    <d v="1899-12-30T13:00:00"/>
    <s v="Afternoon (12:00–15:59)"/>
    <s v="West Pleasantview Avenue, 300 Block"/>
    <x v="1"/>
    <s v="7-Day"/>
    <d v="1899-12-30T13:00:00"/>
    <x v="43"/>
    <d v="1899-12-30T13:00:00"/>
    <m/>
    <s v="Afternoon (12:00–15:59)"/>
    <x v="2"/>
    <s v="June"/>
    <n v="2025"/>
    <n v="26"/>
    <n v="4"/>
    <n v="25"/>
    <n v="176"/>
    <s v="West Pleasantview Avenue, 300 Block"/>
    <s v="355 West Pleasantview Avenue , Hackensack, NJ, 07601"/>
    <m/>
    <m/>
    <s v="Subaru CRO"/>
    <m/>
    <m/>
    <s v="Same Day"/>
    <x v="1"/>
    <s v="Afternoon (12:00–15:59)"/>
  </r>
  <r>
    <s v="25-053984"/>
    <n v="45837"/>
    <d v="1899-12-30T15:00:00"/>
    <d v="2025-06-30T00:00:00"/>
    <d v="1899-12-30T07:33:00"/>
    <d v="2025-06-30T00:00:00"/>
    <d v="1899-12-30T07:33:04"/>
    <s v="Burglary - Auto - 2C:18-2"/>
    <s v="Theft - 2C:20-3"/>
    <m/>
    <s v="33 East Broadway, Hackensack, NJ, 07601"/>
    <s v="E2"/>
    <n v="5"/>
    <s v="I responded to the listed location on a report of a burglary to auto. Upon arrival, I spoke to the complainant who stated that his vehicle was broken into and many of his tools were stolen. The complainant stated that he last saw his vehicle on 6/29/2025 at approximately 1500 hours and it was in tact. On 6/30/2025 at approximately 07:30 hours, he tried opening his vehicle to go to work and realized that the lock had been broken. He then checked the rest of the vehicle and realized many different items were missing along with the ignition being broken.    The complainant stated that he had no possible suspects for the incident. A New Jersey Victim Witness form was completed and the complainant was provided a copy.   List of stolen items: ($5,000.00)            Big Laser: $600            Laser Point: $400            12 Inch Miter Saw: $600             7 Inch Miter Saw: $350             Table Saw: $700             2 Chipping Guns: $500            Concrete Shotgun: $250              2 Compressor hoses: $200            Compressor: $200            Milwaukee: $200            10 Milwaukee Batteries: $1000            D/Sgt. P. Williams was advised."/>
    <m/>
    <m/>
    <s v="F10SMK"/>
    <s v="Ford"/>
    <s v="ECO"/>
    <s v="NJ"/>
    <m/>
    <m/>
    <m/>
    <m/>
    <s v="Dominguez_l"/>
    <s v="Complete"/>
    <s v="P.O. Laura Lopez-Amaya 374"/>
    <s v="B3"/>
    <s v="Det. John Mora 257"/>
    <s v="Active Investigation"/>
    <m/>
    <n v="9"/>
    <d v="2025-06-29T00:00:00"/>
    <d v="1899-12-30T15:00:00"/>
    <d v="1899-12-30T15:00:00"/>
    <s v="Afternoon (12:00–15:59)"/>
    <s v="East Broadway, 0 Block"/>
    <x v="2"/>
    <s v="7-Day"/>
    <d v="1899-12-30T15:00:00"/>
    <x v="44"/>
    <d v="1899-12-30T15:00:00"/>
    <m/>
    <s v="Afternoon (12:00–15:59)"/>
    <x v="5"/>
    <s v="June"/>
    <n v="2025"/>
    <n v="27"/>
    <n v="5"/>
    <n v="29"/>
    <n v="180"/>
    <s v="East Broadway, 0 Block"/>
    <s v="33 East Broadway, Hackensack, NJ, 07601"/>
    <m/>
    <m/>
    <s v="Ford ECO"/>
    <m/>
    <m/>
    <s v="Next Day"/>
    <x v="1"/>
    <s v="Afternoon (12:00–15: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7087B8-6125-4CD8-B97F-E1ED7A7434DE}" name="PivotTable6" cacheId="1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S4:AU8" firstHeaderRow="1" firstDataRow="2" firstDataCol="1" rowPageCount="1" colPageCount="1"/>
  <pivotFields count="4">
    <pivotField axis="axisRow" allDrilled="1" subtotalTop="0" showAll="0" nonAutoSortDefault="1" defaultSubtotal="0" defaultAttributeDrillState="1">
      <items count="2">
        <item x="0"/>
        <item x="1"/>
      </items>
    </pivotField>
    <pivotField axis="axisCol" allDrilled="1" subtotalTop="0" showAll="0" defaultSubtotal="0" defaultAttributeDrillState="1">
      <items count="2">
        <item s="1" x="0"/>
        <item x="1"/>
      </items>
    </pivotField>
    <pivotField dataField="1" subtotalTop="0" showAll="0" defaultSubtotal="0"/>
    <pivotField axis="axisPage" allDrilled="1" subtotalTop="0" showAll="0" dataSourceSort="1" defaultSubtotal="0" defaultAttributeDrillState="1"/>
  </pivotFields>
  <rowFields count="1">
    <field x="0"/>
  </rowFields>
  <rowItems count="3">
    <i>
      <x/>
    </i>
    <i>
      <x v="1"/>
    </i>
    <i t="grand">
      <x/>
    </i>
  </rowItems>
  <colFields count="1">
    <field x="1"/>
  </colFields>
  <colItems count="2">
    <i>
      <x/>
    </i>
    <i t="grand">
      <x/>
    </i>
  </colItems>
  <pageFields count="1">
    <pageField fld="3" hier="30" name="[All_Crimes].[ALL_INCIDENTS].&amp;[Sexual Assault - 2C:14-2b]" cap="Sexual Assault - 2C:14-2b"/>
  </pageFields>
  <dataFields count="1">
    <dataField name="Count of Case Number" fld="2" subtotal="count" baseField="0" baseItem="0"/>
  </dataFields>
  <formats count="60">
    <format dxfId="654">
      <pivotArea type="all" dataOnly="0" outline="0" fieldPosition="0"/>
    </format>
    <format dxfId="653">
      <pivotArea outline="0" collapsedLevelsAreSubtotals="1" fieldPosition="0"/>
    </format>
    <format dxfId="652">
      <pivotArea type="origin" dataOnly="0" labelOnly="1" outline="0" fieldPosition="0"/>
    </format>
    <format dxfId="651">
      <pivotArea field="1" type="button" dataOnly="0" labelOnly="1" outline="0" axis="axisCol" fieldPosition="0"/>
    </format>
    <format dxfId="650">
      <pivotArea type="topRight" dataOnly="0" labelOnly="1" outline="0" fieldPosition="0"/>
    </format>
    <format dxfId="649">
      <pivotArea field="0" type="button" dataOnly="0" labelOnly="1" outline="0" axis="axisRow" fieldPosition="0"/>
    </format>
    <format dxfId="648">
      <pivotArea dataOnly="0" labelOnly="1" fieldPosition="0">
        <references count="1">
          <reference field="0" count="0"/>
        </references>
      </pivotArea>
    </format>
    <format dxfId="647">
      <pivotArea dataOnly="0" labelOnly="1" grandRow="1" outline="0" fieldPosition="0"/>
    </format>
    <format dxfId="646">
      <pivotArea dataOnly="0" labelOnly="1" fieldPosition="0">
        <references count="1">
          <reference field="1" count="2">
            <x v="0"/>
            <x v="1048832"/>
          </reference>
        </references>
      </pivotArea>
    </format>
    <format dxfId="645">
      <pivotArea dataOnly="0" labelOnly="1" grandCol="1" outline="0" fieldPosition="0"/>
    </format>
    <format dxfId="644">
      <pivotArea type="all" dataOnly="0" outline="0" fieldPosition="0"/>
    </format>
    <format dxfId="643">
      <pivotArea outline="0" collapsedLevelsAreSubtotals="1" fieldPosition="0"/>
    </format>
    <format dxfId="642">
      <pivotArea type="origin" dataOnly="0" labelOnly="1" outline="0" fieldPosition="0"/>
    </format>
    <format dxfId="641">
      <pivotArea field="1" type="button" dataOnly="0" labelOnly="1" outline="0" axis="axisCol" fieldPosition="0"/>
    </format>
    <format dxfId="640">
      <pivotArea type="topRight" dataOnly="0" labelOnly="1" outline="0" fieldPosition="0"/>
    </format>
    <format dxfId="639">
      <pivotArea field="0" type="button" dataOnly="0" labelOnly="1" outline="0" axis="axisRow" fieldPosition="0"/>
    </format>
    <format dxfId="638">
      <pivotArea dataOnly="0" labelOnly="1" fieldPosition="0">
        <references count="1">
          <reference field="0" count="0"/>
        </references>
      </pivotArea>
    </format>
    <format dxfId="637">
      <pivotArea dataOnly="0" labelOnly="1" grandRow="1" outline="0" fieldPosition="0"/>
    </format>
    <format dxfId="636">
      <pivotArea dataOnly="0" labelOnly="1" fieldPosition="0">
        <references count="1">
          <reference field="1" count="2">
            <x v="0"/>
            <x v="1048832"/>
          </reference>
        </references>
      </pivotArea>
    </format>
    <format dxfId="635">
      <pivotArea dataOnly="0" labelOnly="1" grandCol="1" outline="0" fieldPosition="0"/>
    </format>
    <format dxfId="634">
      <pivotArea type="all" dataOnly="0" outline="0" fieldPosition="0"/>
    </format>
    <format dxfId="633">
      <pivotArea outline="0" collapsedLevelsAreSubtotals="1" fieldPosition="0"/>
    </format>
    <format dxfId="632">
      <pivotArea type="origin" dataOnly="0" labelOnly="1" outline="0" fieldPosition="0"/>
    </format>
    <format dxfId="631">
      <pivotArea field="1" type="button" dataOnly="0" labelOnly="1" outline="0" axis="axisCol" fieldPosition="0"/>
    </format>
    <format dxfId="630">
      <pivotArea type="topRight" dataOnly="0" labelOnly="1" outline="0" fieldPosition="0"/>
    </format>
    <format dxfId="629">
      <pivotArea field="0" type="button" dataOnly="0" labelOnly="1" outline="0" axis="axisRow" fieldPosition="0"/>
    </format>
    <format dxfId="628">
      <pivotArea dataOnly="0" labelOnly="1" fieldPosition="0">
        <references count="1">
          <reference field="0" count="0"/>
        </references>
      </pivotArea>
    </format>
    <format dxfId="627">
      <pivotArea dataOnly="0" labelOnly="1" grandRow="1" outline="0" fieldPosition="0"/>
    </format>
    <format dxfId="626">
      <pivotArea dataOnly="0" labelOnly="1" fieldPosition="0">
        <references count="1">
          <reference field="1" count="2">
            <x v="0"/>
            <x v="1048832"/>
          </reference>
        </references>
      </pivotArea>
    </format>
    <format dxfId="625">
      <pivotArea dataOnly="0" labelOnly="1" grandCol="1" outline="0" fieldPosition="0"/>
    </format>
    <format dxfId="624">
      <pivotArea type="all" dataOnly="0" outline="0" fieldPosition="0"/>
    </format>
    <format dxfId="623">
      <pivotArea outline="0" collapsedLevelsAreSubtotals="1" fieldPosition="0"/>
    </format>
    <format dxfId="622">
      <pivotArea type="origin" dataOnly="0" labelOnly="1" outline="0" fieldPosition="0"/>
    </format>
    <format dxfId="621">
      <pivotArea field="1" type="button" dataOnly="0" labelOnly="1" outline="0" axis="axisCol" fieldPosition="0"/>
    </format>
    <format dxfId="620">
      <pivotArea type="topRight" dataOnly="0" labelOnly="1" outline="0" fieldPosition="0"/>
    </format>
    <format dxfId="619">
      <pivotArea field="0" type="button" dataOnly="0" labelOnly="1" outline="0" axis="axisRow" fieldPosition="0"/>
    </format>
    <format dxfId="618">
      <pivotArea dataOnly="0" labelOnly="1" fieldPosition="0">
        <references count="1">
          <reference field="0" count="0"/>
        </references>
      </pivotArea>
    </format>
    <format dxfId="617">
      <pivotArea dataOnly="0" labelOnly="1" grandRow="1" outline="0" fieldPosition="0"/>
    </format>
    <format dxfId="616">
      <pivotArea dataOnly="0" labelOnly="1" fieldPosition="0">
        <references count="1">
          <reference field="1" count="2">
            <x v="0"/>
            <x v="1048832"/>
          </reference>
        </references>
      </pivotArea>
    </format>
    <format dxfId="615">
      <pivotArea dataOnly="0" labelOnly="1" grandCol="1" outline="0" fieldPosition="0"/>
    </format>
    <format dxfId="614">
      <pivotArea type="all" dataOnly="0" outline="0" fieldPosition="0"/>
    </format>
    <format dxfId="613">
      <pivotArea outline="0" collapsedLevelsAreSubtotals="1" fieldPosition="0"/>
    </format>
    <format dxfId="612">
      <pivotArea type="origin" dataOnly="0" labelOnly="1" outline="0" fieldPosition="0"/>
    </format>
    <format dxfId="611">
      <pivotArea field="1" type="button" dataOnly="0" labelOnly="1" outline="0" axis="axisCol" fieldPosition="0"/>
    </format>
    <format dxfId="610">
      <pivotArea type="topRight" dataOnly="0" labelOnly="1" outline="0" fieldPosition="0"/>
    </format>
    <format dxfId="609">
      <pivotArea field="0" type="button" dataOnly="0" labelOnly="1" outline="0" axis="axisRow" fieldPosition="0"/>
    </format>
    <format dxfId="608">
      <pivotArea dataOnly="0" labelOnly="1" fieldPosition="0">
        <references count="1">
          <reference field="0" count="0"/>
        </references>
      </pivotArea>
    </format>
    <format dxfId="607">
      <pivotArea dataOnly="0" labelOnly="1" grandRow="1" outline="0" fieldPosition="0"/>
    </format>
    <format dxfId="606">
      <pivotArea dataOnly="0" labelOnly="1" fieldPosition="0">
        <references count="1">
          <reference field="1" count="1">
            <x v="0"/>
          </reference>
        </references>
      </pivotArea>
    </format>
    <format dxfId="605">
      <pivotArea dataOnly="0" labelOnly="1" grandCol="1" outline="0" fieldPosition="0"/>
    </format>
    <format dxfId="178">
      <pivotArea type="all" dataOnly="0" outline="0" fieldPosition="0"/>
    </format>
    <format dxfId="177">
      <pivotArea outline="0" collapsedLevelsAreSubtotals="1" fieldPosition="0"/>
    </format>
    <format dxfId="176">
      <pivotArea type="origin" dataOnly="0" labelOnly="1" outline="0" fieldPosition="0"/>
    </format>
    <format dxfId="175">
      <pivotArea field="1" type="button" dataOnly="0" labelOnly="1" outline="0" axis="axisCol" fieldPosition="0"/>
    </format>
    <format dxfId="174">
      <pivotArea type="topRight" dataOnly="0" labelOnly="1" outline="0" fieldPosition="0"/>
    </format>
    <format dxfId="173">
      <pivotArea field="0" type="button" dataOnly="0" labelOnly="1" outline="0" axis="axisRow" fieldPosition="0"/>
    </format>
    <format dxfId="172">
      <pivotArea dataOnly="0" labelOnly="1" fieldPosition="0">
        <references count="1">
          <reference field="0" count="0"/>
        </references>
      </pivotArea>
    </format>
    <format dxfId="171">
      <pivotArea dataOnly="0" labelOnly="1" grandRow="1" outline="0" fieldPosition="0"/>
    </format>
    <format dxfId="170">
      <pivotArea dataOnly="0" labelOnly="1" fieldPosition="0">
        <references count="1">
          <reference field="1" count="1">
            <x v="0"/>
          </reference>
        </references>
      </pivotArea>
    </format>
    <format dxfId="169">
      <pivotArea dataOnly="0" labelOnly="1" grandCol="1" outline="0" fieldPosition="0"/>
    </format>
  </formats>
  <chartFormats count="8">
    <chartFormat chart="0" format="0" series="1">
      <pivotArea type="data" outline="0" fieldPosition="0">
        <references count="2">
          <reference field="4294967294" count="1" selected="0">
            <x v="0"/>
          </reference>
          <reference field="1" count="1" selected="0">
            <x v="1048832"/>
          </reference>
        </references>
      </pivotArea>
    </chartFormat>
    <chartFormat chart="0" format="1" series="1">
      <pivotArea type="data" outline="0" fieldPosition="0">
        <references count="2">
          <reference field="4294967294" count="1" selected="0">
            <x v="0"/>
          </reference>
          <reference field="1" count="1" selected="0">
            <x v="1048832"/>
          </reference>
        </references>
      </pivotArea>
    </chartFormat>
    <chartFormat chart="0" format="2" series="1">
      <pivotArea type="data" outline="0" fieldPosition="0">
        <references count="2">
          <reference field="4294967294" count="1" selected="0">
            <x v="0"/>
          </reference>
          <reference field="1" count="1" selected="0">
            <x v="1"/>
          </reference>
        </references>
      </pivotArea>
    </chartFormat>
    <chartFormat chart="0" format="3" series="1">
      <pivotArea type="data" outline="0" fieldPosition="0">
        <references count="2">
          <reference field="4294967294" count="1" selected="0">
            <x v="0"/>
          </reference>
          <reference field="1" count="1" selected="0">
            <x v="0"/>
          </reference>
        </references>
      </pivotArea>
    </chartFormat>
    <chartFormat chart="29" format="4" series="1">
      <pivotArea type="data" outline="0" fieldPosition="0">
        <references count="2">
          <reference field="4294967294" count="1" selected="0">
            <x v="0"/>
          </reference>
          <reference field="1" count="1" selected="0">
            <x v="1048832"/>
          </reference>
        </references>
      </pivotArea>
    </chartFormat>
    <chartFormat chart="29" format="5" series="1">
      <pivotArea type="data" outline="0" fieldPosition="0">
        <references count="2">
          <reference field="4294967294" count="1" selected="0">
            <x v="0"/>
          </reference>
          <reference field="1" count="1" selected="0">
            <x v="0"/>
          </reference>
        </references>
      </pivotArea>
    </chartFormat>
    <chartFormat chart="30" format="6" series="1">
      <pivotArea type="data" outline="0" fieldPosition="0">
        <references count="2">
          <reference field="4294967294" count="1" selected="0">
            <x v="0"/>
          </reference>
          <reference field="1" count="1" selected="0">
            <x v="1048832"/>
          </reference>
        </references>
      </pivotArea>
    </chartFormat>
    <chartFormat chart="30" format="7" series="1">
      <pivotArea type="data" outline="0" fieldPosition="0">
        <references count="2">
          <reference field="4294967294" count="1" selected="0">
            <x v="0"/>
          </reference>
          <reference field="1" count="1" selected="0">
            <x v="0"/>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All_Crimes].[ALL_INCIDENTS].&amp;[Sexual Assault - 2C:14-2b]"/>
        <member name="[All_Crimes].[ALL_INCIDENTS].&amp;[Criminal Sexual Contact - 2C:14-3a]"/>
        <member name="[All_Crimes].[ALL_INCIDENTS].&amp;[Sexual Assault - 2C:14-2b - Juvenile Investigation]"/>
        <member name="[All_Crimes].[ALL_INCIDENTS].&amp;[Exceptionally Cleared/Closed - Sexual Assault - 2C:14-2b]"/>
        <member name="[All_Crimes].[ALL_INCIDENTS].&amp;[Criminal Sexual Contact - 2C:14-3a - Juvenile Investigation]"/>
        <member name="[All_Crimes].[ALL_INCIDENTS].&amp;[Mental Health Incident - Sexual Assault - 2C:14-2b - Juvenile Investiga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4"/>
  </rowHierarchiesUsage>
  <colHierarchiesUsage count="1">
    <colHierarchyUsage hierarchyUsage="3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ime_SCRPA_Master_2.0.xlsm!All_Crimes">
        <x15:activeTabTopLevelEntity name="[All_Crim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6E7B34-5BE9-45D9-B5AA-94F35B1E7608}" name="PivotTable7" cacheId="2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H11" firstHeaderRow="1" firstDataRow="2" firstDataCol="1" rowPageCount="2" colPageCount="1"/>
  <pivotFields count="61">
    <pivotField dataField="1" compact="0" outline="0" showAll="0"/>
    <pivotField compact="0"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3">
        <item x="0"/>
        <item x="1"/>
        <item x="2"/>
        <item x="3"/>
        <item x="4"/>
        <item x="5"/>
        <item x="6"/>
        <item x="7"/>
        <item x="8"/>
        <item x="9"/>
        <item x="10"/>
        <item x="11"/>
        <item t="default"/>
      </items>
    </pivotField>
    <pivotField compact="0" outline="0" showAll="0"/>
    <pivotField compact="0" outline="0" showAll="0"/>
    <pivotField axis="axisPage" compact="0" numFmtId="14" outline="0"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 compact="0" outline="0" showAll="0"/>
    <pivotField compact="0" numFmtId="22" outline="0" showAll="0"/>
    <pivotField compact="0" outline="0" showAll="0">
      <items count="7">
        <item x="0"/>
        <item x="1"/>
        <item x="2"/>
        <item x="3"/>
        <item x="4"/>
        <item x="5"/>
        <item t="default"/>
      </items>
    </pivotField>
    <pivotField axis="axisCol" compact="0" outline="0" showAll="0">
      <items count="9">
        <item m="1" x="7"/>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6">
    <i>
      <x/>
    </i>
    <i>
      <x v="1"/>
    </i>
    <i>
      <x v="2"/>
    </i>
    <i>
      <x v="3"/>
    </i>
    <i>
      <x v="4"/>
    </i>
    <i>
      <x v="5"/>
    </i>
  </rowItems>
  <colFields count="1">
    <field x="44"/>
  </colFields>
  <colItems count="7">
    <i>
      <x v="1"/>
    </i>
    <i>
      <x v="2"/>
    </i>
    <i>
      <x v="3"/>
    </i>
    <i>
      <x v="4"/>
    </i>
    <i>
      <x v="5"/>
    </i>
    <i>
      <x v="6"/>
    </i>
    <i>
      <x v="7"/>
    </i>
  </colItems>
  <pageFields count="2">
    <pageField fld="40" hier="-1"/>
    <pageField fld="37" hier="-1"/>
  </pageFields>
  <dataFields count="1">
    <dataField name="Count of Case Number" fld="0" subtotal="count" baseField="0" baseItem="0"/>
  </dataFields>
  <formats count="21">
    <format dxfId="498">
      <pivotArea type="all" dataOnly="0" outline="0" fieldPosition="0"/>
    </format>
    <format dxfId="497">
      <pivotArea outline="0" collapsedLevelsAreSubtotals="1" fieldPosition="0"/>
    </format>
    <format dxfId="496">
      <pivotArea type="origin" dataOnly="0" labelOnly="1" outline="0" fieldPosition="0"/>
    </format>
    <format dxfId="495">
      <pivotArea field="44" type="button" dataOnly="0" labelOnly="1" outline="0" axis="axisCol" fieldPosition="0"/>
    </format>
    <format dxfId="494">
      <pivotArea type="topRight" dataOnly="0" labelOnly="1" outline="0" fieldPosition="0"/>
    </format>
    <format dxfId="493">
      <pivotArea field="43" type="button" dataOnly="0" labelOnly="1" outline="0"/>
    </format>
    <format dxfId="492">
      <pivotArea dataOnly="0" labelOnly="1" outline="0" fieldPosition="0">
        <references count="1">
          <reference field="44" count="0"/>
        </references>
      </pivotArea>
    </format>
    <format dxfId="491">
      <pivotArea type="all" dataOnly="0" outline="0" fieldPosition="0"/>
    </format>
    <format dxfId="490">
      <pivotArea outline="0" collapsedLevelsAreSubtotals="1" fieldPosition="0"/>
    </format>
    <format dxfId="489">
      <pivotArea type="topRight" dataOnly="0" labelOnly="1" outline="0" fieldPosition="0"/>
    </format>
    <format dxfId="488">
      <pivotArea field="43" type="button" dataOnly="0" labelOnly="1" outline="0"/>
    </format>
    <format dxfId="487">
      <pivotArea dataOnly="0" labelOnly="1" outline="0" fieldPosition="0">
        <references count="1">
          <reference field="44" count="0"/>
        </references>
      </pivotArea>
    </format>
    <format dxfId="486">
      <pivotArea field="43" type="button" dataOnly="0" labelOnly="1" outline="0"/>
    </format>
    <format dxfId="485">
      <pivotArea field="43" type="button" dataOnly="0" labelOnly="1" outline="0"/>
    </format>
    <format dxfId="484">
      <pivotArea field="59" type="button" dataOnly="0" labelOnly="1" outline="0" axis="axisRow" fieldPosition="0"/>
    </format>
    <format dxfId="483">
      <pivotArea type="origin" dataOnly="0" labelOnly="1" outline="0" fieldPosition="0"/>
    </format>
    <format dxfId="482">
      <pivotArea field="44" type="button" dataOnly="0" labelOnly="1" outline="0" axis="axisCol" fieldPosition="0"/>
    </format>
    <format dxfId="481">
      <pivotArea type="origin" dataOnly="0" labelOnly="1" outline="0" fieldPosition="0"/>
    </format>
    <format dxfId="480">
      <pivotArea field="44" type="button" dataOnly="0" labelOnly="1" outline="0" axis="axisCol" fieldPosition="0"/>
    </format>
    <format dxfId="479">
      <pivotArea field="59" type="button" dataOnly="0" labelOnly="1" outline="0" axis="axisRow" fieldPosition="0"/>
    </format>
    <format dxfId="478">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788DC1-DBFF-40DC-BB85-7B22BF6E533A}" name="PivotTable2" cacheId="2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26:D29" firstHeaderRow="1" firstDataRow="2" firstDataCol="1" rowPageCount="2" colPageCount="1"/>
  <pivotFields count="61">
    <pivotField dataField="1" compact="0" outline="0" showAll="0"/>
    <pivotField compact="0"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3">
        <item x="0"/>
        <item x="1"/>
        <item x="2"/>
        <item x="3"/>
        <item x="4"/>
        <item x="5"/>
        <item x="6"/>
        <item x="7"/>
        <item x="8"/>
        <item x="9"/>
        <item x="10"/>
        <item x="11"/>
        <item t="default"/>
      </items>
    </pivotField>
    <pivotField compact="0" outline="0" showAll="0"/>
    <pivotField compact="0" outline="0" showAll="0"/>
    <pivotField axis="axisPage" compact="0" numFmtId="14" outline="0" multipleItemSelectionAllowed="1" showAll="0">
      <items count="26">
        <item h="1" x="0"/>
        <item h="1" x="1"/>
        <item h="1" x="2"/>
        <item h="1" x="3"/>
        <item h="1" x="4"/>
        <item h="1" x="5"/>
        <item x="6"/>
        <item x="7"/>
        <item x="8"/>
        <item h="1" x="9"/>
        <item h="1" x="10"/>
        <item h="1" x="11"/>
        <item h="1" x="12"/>
        <item h="1" x="13"/>
        <item h="1" x="14"/>
        <item h="1" x="15"/>
        <item h="1" x="16"/>
        <item h="1" x="17"/>
        <item h="1" x="18"/>
        <item h="1" x="19"/>
        <item h="1" x="20"/>
        <item h="1" x="21"/>
        <item h="1" x="22"/>
        <item h="1" x="23"/>
        <item h="1" x="24"/>
        <item t="default"/>
      </items>
    </pivotField>
    <pivotField compact="0" outline="0" showAll="0"/>
    <pivotField compact="0" numFmtId="22" outline="0" showAll="0"/>
    <pivotField compact="0" outline="0" showAll="0">
      <items count="7">
        <item x="0"/>
        <item x="1"/>
        <item x="2"/>
        <item x="3"/>
        <item x="4"/>
        <item x="5"/>
        <item t="default"/>
      </items>
    </pivotField>
    <pivotField axis="axisCol" compact="0" outline="0" showAll="0">
      <items count="9">
        <item x="4"/>
        <item x="5"/>
        <item x="3"/>
        <item x="0"/>
        <item x="2"/>
        <item x="1"/>
        <item x="6"/>
        <item m="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2">
    <i>
      <x/>
    </i>
    <i>
      <x v="3"/>
    </i>
  </rowItems>
  <colFields count="1">
    <field x="44"/>
  </colFields>
  <colItems count="3">
    <i>
      <x/>
    </i>
    <i>
      <x v="1"/>
    </i>
    <i>
      <x v="3"/>
    </i>
  </colItems>
  <pageFields count="2">
    <pageField fld="40" hier="-1"/>
    <pageField fld="37" hier="-1"/>
  </pageFields>
  <dataFields count="1">
    <dataField name="Count of Case Number" fld="0" subtotal="count" baseField="0" baseItem="0"/>
  </dataFields>
  <formats count="21">
    <format dxfId="519">
      <pivotArea type="all" dataOnly="0" outline="0" fieldPosition="0"/>
    </format>
    <format dxfId="518">
      <pivotArea outline="0" collapsedLevelsAreSubtotals="1" fieldPosition="0"/>
    </format>
    <format dxfId="517">
      <pivotArea type="origin" dataOnly="0" labelOnly="1" outline="0" fieldPosition="0"/>
    </format>
    <format dxfId="516">
      <pivotArea field="44" type="button" dataOnly="0" labelOnly="1" outline="0" axis="axisCol" fieldPosition="0"/>
    </format>
    <format dxfId="515">
      <pivotArea type="topRight" dataOnly="0" labelOnly="1" outline="0" fieldPosition="0"/>
    </format>
    <format dxfId="514">
      <pivotArea field="43" type="button" dataOnly="0" labelOnly="1" outline="0"/>
    </format>
    <format dxfId="513">
      <pivotArea dataOnly="0" labelOnly="1" outline="0" fieldPosition="0">
        <references count="1">
          <reference field="44" count="0"/>
        </references>
      </pivotArea>
    </format>
    <format dxfId="512">
      <pivotArea type="all" dataOnly="0" outline="0" fieldPosition="0"/>
    </format>
    <format dxfId="511">
      <pivotArea outline="0" collapsedLevelsAreSubtotals="1" fieldPosition="0"/>
    </format>
    <format dxfId="510">
      <pivotArea type="topRight" dataOnly="0" labelOnly="1" outline="0" fieldPosition="0"/>
    </format>
    <format dxfId="509">
      <pivotArea field="43" type="button" dataOnly="0" labelOnly="1" outline="0"/>
    </format>
    <format dxfId="508">
      <pivotArea dataOnly="0" labelOnly="1" outline="0" fieldPosition="0">
        <references count="1">
          <reference field="44" count="0"/>
        </references>
      </pivotArea>
    </format>
    <format dxfId="507">
      <pivotArea field="43" type="button" dataOnly="0" labelOnly="1" outline="0"/>
    </format>
    <format dxfId="506">
      <pivotArea field="43" type="button" dataOnly="0" labelOnly="1" outline="0"/>
    </format>
    <format dxfId="505">
      <pivotArea field="59" type="button" dataOnly="0" labelOnly="1" outline="0" axis="axisRow" fieldPosition="0"/>
    </format>
    <format dxfId="504">
      <pivotArea type="origin" dataOnly="0" labelOnly="1" outline="0" fieldPosition="0"/>
    </format>
    <format dxfId="503">
      <pivotArea field="44" type="button" dataOnly="0" labelOnly="1" outline="0" axis="axisCol" fieldPosition="0"/>
    </format>
    <format dxfId="502">
      <pivotArea type="origin" dataOnly="0" labelOnly="1" outline="0" fieldPosition="0"/>
    </format>
    <format dxfId="501">
      <pivotArea field="44" type="button" dataOnly="0" labelOnly="1" outline="0" axis="axisCol" fieldPosition="0"/>
    </format>
    <format dxfId="500">
      <pivotArea field="59" type="button" dataOnly="0" labelOnly="1" outline="0" axis="axisRow" fieldPosition="0"/>
    </format>
    <format dxfId="499">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8D0CC3-9F4F-4AB8-A5B0-A6A58278D2E0}" name="PT_BUR_AUTO_28D" cacheId="2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27:E31" firstHeaderRow="1" firstDataRow="2" firstDataCol="1" rowPageCount="2" colPageCount="1"/>
  <pivotFields count="61">
    <pivotField dataField="1"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5">
        <item x="0"/>
        <item x="1"/>
        <item x="2"/>
        <item x="3"/>
        <item x="4"/>
        <item x="5"/>
        <item x="6"/>
        <item x="7"/>
        <item x="8"/>
        <item x="9"/>
        <item x="10"/>
        <item x="11"/>
        <item x="12"/>
        <item x="13"/>
        <item t="default"/>
      </items>
    </pivotField>
    <pivotField compact="0" outline="0" showAll="0"/>
    <pivotField compact="0" outline="0" showAll="0"/>
    <pivotField axis="axisPage" compact="0" numFmtId="14" outline="0" multipleItemSelectionAllowed="1" showAll="0">
      <items count="46">
        <item h="1" x="1"/>
        <item h="1" x="5"/>
        <item h="1" x="6"/>
        <item h="1" x="12"/>
        <item h="1" x="15"/>
        <item h="1" x="16"/>
        <item h="1" x="17"/>
        <item x="19"/>
        <item x="21"/>
        <item x="22"/>
        <item x="24"/>
        <item h="1" x="0"/>
        <item h="1" x="2"/>
        <item h="1" x="3"/>
        <item h="1" x="4"/>
        <item h="1" x="7"/>
        <item h="1" x="8"/>
        <item h="1" x="9"/>
        <item h="1" x="10"/>
        <item h="1" x="11"/>
        <item h="1" x="13"/>
        <item h="1" x="14"/>
        <item h="1" x="18"/>
        <item h="1" x="20"/>
        <item h="1" x="23"/>
        <item h="1" x="25"/>
        <item h="1" x="26"/>
        <item h="1" x="27"/>
        <item h="1" x="28"/>
        <item h="1" x="29"/>
        <item h="1" x="30"/>
        <item h="1" x="31"/>
        <item h="1" x="32"/>
        <item h="1" x="33"/>
        <item h="1" x="34"/>
        <item h="1" x="35"/>
        <item h="1" x="36"/>
        <item h="1" x="37"/>
        <item h="1" x="38"/>
        <item h="1" x="39"/>
        <item h="1" x="40"/>
        <item h="1" x="41"/>
        <item h="1" x="42"/>
        <item h="1" x="43"/>
        <item h="1" x="44"/>
        <item t="default"/>
      </items>
    </pivotField>
    <pivotField compact="0" outline="0" showAll="0"/>
    <pivotField compact="0" numFmtId="22" outline="0" showAll="0"/>
    <pivotField compact="0" outline="0" showAll="0"/>
    <pivotField axis="axisCol" compact="0" outline="0" showAll="0" nonAutoSortDefault="1">
      <items count="8">
        <item x="5"/>
        <item x="1"/>
        <item x="3"/>
        <item x="6"/>
        <item x="4"/>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3">
    <i>
      <x/>
    </i>
    <i>
      <x v="2"/>
    </i>
    <i>
      <x v="5"/>
    </i>
  </rowItems>
  <colFields count="1">
    <field x="44"/>
  </colFields>
  <colItems count="4">
    <i>
      <x/>
    </i>
    <i>
      <x v="1"/>
    </i>
    <i>
      <x v="2"/>
    </i>
    <i>
      <x v="6"/>
    </i>
  </colItems>
  <pageFields count="2">
    <pageField fld="40" hier="-1"/>
    <pageField fld="37" hier="-1"/>
  </pageFields>
  <dataFields count="1">
    <dataField name="Count of Case Number" fld="0" subtotal="count" baseField="0" baseItem="0"/>
  </dataFields>
  <formats count="29">
    <format dxfId="401">
      <pivotArea dataOnly="0" labelOnly="1" outline="0" fieldPosition="0">
        <references count="1">
          <reference field="44" count="0"/>
        </references>
      </pivotArea>
    </format>
    <format dxfId="400">
      <pivotArea type="origin" dataOnly="0" labelOnly="1" outline="0" fieldPosition="0"/>
    </format>
    <format dxfId="399">
      <pivotArea field="44" type="button" dataOnly="0" labelOnly="1" outline="0" axis="axisCol" fieldPosition="0"/>
    </format>
    <format dxfId="398">
      <pivotArea type="topRight" dataOnly="0" labelOnly="1" outline="0" fieldPosition="0"/>
    </format>
    <format dxfId="397">
      <pivotArea dataOnly="0" labelOnly="1" outline="0" fieldPosition="0">
        <references count="1">
          <reference field="44" count="0"/>
        </references>
      </pivotArea>
    </format>
    <format dxfId="396">
      <pivotArea type="origin" dataOnly="0" labelOnly="1" outline="0" fieldPosition="0"/>
    </format>
    <format dxfId="395">
      <pivotArea field="44" type="button" dataOnly="0" labelOnly="1" outline="0" axis="axisCol" fieldPosition="0"/>
    </format>
    <format dxfId="394">
      <pivotArea type="topRight" dataOnly="0" labelOnly="1" outline="0" fieldPosition="0"/>
    </format>
    <format dxfId="393">
      <pivotArea type="origin" dataOnly="0" labelOnly="1" outline="0" fieldPosition="0"/>
    </format>
    <format dxfId="392">
      <pivotArea field="44" type="button" dataOnly="0" labelOnly="1" outline="0" axis="axisCol" fieldPosition="0"/>
    </format>
    <format dxfId="391">
      <pivotArea type="origin" dataOnly="0" labelOnly="1" outline="0" fieldPosition="0"/>
    </format>
    <format dxfId="390">
      <pivotArea field="44" type="button" dataOnly="0" labelOnly="1" outline="0" axis="axisCol" fieldPosition="0"/>
    </format>
    <format dxfId="389">
      <pivotArea type="topRight" dataOnly="0" labelOnly="1" outline="0" fieldPosition="0"/>
    </format>
    <format dxfId="388">
      <pivotArea outline="0" collapsedLevelsAreSubtotals="1" fieldPosition="0"/>
    </format>
    <format dxfId="387">
      <pivotArea dataOnly="0" labelOnly="1" outline="0" fieldPosition="0">
        <references count="1">
          <reference field="59" count="0"/>
        </references>
      </pivotArea>
    </format>
    <format dxfId="386">
      <pivotArea dataOnly="0" labelOnly="1" outline="0" fieldPosition="0">
        <references count="1">
          <reference field="59" count="0"/>
        </references>
      </pivotArea>
    </format>
    <format dxfId="385">
      <pivotArea field="59" type="button" dataOnly="0" labelOnly="1" outline="0" axis="axisRow" fieldPosition="0"/>
    </format>
    <format dxfId="384">
      <pivotArea type="origin" dataOnly="0" labelOnly="1" outline="0" fieldPosition="0"/>
    </format>
    <format dxfId="383">
      <pivotArea field="44" type="button" dataOnly="0" labelOnly="1" outline="0" axis="axisCol" fieldPosition="0"/>
    </format>
    <format dxfId="382">
      <pivotArea type="topRight" dataOnly="0" labelOnly="1" outline="0" fieldPosition="0"/>
    </format>
    <format dxfId="381">
      <pivotArea type="all" dataOnly="0" outline="0" fieldPosition="0"/>
    </format>
    <format dxfId="380">
      <pivotArea outline="0" collapsedLevelsAreSubtotals="1" fieldPosition="0"/>
    </format>
    <format dxfId="379">
      <pivotArea type="origin" dataOnly="0" labelOnly="1" outline="0" fieldPosition="0"/>
    </format>
    <format dxfId="378">
      <pivotArea field="44" type="button" dataOnly="0" labelOnly="1" outline="0" axis="axisCol" fieldPosition="0"/>
    </format>
    <format dxfId="377">
      <pivotArea type="topRight" dataOnly="0" labelOnly="1" outline="0" fieldPosition="0"/>
    </format>
    <format dxfId="376">
      <pivotArea field="59" type="button" dataOnly="0" labelOnly="1" outline="0" axis="axisRow" fieldPosition="0"/>
    </format>
    <format dxfId="375">
      <pivotArea dataOnly="0" labelOnly="1" outline="0" fieldPosition="0">
        <references count="1">
          <reference field="59" count="0"/>
        </references>
      </pivotArea>
    </format>
    <format dxfId="374">
      <pivotArea dataOnly="0" labelOnly="1" outline="0" fieldPosition="0">
        <references count="1">
          <reference field="44" count="0"/>
        </references>
      </pivotArea>
    </format>
    <format dxfId="373">
      <pivotArea dataOnly="0" labelOnly="1" outline="0" fieldPosition="0">
        <references count="1">
          <reference field="40"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EFBEEAF-0588-4EC2-A100-0728475D107D}" name="PT_BUR_AUTO_YTD" cacheId="2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H11" firstHeaderRow="1" firstDataRow="2" firstDataCol="1" rowPageCount="2" colPageCount="1"/>
  <pivotFields count="61">
    <pivotField dataField="1"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5">
        <item x="0"/>
        <item x="1"/>
        <item x="2"/>
        <item x="3"/>
        <item x="4"/>
        <item x="5"/>
        <item x="6"/>
        <item x="7"/>
        <item x="8"/>
        <item x="9"/>
        <item x="10"/>
        <item x="11"/>
        <item x="12"/>
        <item x="13"/>
        <item t="default"/>
      </items>
    </pivotField>
    <pivotField compact="0" outline="0" showAll="0"/>
    <pivotField compact="0" outline="0" showAll="0"/>
    <pivotField axis="axisPage" compact="0" numFmtId="14" outline="0" multipleItemSelectionAllowed="1" showAll="0">
      <items count="46">
        <item x="1"/>
        <item x="5"/>
        <item x="6"/>
        <item x="12"/>
        <item x="15"/>
        <item x="16"/>
        <item x="17"/>
        <item x="19"/>
        <item x="21"/>
        <item x="22"/>
        <item x="24"/>
        <item x="0"/>
        <item x="2"/>
        <item x="3"/>
        <item x="4"/>
        <item x="7"/>
        <item x="8"/>
        <item x="9"/>
        <item x="10"/>
        <item x="11"/>
        <item x="13"/>
        <item x="14"/>
        <item x="18"/>
        <item x="20"/>
        <item x="23"/>
        <item x="25"/>
        <item x="26"/>
        <item x="27"/>
        <item x="28"/>
        <item x="29"/>
        <item x="30"/>
        <item x="31"/>
        <item x="32"/>
        <item x="33"/>
        <item x="34"/>
        <item x="35"/>
        <item x="36"/>
        <item x="37"/>
        <item x="38"/>
        <item x="39"/>
        <item x="40"/>
        <item x="41"/>
        <item x="42"/>
        <item x="43"/>
        <item x="44"/>
        <item t="default"/>
      </items>
    </pivotField>
    <pivotField compact="0" outline="0" showAll="0"/>
    <pivotField compact="0" numFmtId="22" outline="0" showAll="0"/>
    <pivotField compact="0" outline="0" showAll="0"/>
    <pivotField axis="axisCol" compact="0" outline="0" showAll="0" nonAutoSortDefault="1">
      <items count="8">
        <item x="5"/>
        <item x="1"/>
        <item x="3"/>
        <item x="6"/>
        <item x="4"/>
        <item x="0"/>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6">
    <i>
      <x/>
    </i>
    <i>
      <x v="1"/>
    </i>
    <i>
      <x v="2"/>
    </i>
    <i>
      <x v="3"/>
    </i>
    <i>
      <x v="4"/>
    </i>
    <i>
      <x v="5"/>
    </i>
  </rowItems>
  <colFields count="1">
    <field x="44"/>
  </colFields>
  <colItems count="7">
    <i>
      <x/>
    </i>
    <i>
      <x v="1"/>
    </i>
    <i>
      <x v="2"/>
    </i>
    <i>
      <x v="3"/>
    </i>
    <i>
      <x v="4"/>
    </i>
    <i>
      <x v="5"/>
    </i>
    <i>
      <x v="6"/>
    </i>
  </colItems>
  <pageFields count="2">
    <pageField fld="40" hier="-1"/>
    <pageField fld="37" hier="-1"/>
  </pageFields>
  <dataFields count="1">
    <dataField name="Count of Case Number" fld="0" subtotal="count" baseField="0" baseItem="0"/>
  </dataFields>
  <formats count="28">
    <format dxfId="429">
      <pivotArea dataOnly="0" labelOnly="1" outline="0" fieldPosition="0">
        <references count="1">
          <reference field="44" count="0"/>
        </references>
      </pivotArea>
    </format>
    <format dxfId="428">
      <pivotArea type="origin" dataOnly="0" labelOnly="1" outline="0" fieldPosition="0"/>
    </format>
    <format dxfId="427">
      <pivotArea field="44" type="button" dataOnly="0" labelOnly="1" outline="0" axis="axisCol" fieldPosition="0"/>
    </format>
    <format dxfId="426">
      <pivotArea type="topRight" dataOnly="0" labelOnly="1" outline="0" fieldPosition="0"/>
    </format>
    <format dxfId="425">
      <pivotArea dataOnly="0" labelOnly="1" outline="0" fieldPosition="0">
        <references count="1">
          <reference field="44" count="0"/>
        </references>
      </pivotArea>
    </format>
    <format dxfId="424">
      <pivotArea type="origin" dataOnly="0" labelOnly="1" outline="0" fieldPosition="0"/>
    </format>
    <format dxfId="423">
      <pivotArea field="44" type="button" dataOnly="0" labelOnly="1" outline="0" axis="axisCol" fieldPosition="0"/>
    </format>
    <format dxfId="422">
      <pivotArea type="topRight" dataOnly="0" labelOnly="1" outline="0" fieldPosition="0"/>
    </format>
    <format dxfId="421">
      <pivotArea type="origin" dataOnly="0" labelOnly="1" outline="0" fieldPosition="0"/>
    </format>
    <format dxfId="420">
      <pivotArea field="44" type="button" dataOnly="0" labelOnly="1" outline="0" axis="axisCol" fieldPosition="0"/>
    </format>
    <format dxfId="419">
      <pivotArea type="origin" dataOnly="0" labelOnly="1" outline="0" fieldPosition="0"/>
    </format>
    <format dxfId="418">
      <pivotArea field="44" type="button" dataOnly="0" labelOnly="1" outline="0" axis="axisCol" fieldPosition="0"/>
    </format>
    <format dxfId="417">
      <pivotArea type="topRight" dataOnly="0" labelOnly="1" outline="0" fieldPosition="0"/>
    </format>
    <format dxfId="416">
      <pivotArea outline="0" collapsedLevelsAreSubtotals="1" fieldPosition="0"/>
    </format>
    <format dxfId="415">
      <pivotArea dataOnly="0" labelOnly="1" outline="0" fieldPosition="0">
        <references count="1">
          <reference field="59" count="0"/>
        </references>
      </pivotArea>
    </format>
    <format dxfId="414">
      <pivotArea dataOnly="0" labelOnly="1" outline="0" fieldPosition="0">
        <references count="1">
          <reference field="59" count="0"/>
        </references>
      </pivotArea>
    </format>
    <format dxfId="413">
      <pivotArea field="59" type="button" dataOnly="0" labelOnly="1" outline="0" axis="axisRow" fieldPosition="0"/>
    </format>
    <format dxfId="412">
      <pivotArea type="origin" dataOnly="0" labelOnly="1" outline="0" fieldPosition="0"/>
    </format>
    <format dxfId="411">
      <pivotArea field="44" type="button" dataOnly="0" labelOnly="1" outline="0" axis="axisCol" fieldPosition="0"/>
    </format>
    <format dxfId="410">
      <pivotArea type="topRight" dataOnly="0" labelOnly="1" outline="0" fieldPosition="0"/>
    </format>
    <format dxfId="409">
      <pivotArea type="all" dataOnly="0" outline="0" fieldPosition="0"/>
    </format>
    <format dxfId="408">
      <pivotArea outline="0" collapsedLevelsAreSubtotals="1" fieldPosition="0"/>
    </format>
    <format dxfId="407">
      <pivotArea type="origin" dataOnly="0" labelOnly="1" outline="0" fieldPosition="0"/>
    </format>
    <format dxfId="406">
      <pivotArea field="44" type="button" dataOnly="0" labelOnly="1" outline="0" axis="axisCol" fieldPosition="0"/>
    </format>
    <format dxfId="405">
      <pivotArea type="topRight" dataOnly="0" labelOnly="1" outline="0" fieldPosition="0"/>
    </format>
    <format dxfId="404">
      <pivotArea field="59" type="button" dataOnly="0" labelOnly="1" outline="0" axis="axisRow" fieldPosition="0"/>
    </format>
    <format dxfId="403">
      <pivotArea dataOnly="0" labelOnly="1" outline="0" fieldPosition="0">
        <references count="1">
          <reference field="59" count="0"/>
        </references>
      </pivotArea>
    </format>
    <format dxfId="402">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93095A4D-FB12-4D7A-B662-B66AF1D8E5CC}" autoFormatId="16" applyNumberFormats="0" applyBorderFormats="0" applyFontFormats="0" applyPatternFormats="0" applyAlignmentFormats="0" applyWidthHeightFormats="0">
  <queryTableRefresh nextId="8">
    <queryTableFields count="7">
      <queryTableField id="1" name="Report_Due_Date" tableColumnId="1"/>
      <queryTableField id="2" name="7_Day_Start" tableColumnId="2"/>
      <queryTableField id="3" name="7_Day_End" tableColumnId="3"/>
      <queryTableField id="4" name="28_Day_Start" tableColumnId="4"/>
      <queryTableField id="5" name="28_Day_End" tableColumnId="5"/>
      <queryTableField id="6" name="Report_Name" tableColumnId="6"/>
      <queryTableField id="7" name="Is_Due"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0" connectionId="2" xr16:uid="{00000000-0016-0000-0600-000000000000}" autoFormatId="16" applyNumberFormats="0" applyBorderFormats="0" applyFontFormats="0" applyPatternFormats="0" applyAlignmentFormats="0" applyWidthHeightFormats="0">
  <queryTableRefresh nextId="103">
    <queryTableFields count="42">
      <queryTableField id="1" name="Case Number" tableColumnId="1"/>
      <queryTableField id="37" name="IncidentDate" tableColumnId="37"/>
      <queryTableField id="3" name="Incident Time" tableColumnId="3"/>
      <queryTableField id="97" name="Incident Type_1" tableColumnId="52"/>
      <queryTableField id="98" name="Incident Type_2" tableColumnId="53"/>
      <queryTableField id="99" name="Incident Type_3" tableColumnId="54"/>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7" name="Officer of Record" tableColumnId="27"/>
      <queryTableField id="28" name="Squad" tableColumnId="28"/>
      <queryTableField id="29" name="Det_Assigned" tableColumnId="29"/>
      <queryTableField id="30" name="Case_Status" tableColumnId="30"/>
      <queryTableField id="38" name="NibrsClassification" tableColumnId="38"/>
      <queryTableField id="95" name="IncDate" tableColumnId="51"/>
      <queryTableField id="40" name="IncTime" tableColumnId="40"/>
      <queryTableField id="41" name="StartOfHour" tableColumnId="41"/>
      <queryTableField id="34" name="TimeOfDay" tableColumnId="34"/>
      <queryTableField id="35" name="ALL_INCIDENTS" tableColumnId="35"/>
      <queryTableField id="43" name="Period" tableColumnId="43"/>
      <queryTableField id="32" name="INC_TIME" tableColumnId="32"/>
      <queryTableField id="33" name="INC_DATE" tableColumnId="33"/>
      <queryTableField id="44" name="Enhanced_TimeOfDay" tableColumnId="44"/>
      <queryTableField id="45" name="Day Name" tableColumnId="45"/>
      <queryTableField id="46" name="Month Name" tableColumnId="46"/>
      <queryTableField id="47" name="Year" tableColumnId="47"/>
      <queryTableField id="48" name="Week of Year" tableColumnId="48"/>
      <queryTableField id="49" name="Day" tableColumnId="49"/>
      <queryTableField id="50" name="BLOCK_Enhanced" tableColumnId="50"/>
      <queryTableField id="36" name="Crime_Category" tableColumnId="3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9" connectionId="13" xr16:uid="{00000000-0016-0000-0A00-000001000000}" autoFormatId="16" applyNumberFormats="0" applyBorderFormats="0" applyFontFormats="0" applyPatternFormats="0" applyAlignmentFormats="0" applyWidthHeightFormats="0">
  <queryTableRefresh nextId="126">
    <queryTableFields count="62">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5" name="CASE_NUMBER_LENGTH" tableColumnId="42"/>
      <queryTableField id="2" name="Incident Date" tableColumnId="2"/>
      <queryTableField id="39" name="IncTime" tableColumnId="39"/>
      <queryTableField id="40" name="StartOfHour" tableColumnId="40"/>
      <queryTableField id="34" name="TimeOfDay" tableColumnId="34"/>
      <queryTableField id="88" name="BLOCK" tableColumnId="55"/>
      <queryTableField id="119" name="AllIncidents" tableColumnId="64"/>
      <queryTableField id="120" name="Period" tableColumnId="65"/>
      <queryTableField id="35" name="ALL_INCIDENTS" tableColumnId="35"/>
      <queryTableField id="76" name="INC_TIME" tableColumnId="43"/>
      <queryTableField id="77" name="INC_DATE" tableColumnId="44"/>
      <queryTableField id="78" name="Start of Hour" tableColumnId="45"/>
      <queryTableField id="79" name="INC_DATE_AND_TIME" tableColumnId="46"/>
      <queryTableField id="80" name="TOD" tableColumnId="47"/>
      <queryTableField id="81" name="Day Name" tableColumnId="48"/>
      <queryTableField id="82" name="Month Name" tableColumnId="49"/>
      <queryTableField id="83" name="Year" tableColumnId="50"/>
      <queryTableField id="84" name="Week of Year" tableColumnId="51"/>
      <queryTableField id="85" name="Week of Month" tableColumnId="52"/>
      <queryTableField id="86" name="Day" tableColumnId="53"/>
      <queryTableField id="87" name="Day of Year" tableColumnId="54"/>
      <queryTableField id="121" name="BLOCK" tableColumnId="66"/>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8" connectionId="10" xr16:uid="{00000000-0016-0000-0C00-000002000000}" autoFormatId="16" applyNumberFormats="0" applyBorderFormats="0" applyFontFormats="0" applyPatternFormats="0" applyAlignmentFormats="0" applyWidthHeightFormats="0">
  <queryTableRefresh nextId="126">
    <queryTableFields count="62">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5" name="CASE_NUMBER_LENGTH" tableColumnId="42"/>
      <queryTableField id="2" name="Incident Date" tableColumnId="2"/>
      <queryTableField id="39" name="IncTime" tableColumnId="39"/>
      <queryTableField id="40" name="StartOfHour" tableColumnId="40"/>
      <queryTableField id="34" name="TimeOfDay" tableColumnId="34"/>
      <queryTableField id="88" name="BLOCK" tableColumnId="55"/>
      <queryTableField id="119" name="AllIncidents" tableColumnId="64"/>
      <queryTableField id="120" name="Period" tableColumnId="65"/>
      <queryTableField id="35" name="ALL_INCIDENTS" tableColumnId="35"/>
      <queryTableField id="76" name="INC_TIME" tableColumnId="43"/>
      <queryTableField id="77" name="INC_DATE" tableColumnId="44"/>
      <queryTableField id="78" name="Start of Hour" tableColumnId="45"/>
      <queryTableField id="79" name="INC_DATE_AND_TIME" tableColumnId="46"/>
      <queryTableField id="80" name="TOD" tableColumnId="47"/>
      <queryTableField id="81" name="Day Name" tableColumnId="48"/>
      <queryTableField id="82" name="Month Name" tableColumnId="49"/>
      <queryTableField id="83" name="Year" tableColumnId="50"/>
      <queryTableField id="84" name="Week of Year" tableColumnId="51"/>
      <queryTableField id="85" name="Week of Month" tableColumnId="52"/>
      <queryTableField id="86" name="Day" tableColumnId="53"/>
      <queryTableField id="87" name="Day of Year" tableColumnId="54"/>
      <queryTableField id="121" name="BLOCK" tableColumnId="66"/>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8" connectionId="5" xr16:uid="{6EC30D29-4F35-45EF-B280-F44823D0F0D4}" autoFormatId="16" applyNumberFormats="0" applyBorderFormats="0" applyFontFormats="0" applyPatternFormats="0" applyAlignmentFormats="0" applyWidthHeightFormats="0">
  <queryTableRefresh nextId="53">
    <queryTableFields count="52">
      <queryTableField id="1" name="Name" tableColumnId="1"/>
      <queryTableField id="2" name="Extension" tableColumnId="2"/>
      <queryTableField id="3" name="Date accessed" tableColumnId="3"/>
      <queryTableField id="4" name="Date modified" tableColumnId="4"/>
      <queryTableField id="5" name="Date created" tableColumnId="5"/>
      <queryTableField id="6" name="Folder Path" tableColumnId="6"/>
      <queryTableField id="7" name="Case Number" tableColumnId="7"/>
      <queryTableField id="8" name="IncidentDate" tableColumnId="8"/>
      <queryTableField id="9" name="Incident Time" tableColumnId="9"/>
      <queryTableField id="10" name="Incident Date_Between" tableColumnId="10"/>
      <queryTableField id="11" name="Incident Time_Between" tableColumnId="11"/>
      <queryTableField id="12" name="Report Date" tableColumnId="12"/>
      <queryTableField id="13" name="Report Time" tableColumnId="13"/>
      <queryTableField id="14" name="Incident Type_1" tableColumnId="14"/>
      <queryTableField id="15" name="Incident Type_2" tableColumnId="15"/>
      <queryTableField id="16" name="Incident Type_3" tableColumnId="16"/>
      <queryTableField id="17" name="FullAddress" tableColumnId="17"/>
      <queryTableField id="18" name="Grid" tableColumnId="18"/>
      <queryTableField id="19" name="Zone" tableColumnId="19"/>
      <queryTableField id="20" name="Narrative" tableColumnId="20"/>
      <queryTableField id="21" name="Total Value Stolen" tableColumnId="21"/>
      <queryTableField id="22" name="Total Value Recover" tableColumnId="22"/>
      <queryTableField id="23" name="Registration 1" tableColumnId="23"/>
      <queryTableField id="24" name="Make1" tableColumnId="24"/>
      <queryTableField id="25" name="Model1" tableColumnId="25"/>
      <queryTableField id="26" name="Reg State 1" tableColumnId="26"/>
      <queryTableField id="27" name="Registration 2" tableColumnId="27"/>
      <queryTableField id="28" name="Reg State 2" tableColumnId="28"/>
      <queryTableField id="29" name="Make2" tableColumnId="29"/>
      <queryTableField id="30" name="Model2" tableColumnId="30"/>
      <queryTableField id="31" name="Reviewed By" tableColumnId="31"/>
      <queryTableField id="32" name="CompleteCalc" tableColumnId="32"/>
      <queryTableField id="33" name="Officer of Record" tableColumnId="33"/>
      <queryTableField id="34" name="Squad" tableColumnId="34"/>
      <queryTableField id="35" name="Det_Assigned" tableColumnId="35"/>
      <queryTableField id="36" name="Case_Status" tableColumnId="36"/>
      <queryTableField id="37" name="NibrsClassification" tableColumnId="37"/>
      <queryTableField id="38" name="CASE_NUMBER_LENGTH" tableColumnId="38"/>
      <queryTableField id="39" name="Incident Date" tableColumnId="39"/>
      <queryTableField id="40" name="IncTime" tableColumnId="40"/>
      <queryTableField id="41" name="StartOfHour" tableColumnId="41"/>
      <queryTableField id="42" name="TimeOfDay" tableColumnId="42"/>
      <queryTableField id="43" name="Block" tableColumnId="43"/>
      <queryTableField id="44" name="ALL_INCIDENTS" tableColumnId="44"/>
      <queryTableField id="45" name="Period" tableColumnId="45"/>
      <queryTableField id="46" name="Enhanced_TimeOfDay" tableColumnId="46"/>
      <queryTableField id="47" name="Day Name" tableColumnId="47"/>
      <queryTableField id="48" name="Month Name" tableColumnId="48"/>
      <queryTableField id="49" name="Year" tableColumnId="49"/>
      <queryTableField id="50" name="Week of Year" tableColumnId="50"/>
      <queryTableField id="51" name="Day" tableColumnId="51"/>
      <queryTableField id="52" name="BLOCK_Enhanced" tableColumnId="5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connectionId="7" xr16:uid="{00000000-0016-0000-0D00-000003000000}" autoFormatId="16" applyNumberFormats="0" applyBorderFormats="0" applyFontFormats="0" applyPatternFormats="0" applyAlignmentFormats="0" applyWidthHeightFormats="0">
  <queryTableRefresh nextId="123">
    <queryTableFields count="39">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119" name="CaseNumberLength" tableColumnId="64"/>
      <queryTableField id="2" name="Incident Date" tableColumnId="2"/>
      <queryTableField id="39" name="IncTime" tableColumnId="39"/>
      <queryTableField id="40" name="StartOfHour" tableColumnId="40"/>
      <queryTableField id="34" name="TimeOfDay" tableColumnId="34"/>
      <queryTableField id="88" name="BLOCK" tableColumnId="55"/>
      <queryTableField id="35" name="ALL_INCIDENTS" tableColumnId="35"/>
      <queryTableField id="120" name="Period" tableColumnId="6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3" xr16:uid="{00000000-0016-0000-0E00-000004000000}" autoFormatId="16" applyNumberFormats="0" applyBorderFormats="0" applyFontFormats="0" applyPatternFormats="0" applyAlignmentFormats="0" applyWidthHeightFormats="0">
  <queryTableRefresh nextId="124">
    <queryTableFields count="61">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7" name="CASE_NUMBER_LENGTH" tableColumnId="44"/>
      <queryTableField id="2" name="Incident Date" tableColumnId="2"/>
      <queryTableField id="39" name="IncTime" tableColumnId="39"/>
      <queryTableField id="40" name="StartOfHour" tableColumnId="40"/>
      <queryTableField id="34" name="TimeOfDay" tableColumnId="34"/>
      <queryTableField id="88" name="BLOCK" tableColumnId="55"/>
      <queryTableField id="35" name="ALL_INCIDENTS" tableColumnId="35"/>
      <queryTableField id="119" name="Period" tableColumnId="64"/>
      <queryTableField id="78" name="INC_TIME" tableColumnId="45"/>
      <queryTableField id="79" name="INC_DATE" tableColumnId="46"/>
      <queryTableField id="80" name="Start of Hour" tableColumnId="47"/>
      <queryTableField id="81" name="INC_DATE_AND_TIME" tableColumnId="48"/>
      <queryTableField id="82" name="TOD" tableColumnId="49"/>
      <queryTableField id="76" name="Day Name" tableColumnId="43"/>
      <queryTableField id="75" name="Month Name" tableColumnId="42"/>
      <queryTableField id="83" name="Year" tableColumnId="50"/>
      <queryTableField id="84" name="Week of Year" tableColumnId="51"/>
      <queryTableField id="85" name="Week of Month" tableColumnId="52"/>
      <queryTableField id="86" name="Day" tableColumnId="53"/>
      <queryTableField id="87" name="Day of Year" tableColumnId="54"/>
      <queryTableField id="120" name="BLOCK" tableColumnId="65"/>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5" connectionId="4" xr16:uid="{00000000-0016-0000-0F00-000005000000}" autoFormatId="16" applyNumberFormats="0" applyBorderFormats="0" applyFontFormats="0" applyPatternFormats="0" applyAlignmentFormats="0" applyWidthHeightFormats="0">
  <queryTableRefresh nextId="142">
    <queryTableFields count="61">
      <queryTableField id="1" name="Case Number" tableColumnId="1"/>
      <queryTableField id="55" name="IncidentDate" tableColumnId="55"/>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56" name="NibrsClassification" tableColumnId="56"/>
      <queryTableField id="96" name="CASE_NUMBER_LENGTH" tableColumnId="62"/>
      <queryTableField id="2" name="Incident Date" tableColumnId="2"/>
      <queryTableField id="58" name="IncTime" tableColumnId="58"/>
      <queryTableField id="59" name="StartOfHour" tableColumnId="59"/>
      <queryTableField id="60" name="TimeOfDay" tableColumnId="60"/>
      <queryTableField id="109" name="BLOCK" tableColumnId="75"/>
      <queryTableField id="46" name="ALL_INCIDENTS" tableColumnId="46"/>
      <queryTableField id="135" name="Period" tableColumnId="85"/>
      <queryTableField id="97" name="INC_TIME" tableColumnId="63"/>
      <queryTableField id="98" name="INC_DATE" tableColumnId="64"/>
      <queryTableField id="99" name="Start of Hour" tableColumnId="65"/>
      <queryTableField id="100" name="INC_DATE_AND_TIME" tableColumnId="66"/>
      <queryTableField id="101" name="TOD" tableColumnId="67"/>
      <queryTableField id="102" name="Day Name" tableColumnId="68"/>
      <queryTableField id="103" name="Month Name" tableColumnId="69"/>
      <queryTableField id="104" name="Year" tableColumnId="70"/>
      <queryTableField id="105" name="Week of Year" tableColumnId="71"/>
      <queryTableField id="106" name="Week of Month" tableColumnId="72"/>
      <queryTableField id="107" name="Day" tableColumnId="73"/>
      <queryTableField id="108" name="Day of Year" tableColumnId="74"/>
      <queryTableField id="136" name="BLOCK" tableColumnId="86"/>
      <queryTableField id="110" name="Location" tableColumnId="76"/>
      <queryTableField id="111" name="St#" tableColumnId="77"/>
      <queryTableField id="112" name="Notes" tableColumnId="78"/>
      <queryTableField id="113" name="VEHICLE" tableColumnId="79"/>
      <queryTableField id="114" name="Suspect" tableColumnId="80"/>
      <queryTableField id="115" name="TOTAL_STOLEN_AMOUNT" tableColumnId="81"/>
      <queryTableField id="116" name="REPORT_CYCLE" tableColumnId="82"/>
      <queryTableField id="117" name="TIME_OF_DAY" tableColumnId="83"/>
      <queryTableField id="137" name="Enhanced_TimeOfDay" tableColumnId="87"/>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21EBBB8-BD36-40C6-9B91-F4B334BD2AE7}" name="TestBur_C_R_28D__2" displayName="TestBur_C_R_28D__2" ref="A1:H7" totalsRowShown="0">
  <autoFilter ref="A1:H7" xr:uid="{A21EBBB8-BD36-40C6-9B91-F4B334BD2AE7}"/>
  <tableColumns count="8">
    <tableColumn id="14" xr3:uid="{E1944B9C-0E6C-4687-9CE3-92F6FEA904CE}" name="CaseID"/>
    <tableColumn id="1" xr3:uid="{7A5C1ED7-7682-4D19-A9AD-401BB706D6F5}" name="Block" dataDxfId="662"/>
    <tableColumn id="2" xr3:uid="{33438211-9C07-48A5-A5B5-2D472E44C10D}" name="Incident Date" dataDxfId="661"/>
    <tableColumn id="3" xr3:uid="{9472C38C-6062-4C14-9F67-AB426096063A}" name="Day of Week" dataDxfId="660"/>
    <tableColumn id="4" xr3:uid="{4749A001-7F85-446F-98CB-E2C0EEB5EB8B}" name="Time of Day" dataDxfId="659"/>
    <tableColumn id="5" xr3:uid="{6A651A7F-F4B3-4533-8D92-C101A177B15D}" name="Suspect" dataDxfId="658"/>
    <tableColumn id="11" xr3:uid="{B916FEE6-672C-47CC-A522-12B086DACD4C}" name="Property Stolen" dataDxfId="657"/>
    <tableColumn id="13" xr3:uid="{F8B0CCE6-B7B9-4690-97CF-3F15E4080B6C}" name="Notes" dataDxfId="656"/>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3E15ABF-75ED-48F7-8D6F-D4DCA6290FF7}" name="_7Day_28Day_250414_" displayName="_7Day_28Day_250414_" ref="A1:G53" tableType="queryTable" totalsRowShown="0">
  <autoFilter ref="A1:G53" xr:uid="{A3E15ABF-75ED-48F7-8D6F-D4DCA6290FF7}"/>
  <tableColumns count="7">
    <tableColumn id="1" xr3:uid="{EDD3316D-FEEB-4987-B8A4-8DF0AA2D006B}" uniqueName="1" name="Report_Due_Date" queryTableFieldId="1" dataDxfId="349"/>
    <tableColumn id="2" xr3:uid="{09980C89-6D6B-4784-9BFD-714F995A8AAD}" uniqueName="2" name="7_Day_Start" queryTableFieldId="2" dataDxfId="348"/>
    <tableColumn id="3" xr3:uid="{457DA303-B861-4955-AE89-2CC41ACFF47E}" uniqueName="3" name="7_Day_End" queryTableFieldId="3" dataDxfId="347"/>
    <tableColumn id="4" xr3:uid="{70BE1596-4553-485E-B967-3E1D1C742932}" uniqueName="4" name="28_Day_Start" queryTableFieldId="4" dataDxfId="346"/>
    <tableColumn id="5" xr3:uid="{B1D0DE92-F18E-4394-BF0B-6ECBE94C7E57}" uniqueName="5" name="28_Day_End" queryTableFieldId="5" dataDxfId="345"/>
    <tableColumn id="6" xr3:uid="{8F12D425-67C1-4F76-A9A3-707E6057F5A9}" uniqueName="6" name="Report_Name" queryTableFieldId="6" dataDxfId="655"/>
    <tableColumn id="7" xr3:uid="{A9933870-9B85-4F2F-8C56-328B2ECAFEE9}" uniqueName="7" name="Is_Due" queryTableField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1B2722D-5BE4-4F03-B5BE-10A6C720D900}" name="All_Crimes" displayName="All_Crimes" ref="A1:AP117" tableType="queryTable" totalsRowShown="0" headerRowDxfId="180" dataDxfId="179">
  <autoFilter ref="A1:AP117" xr:uid="{51B2722D-5BE4-4F03-B5BE-10A6C720D900}"/>
  <sortState xmlns:xlrd2="http://schemas.microsoft.com/office/spreadsheetml/2017/richdata2" ref="A2:AP117">
    <sortCondition ref="AA1:AA117"/>
  </sortState>
  <tableColumns count="42">
    <tableColumn id="1" xr3:uid="{0FDD2D8A-7982-41C0-99D9-0D2438ECBACA}" uniqueName="1" name="Case Number" queryTableFieldId="1" dataDxfId="222"/>
    <tableColumn id="37" xr3:uid="{AAAEE88C-2BDB-498A-9979-CAFCE30E2B17}" uniqueName="37" name="IncidentDate" queryTableFieldId="37" dataDxfId="221"/>
    <tableColumn id="3" xr3:uid="{CAA53461-4203-448D-BABE-BACEC8074B34}" uniqueName="3" name="Incident Time" queryTableFieldId="3" dataDxfId="220"/>
    <tableColumn id="52" xr3:uid="{E9AADC18-3110-4782-8FB6-6509585CF5CE}" uniqueName="52" name="Incident Type_1" queryTableFieldId="97" dataDxfId="219"/>
    <tableColumn id="53" xr3:uid="{8E2A95BA-160B-4492-BA97-29B835C01361}" uniqueName="53" name="Incident Type_2" queryTableFieldId="98" dataDxfId="218"/>
    <tableColumn id="54" xr3:uid="{17859705-2727-463B-AEA3-925F1E3018E1}" uniqueName="54" name="Incident Type_3" queryTableFieldId="99" dataDxfId="217"/>
    <tableColumn id="11" xr3:uid="{81BC4B3D-0E7D-4C46-9B49-F92B7A3FF193}" uniqueName="11" name="FullAddress" queryTableFieldId="11" dataDxfId="216"/>
    <tableColumn id="12" xr3:uid="{6A8D4F0D-51A3-49B8-A24D-082D09849552}" uniqueName="12" name="Grid" queryTableFieldId="12" dataDxfId="215"/>
    <tableColumn id="13" xr3:uid="{E296028F-1D8B-4F34-888E-84F706C75AA4}" uniqueName="13" name="Zone" queryTableFieldId="13" dataDxfId="214"/>
    <tableColumn id="14" xr3:uid="{B45FABD5-9E83-444E-9089-6659A7153314}" uniqueName="14" name="Narrative" queryTableFieldId="14" dataDxfId="213"/>
    <tableColumn id="15" xr3:uid="{D02510C4-2464-40EB-ADC7-FFFDB572B551}" uniqueName="15" name="Total Value Stolen" queryTableFieldId="15" dataDxfId="212"/>
    <tableColumn id="16" xr3:uid="{BC70FC1C-37ED-4498-B349-50A608CD4DA2}" uniqueName="16" name="Total Value Recover" queryTableFieldId="16" dataDxfId="211"/>
    <tableColumn id="17" xr3:uid="{C4200733-0628-4B3C-9CF7-55F28C9BC82A}" uniqueName="17" name="Registration 1" queryTableFieldId="17" dataDxfId="210"/>
    <tableColumn id="18" xr3:uid="{EDA0EDE2-FA19-458B-A482-252EA51E5DC0}" uniqueName="18" name="Make1" queryTableFieldId="18" dataDxfId="209"/>
    <tableColumn id="19" xr3:uid="{223552B5-9F53-4691-B4B2-8787F68AAC17}" uniqueName="19" name="Model1" queryTableFieldId="19" dataDxfId="208"/>
    <tableColumn id="20" xr3:uid="{48DD3A96-7867-431F-9A62-3A2315AC7806}" uniqueName="20" name="Reg State 1" queryTableFieldId="20" dataDxfId="207"/>
    <tableColumn id="21" xr3:uid="{D5EE2796-5DEE-4754-8CCE-4F7E8B2D6FD8}" uniqueName="21" name="Registration 2" queryTableFieldId="21" dataDxfId="206"/>
    <tableColumn id="22" xr3:uid="{6E2300BF-356F-4463-B6E6-7A4C8034F83D}" uniqueName="22" name="Reg State 2" queryTableFieldId="22" dataDxfId="205"/>
    <tableColumn id="23" xr3:uid="{A693699E-FB3C-48A5-938B-BE598FFE5913}" uniqueName="23" name="Make2" queryTableFieldId="23" dataDxfId="204"/>
    <tableColumn id="24" xr3:uid="{D3739933-F44C-4873-8979-4C14A1780684}" uniqueName="24" name="Model2" queryTableFieldId="24" dataDxfId="203"/>
    <tableColumn id="25" xr3:uid="{0636A643-E171-41CD-A2FE-EFD87CAEDF2F}" uniqueName="25" name="Reviewed By" queryTableFieldId="25" dataDxfId="202"/>
    <tableColumn id="27" xr3:uid="{49C74A63-F3F3-446D-AE81-790E2C94994C}" uniqueName="27" name="Officer of Record" queryTableFieldId="27" dataDxfId="201"/>
    <tableColumn id="28" xr3:uid="{3842B9FA-B7D7-422C-ABDA-2701DD5D9E2D}" uniqueName="28" name="Squad" queryTableFieldId="28" dataDxfId="200"/>
    <tableColumn id="29" xr3:uid="{2BA544A3-12DF-47E7-8933-C2130B84DFE6}" uniqueName="29" name="Det_Assigned" queryTableFieldId="29" dataDxfId="199"/>
    <tableColumn id="30" xr3:uid="{F07EEA56-1FB1-4E52-8B30-6D3E95FE4E36}" uniqueName="30" name="Case_Status" queryTableFieldId="30" dataDxfId="198"/>
    <tableColumn id="38" xr3:uid="{0A72908E-2089-4712-9AD2-3C35C0D6943D}" uniqueName="38" name="NibrsClassification" queryTableFieldId="38" dataDxfId="197"/>
    <tableColumn id="51" xr3:uid="{B3EC970E-0272-460C-82CD-9D0F4F9953A7}" uniqueName="51" name="IncDate" queryTableFieldId="95" dataDxfId="196"/>
    <tableColumn id="40" xr3:uid="{89BCE274-8EB5-4C42-A970-7FBC0A7AE274}" uniqueName="40" name="IncTime" queryTableFieldId="40" dataDxfId="195"/>
    <tableColumn id="41" xr3:uid="{B08707AA-79B0-4E85-9549-F1EC33C1D932}" uniqueName="41" name="StartOfHour" queryTableFieldId="41" dataDxfId="194"/>
    <tableColumn id="34" xr3:uid="{47676419-459E-4C45-B9C0-474E46DEB456}" uniqueName="34" name="TimeOfDay" queryTableFieldId="34" dataDxfId="193"/>
    <tableColumn id="35" xr3:uid="{FBE8D321-E7E5-44F5-9C3E-FB64A0F40CD5}" uniqueName="35" name="ALL_INCIDENTS" queryTableFieldId="35" dataDxfId="192"/>
    <tableColumn id="43" xr3:uid="{ACF25102-A5C2-42EB-829B-2AD5F4082F1B}" uniqueName="43" name="Period" queryTableFieldId="43" dataDxfId="191"/>
    <tableColumn id="32" xr3:uid="{2A4ECAD4-FB6C-4006-A5B6-A73E7C26133D}" uniqueName="32" name="INC_TIME" queryTableFieldId="32" dataDxfId="190"/>
    <tableColumn id="33" xr3:uid="{FE60D9B3-A660-4A9F-B7C8-11CE907D9C1C}" uniqueName="33" name="INC_DATE" queryTableFieldId="33" dataDxfId="189"/>
    <tableColumn id="44" xr3:uid="{61B107CE-2301-4724-A767-C714FE7E22E4}" uniqueName="44" name="Enhanced_TimeOfDay" queryTableFieldId="44" dataDxfId="188"/>
    <tableColumn id="45" xr3:uid="{77CA50C4-6D0F-46AB-A47E-2CBB68CE0913}" uniqueName="45" name="Day Name" queryTableFieldId="45" dataDxfId="187"/>
    <tableColumn id="46" xr3:uid="{41554864-C472-457C-8CBA-31BBE802D419}" uniqueName="46" name="Month Name" queryTableFieldId="46" dataDxfId="186"/>
    <tableColumn id="47" xr3:uid="{F2852C48-90E6-4589-A842-327C29E1D008}" uniqueName="47" name="Year" queryTableFieldId="47" dataDxfId="185"/>
    <tableColumn id="48" xr3:uid="{592E9C72-21F6-4EEA-AB8B-1E8ACA8F96CF}" uniqueName="48" name="Week of Year" queryTableFieldId="48" dataDxfId="184"/>
    <tableColumn id="49" xr3:uid="{BCE11D3B-CF48-4F04-8F2D-42D384FCF788}" uniqueName="49" name="Day" queryTableFieldId="49" dataDxfId="183"/>
    <tableColumn id="50" xr3:uid="{3643FD83-E73A-437F-B859-58CB2027880C}" uniqueName="50" name="BLOCK_Enhanced" queryTableFieldId="50" dataDxfId="182"/>
    <tableColumn id="36" xr3:uid="{C38C95A1-6278-4802-B141-3434195C6370}" uniqueName="36" name="Crime_Category" queryTableFieldId="36" dataDxfId="181"/>
  </tableColumns>
  <tableStyleInfo name="TableStyleLight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1938BF8-D159-4BBB-AEF1-8AB1941B968C}" name="Sexual_Offenses" displayName="Sexual_Offenses" ref="A1:BJ12" tableType="queryTable" totalsRowShown="0" headerRowDxfId="604" dataDxfId="603">
  <autoFilter ref="A1:BJ12" xr:uid="{F1938BF8-D159-4BBB-AEF1-8AB1941B968C}"/>
  <tableColumns count="62">
    <tableColumn id="1" xr3:uid="{A3187587-2468-4912-91EA-0280831A9601}" uniqueName="1" name="Case Number" queryTableFieldId="1" dataDxfId="168"/>
    <tableColumn id="36" xr3:uid="{08A253D4-6981-4AEF-9626-7D9B563FABA9}" uniqueName="36" name="IncidentDate" queryTableFieldId="36" dataDxfId="167"/>
    <tableColumn id="3" xr3:uid="{8A7B3CC5-D680-46D8-809B-FA35E2D0200D}" uniqueName="3" name="Incident Time" queryTableFieldId="3" dataDxfId="166"/>
    <tableColumn id="4" xr3:uid="{1DAC9239-7023-4CE4-A167-D02591F2FB1A}" uniqueName="4" name="Incident Date_Between" queryTableFieldId="4" dataDxfId="165"/>
    <tableColumn id="5" xr3:uid="{B9967EF5-B82E-4A19-8EC3-692639A2E141}" uniqueName="5" name="Incident Time_Between" queryTableFieldId="5" dataDxfId="164"/>
    <tableColumn id="6" xr3:uid="{3E5C28D7-A54F-4C49-A34D-8007C833A155}" uniqueName="6" name="Report Date" queryTableFieldId="6" dataDxfId="163"/>
    <tableColumn id="7" xr3:uid="{FAA9D375-86A7-4232-8AA8-8B6B058753F4}" uniqueName="7" name="Report Time" queryTableFieldId="7" dataDxfId="162"/>
    <tableColumn id="8" xr3:uid="{547D4F98-82BE-421C-AFAC-0A6CCB944D49}" uniqueName="8" name="Incident Type_1" queryTableFieldId="8" dataDxfId="161"/>
    <tableColumn id="9" xr3:uid="{0CEBB21D-1AE4-47F1-84D9-C0CCD55EB5D8}" uniqueName="9" name="Incident Type_2" queryTableFieldId="9" dataDxfId="160"/>
    <tableColumn id="10" xr3:uid="{47B16BBC-EFD0-4D81-9770-166C66029227}" uniqueName="10" name="Incident Type_3" queryTableFieldId="10" dataDxfId="159"/>
    <tableColumn id="11" xr3:uid="{DE753FE0-A3A1-4971-B121-FDC503893FA5}" uniqueName="11" name="FullAddress" queryTableFieldId="11" dataDxfId="158"/>
    <tableColumn id="12" xr3:uid="{E3CB3795-AEAB-4A36-BADB-E68104CA70EA}" uniqueName="12" name="Grid" queryTableFieldId="12" dataDxfId="157"/>
    <tableColumn id="13" xr3:uid="{964ABC4C-0FFE-45A8-A525-E63C9EA04552}" uniqueName="13" name="Zone" queryTableFieldId="13" dataDxfId="156"/>
    <tableColumn id="14" xr3:uid="{F47A4E54-F562-44DF-9037-5D3D39AA67AE}" uniqueName="14" name="Narrative" queryTableFieldId="14" dataDxfId="155"/>
    <tableColumn id="15" xr3:uid="{33000A2F-A6A7-4D3D-B474-BE2DE0F48148}" uniqueName="15" name="Total Value Stolen" queryTableFieldId="15" dataDxfId="154"/>
    <tableColumn id="16" xr3:uid="{9B1713A6-F113-468C-A1A7-4C9F423B5CCA}" uniqueName="16" name="Total Value Recover" queryTableFieldId="16" dataDxfId="153"/>
    <tableColumn id="17" xr3:uid="{CF7AEDE9-DDCF-4F69-B6F9-110300858D5F}" uniqueName="17" name="Registration 1" queryTableFieldId="17" dataDxfId="152"/>
    <tableColumn id="18" xr3:uid="{0A2E3E07-0FB1-4194-ABD7-1A96AD5B6F82}" uniqueName="18" name="Make1" queryTableFieldId="18" dataDxfId="151"/>
    <tableColumn id="19" xr3:uid="{EAE3180A-166D-458E-953F-1AF2CDDB4CED}" uniqueName="19" name="Model1" queryTableFieldId="19" dataDxfId="150"/>
    <tableColumn id="20" xr3:uid="{F427534F-32C2-48F1-81CB-5733D318447F}" uniqueName="20" name="Reg State 1" queryTableFieldId="20" dataDxfId="149"/>
    <tableColumn id="21" xr3:uid="{4019DF6E-AA79-4929-B13E-90D50EC56C83}" uniqueName="21" name="Registration 2" queryTableFieldId="21" dataDxfId="148"/>
    <tableColumn id="22" xr3:uid="{CF35AC25-D52D-4368-A7E9-343D488729AF}" uniqueName="22" name="Reg State 2" queryTableFieldId="22" dataDxfId="147"/>
    <tableColumn id="23" xr3:uid="{80D5827B-E335-4BC9-A131-EE16773CDE61}" uniqueName="23" name="Make2" queryTableFieldId="23" dataDxfId="146"/>
    <tableColumn id="24" xr3:uid="{053267A7-C4A0-4B25-A6B4-5435805E0ED0}" uniqueName="24" name="Model2" queryTableFieldId="24" dataDxfId="145"/>
    <tableColumn id="25" xr3:uid="{BD3BA784-2B60-465B-B5F3-461BB2AA423D}" uniqueName="25" name="Reviewed By" queryTableFieldId="25" dataDxfId="144"/>
    <tableColumn id="26" xr3:uid="{ADD44ADA-8C7B-4180-A1AF-954AB2D10A28}" uniqueName="26" name="CompleteCalc" queryTableFieldId="26" dataDxfId="143"/>
    <tableColumn id="27" xr3:uid="{03A64B8B-F004-493E-ABCD-4A88C03481BF}" uniqueName="27" name="Officer of Record" queryTableFieldId="27" dataDxfId="142"/>
    <tableColumn id="28" xr3:uid="{A0C4031D-6D3B-497B-A2F5-AFE1A1C0C5CA}" uniqueName="28" name="Squad" queryTableFieldId="28" dataDxfId="141"/>
    <tableColumn id="29" xr3:uid="{15D65689-4033-4931-9404-25F8E38F7F13}" uniqueName="29" name="Det_Assigned" queryTableFieldId="29" dataDxfId="140"/>
    <tableColumn id="30" xr3:uid="{6CB1746B-890A-4660-BFDC-7326760CE613}" uniqueName="30" name="Case_Status" queryTableFieldId="30" dataDxfId="139"/>
    <tableColumn id="37" xr3:uid="{869DFB7F-0DD7-44FF-BAA2-439CF0FB8EF2}" uniqueName="37" name="NibrsClassification" queryTableFieldId="37" dataDxfId="138"/>
    <tableColumn id="42" xr3:uid="{EF06DB09-D078-4BB9-8A81-D7230053B89F}" uniqueName="42" name="CASE_NUMBER_LENGTH" queryTableFieldId="75" dataDxfId="137"/>
    <tableColumn id="2" xr3:uid="{6342FBE7-606A-4C97-A01A-9BE7C3203A18}" uniqueName="2" name="Incident Date" queryTableFieldId="2" dataDxfId="136"/>
    <tableColumn id="39" xr3:uid="{60219516-10A0-4497-859A-45F7074AFFA3}" uniqueName="39" name="IncTime" queryTableFieldId="39" dataDxfId="135"/>
    <tableColumn id="40" xr3:uid="{DE809CB1-28E2-460D-AD29-CCC7654DC04D}" uniqueName="40" name="StartOfHour" queryTableFieldId="40" dataDxfId="134"/>
    <tableColumn id="34" xr3:uid="{ACE51454-C68B-4429-B2E1-8EE8485E966F}" uniqueName="34" name="TimeOfDay" queryTableFieldId="34" dataDxfId="133"/>
    <tableColumn id="55" xr3:uid="{15F811B4-7C2A-4F73-96F7-C9F918194219}" uniqueName="55" name="Block" queryTableFieldId="88" dataDxfId="132"/>
    <tableColumn id="64" xr3:uid="{BB9D4AE1-D9A8-4D28-8F3B-1D5CD86CF1B6}" uniqueName="64" name="AllIncidents" queryTableFieldId="119" dataDxfId="131"/>
    <tableColumn id="65" xr3:uid="{26337666-8443-4948-BBCC-1604EF9E45A6}" uniqueName="65" name="Period" queryTableFieldId="120" dataDxfId="130"/>
    <tableColumn id="35" xr3:uid="{F419D0D0-6376-4E23-8DE1-6565D0A4B407}" uniqueName="35" name="ALL_INCIDENTS" queryTableFieldId="35" dataDxfId="129"/>
    <tableColumn id="43" xr3:uid="{45B28119-D700-4C0A-9B3F-BAA127157529}" uniqueName="43" name="INC_TIME" queryTableFieldId="76" dataDxfId="128"/>
    <tableColumn id="44" xr3:uid="{48F696B9-64E6-48A7-AA57-55048E83746B}" uniqueName="44" name="INC_DATE" queryTableFieldId="77" dataDxfId="127"/>
    <tableColumn id="45" xr3:uid="{EF38F1EC-6839-4712-9446-924CE277982A}" uniqueName="45" name="Start of Hour" queryTableFieldId="78" dataDxfId="126"/>
    <tableColumn id="46" xr3:uid="{76E3F1E0-BFD5-4C8E-A748-659756259142}" uniqueName="46" name="INC_DATE_AND_TIME" queryTableFieldId="79" dataDxfId="125"/>
    <tableColumn id="47" xr3:uid="{9E5D7DBF-66BC-4477-812E-BFD114B2880F}" uniqueName="47" name="TOD" queryTableFieldId="80" dataDxfId="124"/>
    <tableColumn id="48" xr3:uid="{90BE6B4C-3583-4B53-8708-E3D06B863137}" uniqueName="48" name="Day Name" queryTableFieldId="81" dataDxfId="123"/>
    <tableColumn id="49" xr3:uid="{D99D5FB7-3850-4A4D-AAA0-F926E94F6D12}" uniqueName="49" name="Month Name" queryTableFieldId="82" dataDxfId="122"/>
    <tableColumn id="50" xr3:uid="{84008BD0-9E0A-48C9-9133-E63B77CC3387}" uniqueName="50" name="Year" queryTableFieldId="83" dataDxfId="121"/>
    <tableColumn id="51" xr3:uid="{B21B148F-AE53-48DA-A11D-6562C364A9BF}" uniqueName="51" name="Week of Year" queryTableFieldId="84" dataDxfId="120"/>
    <tableColumn id="52" xr3:uid="{71C5EC10-40A5-42CB-BA13-E6358103D70A}" uniqueName="52" name="Week of Month" queryTableFieldId="85" dataDxfId="119"/>
    <tableColumn id="53" xr3:uid="{E03D6681-B3CB-45DF-A65E-BA0D12BBEBBE}" uniqueName="53" name="Day" queryTableFieldId="86" dataDxfId="118"/>
    <tableColumn id="54" xr3:uid="{ED6B24B8-AFB8-4AA4-9D17-5D05C8EC225A}" uniqueName="54" name="Day of Year" queryTableFieldId="87" dataDxfId="117"/>
    <tableColumn id="66" xr3:uid="{CA1A2CCA-987B-4069-9BDA-0492AC4BC544}" uniqueName="66" name="BLOCK2" queryTableFieldId="121" dataDxfId="116"/>
    <tableColumn id="56" xr3:uid="{B147B92C-4BCB-41A2-9133-3CF0FD7E1182}" uniqueName="56" name="Location" queryTableFieldId="89" dataDxfId="115"/>
    <tableColumn id="57" xr3:uid="{0B2B69D0-A00F-4546-8B0F-E8A0456177A0}" uniqueName="57" name="St#" queryTableFieldId="90" dataDxfId="114"/>
    <tableColumn id="58" xr3:uid="{F55EE3DB-34C2-49A5-873C-53121A92D5F6}" uniqueName="58" name="Notes" queryTableFieldId="91" dataDxfId="113"/>
    <tableColumn id="59" xr3:uid="{B075BB3B-CA95-41D0-B736-257A042A5EF4}" uniqueName="59" name="VEHICLE" queryTableFieldId="92" dataDxfId="112"/>
    <tableColumn id="60" xr3:uid="{98A0A98E-903C-4C29-B0A4-D62CFA74D6BB}" uniqueName="60" name="Suspect" queryTableFieldId="93" dataDxfId="111"/>
    <tableColumn id="61" xr3:uid="{39E5DF47-5488-4518-A65A-7E55929B70DD}" uniqueName="61" name="TOTAL_STOLEN_AMOUNT" queryTableFieldId="94" dataDxfId="110"/>
    <tableColumn id="62" xr3:uid="{A3618ADB-129D-4F96-8C37-D16EB73C98A1}" uniqueName="62" name="REPORT_CYCLE" queryTableFieldId="95" dataDxfId="109"/>
    <tableColumn id="63" xr3:uid="{3057D8F1-1D84-4F49-85F0-E40BE7FDC27E}" uniqueName="63" name="TIME_OF_DAY" queryTableFieldId="96" dataDxfId="108"/>
    <tableColumn id="41" xr3:uid="{C984CCC8-BD01-4D3D-AEFE-83EBBBDA0B7B}" uniqueName="41" name="Enhanced_TimeOfDay" queryTableFieldId="41" dataDxfId="10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B5ABD906-8B0B-44A4-9B17-BB0210218D51}" name="Robbery" displayName="Robbery" ref="A1:BJ20" tableType="queryTable" totalsRowShown="0" headerRowDxfId="602" dataDxfId="601">
  <autoFilter ref="A1:BJ20" xr:uid="{B5ABD906-8B0B-44A4-9B17-BB0210218D51}"/>
  <tableColumns count="62">
    <tableColumn id="1" xr3:uid="{073EBEFF-0C68-4126-89D9-5E18D39A8ACB}" uniqueName="1" name="Case Number" queryTableFieldId="1" dataDxfId="61"/>
    <tableColumn id="36" xr3:uid="{7E43CF6B-C836-4189-A8E1-1111FE4C9F60}" uniqueName="36" name="IncidentDate" queryTableFieldId="36" dataDxfId="60"/>
    <tableColumn id="3" xr3:uid="{D9D63DB2-777E-444A-92F9-B7C2D59B8129}" uniqueName="3" name="Incident Time" queryTableFieldId="3" dataDxfId="59"/>
    <tableColumn id="4" xr3:uid="{FBA5B256-73EC-4423-930F-3AB29FFC64F4}" uniqueName="4" name="Incident Date_Between" queryTableFieldId="4" dataDxfId="58"/>
    <tableColumn id="5" xr3:uid="{04FF0DD0-B344-4D08-A989-C2F14120999E}" uniqueName="5" name="Incident Time_Between" queryTableFieldId="5" dataDxfId="57"/>
    <tableColumn id="6" xr3:uid="{42CC2327-AC67-4ACC-8AE4-07829E8BD85C}" uniqueName="6" name="Report Date" queryTableFieldId="6" dataDxfId="56"/>
    <tableColumn id="7" xr3:uid="{05B06BC1-9A47-4864-B541-2B6858E583D2}" uniqueName="7" name="Report Time" queryTableFieldId="7" dataDxfId="55"/>
    <tableColumn id="8" xr3:uid="{4DE47915-B627-47C7-9702-47A905A10CB2}" uniqueName="8" name="Incident Type_1" queryTableFieldId="8" dataDxfId="54"/>
    <tableColumn id="9" xr3:uid="{302E5CAB-7EBA-46C1-9FA2-65452E2ABA0F}" uniqueName="9" name="Incident Type_2" queryTableFieldId="9" dataDxfId="53"/>
    <tableColumn id="10" xr3:uid="{C85BC010-8D77-4430-B5E7-9E2CAC5A3DEC}" uniqueName="10" name="Incident Type_3" queryTableFieldId="10" dataDxfId="52"/>
    <tableColumn id="11" xr3:uid="{12E919E0-72FE-4A22-A1C0-7E51E8EDAC81}" uniqueName="11" name="FullAddress" queryTableFieldId="11" dataDxfId="51"/>
    <tableColumn id="12" xr3:uid="{2EE6A06F-7FC6-4D6A-923C-CEF8B2BCD6B8}" uniqueName="12" name="Grid" queryTableFieldId="12" dataDxfId="50"/>
    <tableColumn id="13" xr3:uid="{6D06DE54-7110-4C38-8ED5-501A40B60D15}" uniqueName="13" name="Zone" queryTableFieldId="13" dataDxfId="49"/>
    <tableColumn id="14" xr3:uid="{382A7C26-8934-447A-A076-0072C2A5DF25}" uniqueName="14" name="Narrative" queryTableFieldId="14" dataDxfId="48"/>
    <tableColumn id="15" xr3:uid="{32048DBC-DAAC-4500-9ADF-38FDA230E46A}" uniqueName="15" name="Total Value Stolen" queryTableFieldId="15" dataDxfId="47"/>
    <tableColumn id="16" xr3:uid="{5B44F028-6E69-4971-8A67-97C8E5CE5DBA}" uniqueName="16" name="Total Value Recover" queryTableFieldId="16" dataDxfId="46"/>
    <tableColumn id="17" xr3:uid="{B11F2756-1118-43BF-ACA0-1DFCE91A124B}" uniqueName="17" name="Registration 1" queryTableFieldId="17" dataDxfId="45"/>
    <tableColumn id="18" xr3:uid="{AC324CFE-FD01-4B5F-9861-E542255371ED}" uniqueName="18" name="Make1" queryTableFieldId="18" dataDxfId="44"/>
    <tableColumn id="19" xr3:uid="{DA418A91-0A92-43B9-9954-76C8AD2874B8}" uniqueName="19" name="Model1" queryTableFieldId="19" dataDxfId="43"/>
    <tableColumn id="20" xr3:uid="{D3FD5405-62E2-4C5C-A15D-37EDB3356474}" uniqueName="20" name="Reg State 1" queryTableFieldId="20" dataDxfId="42"/>
    <tableColumn id="21" xr3:uid="{3ABEC754-62CF-4B4B-93DB-B9ED009B5BA5}" uniqueName="21" name="Registration 2" queryTableFieldId="21" dataDxfId="41"/>
    <tableColumn id="22" xr3:uid="{D58D4D60-AB45-4328-A118-4EAB553370C0}" uniqueName="22" name="Reg State 2" queryTableFieldId="22" dataDxfId="40"/>
    <tableColumn id="23" xr3:uid="{24221605-AEA9-454A-AC47-B6A7592BE693}" uniqueName="23" name="Make2" queryTableFieldId="23" dataDxfId="39"/>
    <tableColumn id="24" xr3:uid="{AF4BC642-5CDB-4825-8F7C-D70E90B4525B}" uniqueName="24" name="Model2" queryTableFieldId="24" dataDxfId="38"/>
    <tableColumn id="25" xr3:uid="{5BD394BE-C85C-4BE9-A456-57580CD2F186}" uniqueName="25" name="Reviewed By" queryTableFieldId="25" dataDxfId="37"/>
    <tableColumn id="26" xr3:uid="{961D2FB9-0F6A-4F10-B2DA-DD35257BF819}" uniqueName="26" name="CompleteCalc" queryTableFieldId="26" dataDxfId="36"/>
    <tableColumn id="27" xr3:uid="{56DB6DEB-193B-4E62-AC80-6A7CE8F3225D}" uniqueName="27" name="Officer of Record" queryTableFieldId="27" dataDxfId="35"/>
    <tableColumn id="28" xr3:uid="{F30C3D6F-19EA-4D96-8D53-A4AC7962B864}" uniqueName="28" name="Squad" queryTableFieldId="28" dataDxfId="34"/>
    <tableColumn id="29" xr3:uid="{46157F22-3336-4DAE-A8BA-FFAAFB9BB602}" uniqueName="29" name="Det_Assigned" queryTableFieldId="29" dataDxfId="33"/>
    <tableColumn id="30" xr3:uid="{84BA68F9-9176-4FDF-94D5-DD7BF4BCC249}" uniqueName="30" name="Case_Status" queryTableFieldId="30" dataDxfId="32"/>
    <tableColumn id="37" xr3:uid="{025F0873-9B21-47A4-9F54-56D348B6DE51}" uniqueName="37" name="NibrsClassification" queryTableFieldId="37" dataDxfId="31"/>
    <tableColumn id="42" xr3:uid="{A6586F66-153B-4CEE-B272-635FB18D0672}" uniqueName="42" name="CASE_NUMBER_LENGTH" queryTableFieldId="75" dataDxfId="30"/>
    <tableColumn id="2" xr3:uid="{DD22F8A9-F5A1-4F63-8E03-29BB62EBDF80}" uniqueName="2" name="Incident Date" queryTableFieldId="2" dataDxfId="29"/>
    <tableColumn id="39" xr3:uid="{34FE7D4E-147F-4744-88F7-D376CD7C6D9A}" uniqueName="39" name="IncTime" queryTableFieldId="39" dataDxfId="28"/>
    <tableColumn id="40" xr3:uid="{A6EA5C19-FED2-4C6E-A0B5-77CB7790F8E5}" uniqueName="40" name="StartOfHour" queryTableFieldId="40" dataDxfId="27"/>
    <tableColumn id="34" xr3:uid="{355E542F-7984-4C4D-9084-AD2FE8CDF61E}" uniqueName="34" name="TimeOfDay" queryTableFieldId="34" dataDxfId="26"/>
    <tableColumn id="55" xr3:uid="{21829D8D-47A6-4BB0-92E5-0FD3848D2F14}" uniqueName="55" name="Block" queryTableFieldId="88" dataDxfId="25"/>
    <tableColumn id="64" xr3:uid="{D584A825-5D20-4CAB-BC5A-B97DCE10DD35}" uniqueName="64" name="AllIncidents" queryTableFieldId="119" dataDxfId="24"/>
    <tableColumn id="65" xr3:uid="{F8053C5E-8CCB-4D14-A9AB-8D8C05B55432}" uniqueName="65" name="Period" queryTableFieldId="120" dataDxfId="23"/>
    <tableColumn id="35" xr3:uid="{5D5123DC-18F1-45EE-B2F9-DADF20CE9CD9}" uniqueName="35" name="ALL_INCIDENTS" queryTableFieldId="35" dataDxfId="22"/>
    <tableColumn id="43" xr3:uid="{826E7572-2BE4-4A1B-905A-2E58F3378254}" uniqueName="43" name="INC_TIME" queryTableFieldId="76" dataDxfId="21"/>
    <tableColumn id="44" xr3:uid="{FFE07E43-999B-4C38-A067-30A04C4E3E29}" uniqueName="44" name="INC_DATE" queryTableFieldId="77" dataDxfId="20"/>
    <tableColumn id="45" xr3:uid="{C1021011-F28B-4EAF-806B-943B572B77D0}" uniqueName="45" name="Start of Hour" queryTableFieldId="78" dataDxfId="19"/>
    <tableColumn id="46" xr3:uid="{2D36EA95-7123-4E90-9CE6-F2F57F6530CE}" uniqueName="46" name="INC_DATE_AND_TIME" queryTableFieldId="79" dataDxfId="18"/>
    <tableColumn id="47" xr3:uid="{403C17F9-8A1E-4F59-AA79-CC17E4F56E86}" uniqueName="47" name="TOD" queryTableFieldId="80" dataDxfId="17"/>
    <tableColumn id="48" xr3:uid="{FADCA35E-FB3B-4172-B203-503B793B717C}" uniqueName="48" name="Day Name" queryTableFieldId="81" dataDxfId="16"/>
    <tableColumn id="49" xr3:uid="{02909198-AAD5-47B5-A45B-2EFC42DE9A25}" uniqueName="49" name="Month Name" queryTableFieldId="82" dataDxfId="15"/>
    <tableColumn id="50" xr3:uid="{AD988F7A-1CB5-4147-B972-6E7AED559F45}" uniqueName="50" name="Year" queryTableFieldId="83" dataDxfId="14"/>
    <tableColumn id="51" xr3:uid="{8933EE75-7946-48F4-AB7F-E6B547E1C81D}" uniqueName="51" name="Week of Year" queryTableFieldId="84" dataDxfId="13"/>
    <tableColumn id="52" xr3:uid="{EB7243C2-85B4-4662-81BF-E892F4178C99}" uniqueName="52" name="Week of Month" queryTableFieldId="85" dataDxfId="12"/>
    <tableColumn id="53" xr3:uid="{C722D530-FEC2-447D-B437-F7CA7A1E5AE6}" uniqueName="53" name="Day" queryTableFieldId="86" dataDxfId="11"/>
    <tableColumn id="54" xr3:uid="{AFBFF7E1-F209-488A-87D4-0B2E4AB29492}" uniqueName="54" name="Day of Year" queryTableFieldId="87" dataDxfId="10"/>
    <tableColumn id="66" xr3:uid="{BAD70EE6-B8BE-4C0F-80D3-7B96E051FCB4}" uniqueName="66" name="BLOCK2" queryTableFieldId="121" dataDxfId="9"/>
    <tableColumn id="56" xr3:uid="{199F6E83-B61A-4E95-9850-D17286D4B7FE}" uniqueName="56" name="Location" queryTableFieldId="89" dataDxfId="8"/>
    <tableColumn id="57" xr3:uid="{F8EAFCD5-D0BA-4375-8B1C-639417542BC7}" uniqueName="57" name="St#" queryTableFieldId="90" dataDxfId="7"/>
    <tableColumn id="58" xr3:uid="{A6653756-F6D5-4AAE-880F-95484036B050}" uniqueName="58" name="Notes" queryTableFieldId="91" dataDxfId="6"/>
    <tableColumn id="59" xr3:uid="{21760134-A0A7-4692-8A52-79AD41663151}" uniqueName="59" name="VEHICLE" queryTableFieldId="92" dataDxfId="5"/>
    <tableColumn id="60" xr3:uid="{523C22A2-0D46-4FA5-B16F-E84110B2DCD2}" uniqueName="60" name="Suspect" queryTableFieldId="93" dataDxfId="4"/>
    <tableColumn id="61" xr3:uid="{A2B0BAFB-9EC9-48BD-8009-BA0F8CBBB133}" uniqueName="61" name="TOTAL_STOLEN_AMOUNT" queryTableFieldId="94" dataDxfId="3"/>
    <tableColumn id="62" xr3:uid="{489729E1-F28D-47FC-BBE2-153225832E3A}" uniqueName="62" name="REPORT_CYCLE" queryTableFieldId="95" dataDxfId="2"/>
    <tableColumn id="63" xr3:uid="{5FB658CA-A39F-4168-ACF2-981291825D04}" uniqueName="63" name="TIME_OF_DAY" queryTableFieldId="96" dataDxfId="1"/>
    <tableColumn id="41" xr3:uid="{10B96B21-AF39-4385-B477-7C906B2ABECE}" uniqueName="41" name="Enhanced_TimeOfDay" queryTableFieldId="41" dataDxfId="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4D8E4-4E57-48FA-A7F5-A7ABE078EBA9}" name="EXPORT_RMS" displayName="EXPORT_RMS" ref="A1:AZ117" tableType="queryTable" totalsRowShown="0" headerRowDxfId="600" dataDxfId="599">
  <autoFilter ref="A1:AZ117" xr:uid="{8D94D8E4-4E57-48FA-A7F5-A7ABE078EBA9}"/>
  <tableColumns count="52">
    <tableColumn id="1" xr3:uid="{EA985C80-B3E9-4608-B2D7-ACC726C5B8E7}" uniqueName="1" name="Name" queryTableFieldId="1" dataDxfId="344"/>
    <tableColumn id="2" xr3:uid="{4EAA73CD-893D-46B5-A3F4-FC22A3985E8C}" uniqueName="2" name="Extension" queryTableFieldId="2" dataDxfId="343"/>
    <tableColumn id="3" xr3:uid="{3ACF7A34-A1C7-421E-B4EA-FBE07BD4755E}" uniqueName="3" name="Date accessed" queryTableFieldId="3" dataDxfId="342"/>
    <tableColumn id="4" xr3:uid="{33A40E4B-1DB2-4803-9DF1-441DBEE51871}" uniqueName="4" name="Date modified" queryTableFieldId="4" dataDxfId="341"/>
    <tableColumn id="5" xr3:uid="{D775F2A4-7B38-44C1-BB2F-DD0DF4955B92}" uniqueName="5" name="Date created" queryTableFieldId="5" dataDxfId="340"/>
    <tableColumn id="6" xr3:uid="{43F6B45B-96B4-40F4-9AF8-BA23902B9FCD}" uniqueName="6" name="Folder Path" queryTableFieldId="6" dataDxfId="339"/>
    <tableColumn id="7" xr3:uid="{535B67A8-0412-480F-B3E1-D0CC24F58429}" uniqueName="7" name="Case Number" queryTableFieldId="7" dataDxfId="338"/>
    <tableColumn id="8" xr3:uid="{748C8372-BB7E-47F8-989E-2581CBAF8A90}" uniqueName="8" name="IncidentDate" queryTableFieldId="8" dataDxfId="337"/>
    <tableColumn id="9" xr3:uid="{E5EDEB58-0305-4294-B646-F6C02B5879A1}" uniqueName="9" name="Incident Time" queryTableFieldId="9" dataDxfId="336"/>
    <tableColumn id="10" xr3:uid="{B40FBD19-A3A3-4690-BD58-A70827081220}" uniqueName="10" name="Incident Date_Between" queryTableFieldId="10" dataDxfId="335"/>
    <tableColumn id="11" xr3:uid="{5108CB6B-DE3A-49C5-B7CC-CB588322365D}" uniqueName="11" name="Incident Time_Between" queryTableFieldId="11" dataDxfId="334"/>
    <tableColumn id="12" xr3:uid="{51A007FB-D5A5-4517-BB98-4A421A0373B2}" uniqueName="12" name="Report Date" queryTableFieldId="12" dataDxfId="333"/>
    <tableColumn id="13" xr3:uid="{C2DEF440-2826-4AFA-80FA-4418FB97E16A}" uniqueName="13" name="Report Time" queryTableFieldId="13" dataDxfId="332"/>
    <tableColumn id="14" xr3:uid="{310660B9-01A5-48A4-A54B-5531A0B0ADDC}" uniqueName="14" name="Incident Type_1" queryTableFieldId="14" dataDxfId="331"/>
    <tableColumn id="15" xr3:uid="{8593B6E7-D31C-4349-BF1C-D99437FAC4B5}" uniqueName="15" name="Incident Type_2" queryTableFieldId="15" dataDxfId="330"/>
    <tableColumn id="16" xr3:uid="{79608978-A11E-4D09-ADD2-8210642AD8B2}" uniqueName="16" name="Incident Type_3" queryTableFieldId="16" dataDxfId="329"/>
    <tableColumn id="17" xr3:uid="{2E1284D2-D4DC-49B5-B66F-0342455BAC82}" uniqueName="17" name="FullAddress" queryTableFieldId="17" dataDxfId="328"/>
    <tableColumn id="18" xr3:uid="{17E603F0-D3A1-4A9C-809C-B0F93BB13F55}" uniqueName="18" name="Grid" queryTableFieldId="18" dataDxfId="327"/>
    <tableColumn id="19" xr3:uid="{404013C6-3EAC-4431-90DD-9410010BB8A1}" uniqueName="19" name="Zone" queryTableFieldId="19" dataDxfId="326"/>
    <tableColumn id="20" xr3:uid="{EA669477-1126-4CB8-8D14-38CDE237DAC6}" uniqueName="20" name="Narrative" queryTableFieldId="20" dataDxfId="325"/>
    <tableColumn id="21" xr3:uid="{AA589B34-8685-49AF-AA26-C6B16C059D96}" uniqueName="21" name="Total Value Stolen" queryTableFieldId="21" dataDxfId="324"/>
    <tableColumn id="22" xr3:uid="{6E11FC49-ACE5-4002-8F1F-DAC4339B1347}" uniqueName="22" name="Total Value Recover" queryTableFieldId="22" dataDxfId="323"/>
    <tableColumn id="23" xr3:uid="{BC857F7D-1CEF-4986-AF9F-7B4D11B2616E}" uniqueName="23" name="Registration 1" queryTableFieldId="23" dataDxfId="322"/>
    <tableColumn id="24" xr3:uid="{BCD855F4-7974-4988-969D-FC6E1A0C498E}" uniqueName="24" name="Make1" queryTableFieldId="24" dataDxfId="321"/>
    <tableColumn id="25" xr3:uid="{4E3D6D73-3F58-4828-8B30-F31936DB46C0}" uniqueName="25" name="Model1" queryTableFieldId="25" dataDxfId="320"/>
    <tableColumn id="26" xr3:uid="{153B73A4-BB5C-4174-B4A3-A703D8FFDBA9}" uniqueName="26" name="Reg State 1" queryTableFieldId="26" dataDxfId="319"/>
    <tableColumn id="27" xr3:uid="{38013CFE-1F79-4B73-976C-0654439ABAD8}" uniqueName="27" name="Registration 2" queryTableFieldId="27" dataDxfId="318"/>
    <tableColumn id="28" xr3:uid="{E7EAB6E4-F825-4DD5-B0E5-E42C2E76FAE0}" uniqueName="28" name="Reg State 2" queryTableFieldId="28" dataDxfId="317"/>
    <tableColumn id="29" xr3:uid="{71FAC948-F495-493E-82F7-430812BA8E58}" uniqueName="29" name="Make2" queryTableFieldId="29" dataDxfId="316"/>
    <tableColumn id="30" xr3:uid="{2DCFCD27-A095-4762-B507-379FDF1B41ED}" uniqueName="30" name="Model2" queryTableFieldId="30" dataDxfId="315"/>
    <tableColumn id="31" xr3:uid="{8965AD91-2966-44A0-A5F7-7E277E45200D}" uniqueName="31" name="Reviewed By" queryTableFieldId="31" dataDxfId="314"/>
    <tableColumn id="32" xr3:uid="{0CF68514-1673-49D3-A16C-DB0D1EEC8C8C}" uniqueName="32" name="CompleteCalc" queryTableFieldId="32" dataDxfId="313"/>
    <tableColumn id="33" xr3:uid="{42E63EC0-54AE-4705-A28C-31AF1950AD38}" uniqueName="33" name="Officer of Record" queryTableFieldId="33" dataDxfId="312"/>
    <tableColumn id="34" xr3:uid="{9E838174-81E6-4727-9CDA-4E7F0C90AACC}" uniqueName="34" name="Squad" queryTableFieldId="34" dataDxfId="311"/>
    <tableColumn id="35" xr3:uid="{00C5A1AB-42BB-40E4-AE3E-F62E6F9FBD14}" uniqueName="35" name="Det_Assigned" queryTableFieldId="35" dataDxfId="310"/>
    <tableColumn id="36" xr3:uid="{950233B8-BE1F-4251-B451-E22718BA18EA}" uniqueName="36" name="Case_Status" queryTableFieldId="36" dataDxfId="309"/>
    <tableColumn id="37" xr3:uid="{C98CBEB5-0DFE-4DDA-A885-27362785925B}" uniqueName="37" name="NibrsClassification" queryTableFieldId="37" dataDxfId="308"/>
    <tableColumn id="38" xr3:uid="{226C8214-FCC5-40C9-A754-FAD1DCE8A41B}" uniqueName="38" name="CASE_NUMBER_LENGTH" queryTableFieldId="38" dataDxfId="307"/>
    <tableColumn id="39" xr3:uid="{736F7B3F-42E3-4674-8BD2-95414A179677}" uniqueName="39" name="Incident Date" queryTableFieldId="39" dataDxfId="306"/>
    <tableColumn id="40" xr3:uid="{E8E346DA-71D1-4CD1-8965-6D4EBAECB672}" uniqueName="40" name="IncTime" queryTableFieldId="40" dataDxfId="305"/>
    <tableColumn id="41" xr3:uid="{D1BA0B4C-DB6B-4DFF-A6BB-DB1DB9251FC1}" uniqueName="41" name="StartOfHour" queryTableFieldId="41" dataDxfId="304"/>
    <tableColumn id="42" xr3:uid="{D4C0EC4B-7C19-433D-8F4E-5AC4EDDDD249}" uniqueName="42" name="TimeOfDay" queryTableFieldId="42" dataDxfId="303"/>
    <tableColumn id="43" xr3:uid="{419F106D-4575-405B-8CD7-FFEED4BCD51D}" uniqueName="43" name="Block" queryTableFieldId="43" dataDxfId="302"/>
    <tableColumn id="44" xr3:uid="{C25B82A1-CA78-4203-85F9-C3D1822F769D}" uniqueName="44" name="ALL_INCIDENTS" queryTableFieldId="44" dataDxfId="301"/>
    <tableColumn id="45" xr3:uid="{C77FF47A-C707-4DE1-8F77-AD3B5FA850AE}" uniqueName="45" name="Period" queryTableFieldId="45" dataDxfId="300"/>
    <tableColumn id="46" xr3:uid="{DFF030FE-D34B-4071-818E-EDB9F6006246}" uniqueName="46" name="Enhanced_TimeOfDay" queryTableFieldId="46" dataDxfId="299"/>
    <tableColumn id="47" xr3:uid="{41910A90-5120-443F-9B97-4FA123587D1D}" uniqueName="47" name="Day Name" queryTableFieldId="47" dataDxfId="298"/>
    <tableColumn id="48" xr3:uid="{53739EC5-7689-4E93-AE91-393166881A38}" uniqueName="48" name="Month Name" queryTableFieldId="48" dataDxfId="297"/>
    <tableColumn id="49" xr3:uid="{9D948D9A-A122-434A-99AC-DAEF47B7770F}" uniqueName="49" name="Year" queryTableFieldId="49" dataDxfId="296"/>
    <tableColumn id="50" xr3:uid="{5DB2751B-5D0E-4F3F-B95C-00798080C4ED}" uniqueName="50" name="Week of Year" queryTableFieldId="50" dataDxfId="295"/>
    <tableColumn id="51" xr3:uid="{9B8CC16E-CDF8-4662-8D4A-1464D104B889}" uniqueName="51" name="Day" queryTableFieldId="51" dataDxfId="294"/>
    <tableColumn id="52" xr3:uid="{A61D9B46-0298-429D-8AF8-BDAE4D3A7FC9}" uniqueName="52" name="BLOCK_Enhanced" queryTableFieldId="52" dataDxfId="29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769E3D5-DCAA-44E5-8C5B-733D6790954D}" name="Motor_Vehicle_Theft" displayName="Motor_Vehicle_Theft" ref="A1:AM29" tableType="queryTable" totalsRowShown="0" headerRowDxfId="598" dataDxfId="597">
  <autoFilter ref="A1:AM29" xr:uid="{3769E3D5-DCAA-44E5-8C5B-733D6790954D}"/>
  <tableColumns count="39">
    <tableColumn id="1" xr3:uid="{2F174D43-B9B7-4C52-B954-EB7D477E86E8}" uniqueName="1" name="Case Number" queryTableFieldId="1" dataDxfId="596"/>
    <tableColumn id="36" xr3:uid="{88692CB9-D92B-40BE-8727-A84F5585A9AD}" uniqueName="36" name="IncidentDate" queryTableFieldId="36" dataDxfId="292"/>
    <tableColumn id="3" xr3:uid="{9FD77C46-40B8-4B0A-92CD-FF5A5A49A119}" uniqueName="3" name="Incident Time" queryTableFieldId="3" dataDxfId="291"/>
    <tableColumn id="4" xr3:uid="{56081B7C-83A2-410B-9291-18377ABA7C7C}" uniqueName="4" name="Incident Date_Between" queryTableFieldId="4" dataDxfId="290"/>
    <tableColumn id="5" xr3:uid="{BC2D902F-0F1E-48C0-A8A9-3646CADC8ED1}" uniqueName="5" name="Incident Time_Between" queryTableFieldId="5" dataDxfId="289"/>
    <tableColumn id="6" xr3:uid="{DC89B283-EA5C-481A-AF43-2F17A503055C}" uniqueName="6" name="Report Date" queryTableFieldId="6" dataDxfId="288"/>
    <tableColumn id="7" xr3:uid="{8061574A-F605-49EF-8140-1A23CCF3358F}" uniqueName="7" name="Report Time" queryTableFieldId="7" dataDxfId="287"/>
    <tableColumn id="8" xr3:uid="{879D3EBD-8EFE-48F9-BFE8-93EB00B8E075}" uniqueName="8" name="Incident Type_1" queryTableFieldId="8" dataDxfId="595"/>
    <tableColumn id="9" xr3:uid="{C4F17403-B67B-41DF-9856-EEE94FE7BE2F}" uniqueName="9" name="Incident Type_2" queryTableFieldId="9" dataDxfId="594"/>
    <tableColumn id="10" xr3:uid="{4BD429E3-5DFB-44A8-8D32-BCE46D3AA3B4}" uniqueName="10" name="Incident Type_3" queryTableFieldId="10" dataDxfId="593"/>
    <tableColumn id="11" xr3:uid="{4BF36B6F-C70A-4219-A908-DA5FF2E54AE1}" uniqueName="11" name="FullAddress" queryTableFieldId="11" dataDxfId="592"/>
    <tableColumn id="12" xr3:uid="{1854204F-9211-4667-98A0-1012CC9A7669}" uniqueName="12" name="Grid" queryTableFieldId="12" dataDxfId="591"/>
    <tableColumn id="13" xr3:uid="{05121178-BF09-4DB1-902C-328B10156E40}" uniqueName="13" name="Zone" queryTableFieldId="13" dataDxfId="590"/>
    <tableColumn id="14" xr3:uid="{5442CFE0-3197-4837-A064-8DFE4A5ED23F}" uniqueName="14" name="Narrative" queryTableFieldId="14" dataDxfId="589"/>
    <tableColumn id="15" xr3:uid="{1BEB9B34-75B4-43E6-BE67-46BA7BA10A53}" uniqueName="15" name="Total Value Stolen" queryTableFieldId="15" dataDxfId="588"/>
    <tableColumn id="16" xr3:uid="{0C37241B-987B-4047-B08E-3D5456EBE32B}" uniqueName="16" name="Total Value Recover" queryTableFieldId="16" dataDxfId="587"/>
    <tableColumn id="17" xr3:uid="{AC48FCAA-48F1-4D98-8EB6-D48D2D0AD813}" uniqueName="17" name="Registration 1" queryTableFieldId="17" dataDxfId="586"/>
    <tableColumn id="18" xr3:uid="{C9E3E0A5-A611-4A33-B4C6-75F0A05A2DD3}" uniqueName="18" name="Make1" queryTableFieldId="18" dataDxfId="585"/>
    <tableColumn id="19" xr3:uid="{69FE4A90-2313-4656-B374-B2D2A16B6322}" uniqueName="19" name="Model1" queryTableFieldId="19" dataDxfId="584"/>
    <tableColumn id="20" xr3:uid="{D2DDD88C-A137-4909-82AC-ADE4946EB104}" uniqueName="20" name="Reg State 1" queryTableFieldId="20" dataDxfId="583"/>
    <tableColumn id="21" xr3:uid="{FF5FC07D-D31A-4ACD-BBD0-9B694D9767E5}" uniqueName="21" name="Registration 2" queryTableFieldId="21" dataDxfId="582"/>
    <tableColumn id="22" xr3:uid="{D153ECA6-EB26-4A52-91A4-4C39B0E82D8D}" uniqueName="22" name="Reg State 2" queryTableFieldId="22" dataDxfId="581"/>
    <tableColumn id="23" xr3:uid="{E3536783-7FE5-4B8D-B1B5-18AAE9C82886}" uniqueName="23" name="Make2" queryTableFieldId="23" dataDxfId="580"/>
    <tableColumn id="24" xr3:uid="{81276FB2-FE38-48D4-AD35-97E0389FBD45}" uniqueName="24" name="Model2" queryTableFieldId="24" dataDxfId="579"/>
    <tableColumn id="25" xr3:uid="{B7E27295-1339-479A-9FFA-F6FC72108F1E}" uniqueName="25" name="Reviewed By" queryTableFieldId="25" dataDxfId="578"/>
    <tableColumn id="26" xr3:uid="{49A9A728-0939-4C84-A93C-ADE06A0F08EE}" uniqueName="26" name="CompleteCalc" queryTableFieldId="26" dataDxfId="577"/>
    <tableColumn id="27" xr3:uid="{2A139185-FDBE-4BDA-BC8B-8DE1F9D1B094}" uniqueName="27" name="Officer of Record" queryTableFieldId="27" dataDxfId="576"/>
    <tableColumn id="28" xr3:uid="{7DA4D084-1D51-4CEF-821D-D576ACCC96C4}" uniqueName="28" name="Squad" queryTableFieldId="28" dataDxfId="575"/>
    <tableColumn id="29" xr3:uid="{C0E215E2-A7C4-41D2-B352-B5082A0D9B13}" uniqueName="29" name="Det_Assigned" queryTableFieldId="29" dataDxfId="574"/>
    <tableColumn id="30" xr3:uid="{5CDD9A8C-79D0-4DD5-8498-D1937A495FEF}" uniqueName="30" name="Case_Status" queryTableFieldId="30" dataDxfId="573"/>
    <tableColumn id="37" xr3:uid="{AAEBE74C-8783-4B9F-9CA6-F64926EBBA44}" uniqueName="37" name="NibrsClassification" queryTableFieldId="37" dataDxfId="572"/>
    <tableColumn id="64" xr3:uid="{6A8EA985-43E3-4354-B8DD-C2FB40DDD3CF}" uniqueName="64" name="CaseNumberLength" queryTableFieldId="119" dataDxfId="571"/>
    <tableColumn id="2" xr3:uid="{94DEE3AC-8689-49D9-BEA5-E5DE7794A120}" uniqueName="2" name="Incident Date" queryTableFieldId="2" dataDxfId="286"/>
    <tableColumn id="39" xr3:uid="{8CB0AC9B-323D-4CD1-B8BF-60641E3A8814}" uniqueName="39" name="IncTime" queryTableFieldId="39" dataDxfId="285"/>
    <tableColumn id="40" xr3:uid="{F7FB22F7-6A15-444B-83FB-B59E9B34C1F1}" uniqueName="40" name="StartOfHour" queryTableFieldId="40" dataDxfId="284"/>
    <tableColumn id="34" xr3:uid="{A78FECA6-0158-4AE2-A401-0110DC6B80B7}" uniqueName="34" name="TimeOfDay" queryTableFieldId="34" dataDxfId="570"/>
    <tableColumn id="55" xr3:uid="{43394831-B1CD-4131-9C58-5F48D35A2863}" uniqueName="55" name="Block" queryTableFieldId="88" dataDxfId="569"/>
    <tableColumn id="35" xr3:uid="{D1B6A7FC-2E16-4978-8976-EF309DDD0D0A}" uniqueName="35" name="ALL_INCIDENTS" queryTableFieldId="35" dataDxfId="568"/>
    <tableColumn id="65" xr3:uid="{3652551A-3304-40F3-8528-C7484AD53F36}" uniqueName="65" name="Period" queryTableFieldId="120" dataDxfId="567"/>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A332714-3ECC-4D31-9CC4-4113BBAAC668}" name="Auto_Burglary" displayName="Auto_Burglary" ref="A1:BI27" tableType="queryTable" totalsRowShown="0">
  <autoFilter ref="A1:BI27" xr:uid="{8A332714-3ECC-4D31-9CC4-4113BBAAC668}"/>
  <tableColumns count="61">
    <tableColumn id="1" xr3:uid="{5BA540F9-1A7B-453B-9A4E-D96A646A6A86}" uniqueName="1" name="Case Number" queryTableFieldId="1" dataDxfId="566"/>
    <tableColumn id="36" xr3:uid="{F928487C-3E3C-41EF-A73A-5749009F7AC8}" uniqueName="36" name="IncidentDate" queryTableFieldId="36"/>
    <tableColumn id="3" xr3:uid="{5265A68B-47DF-412B-9027-77BE219F324E}" uniqueName="3" name="Incident Time" queryTableFieldId="3" dataDxfId="73"/>
    <tableColumn id="4" xr3:uid="{52D9C017-E572-4AEF-9AE7-FA13104F9197}" uniqueName="4" name="Incident Date_Between" queryTableFieldId="4" dataDxfId="72"/>
    <tableColumn id="5" xr3:uid="{B87E6B0A-7CDE-4743-A5EF-ACC76E10BDD0}" uniqueName="5" name="Incident Time_Between" queryTableFieldId="5" dataDxfId="71"/>
    <tableColumn id="6" xr3:uid="{F8B913EF-6F23-4D3C-80F0-8CEE46016093}" uniqueName="6" name="Report Date" queryTableFieldId="6" dataDxfId="70"/>
    <tableColumn id="7" xr3:uid="{B8CF4528-8AC6-4672-AC45-5EEDC8A0167D}" uniqueName="7" name="Report Time" queryTableFieldId="7" dataDxfId="69"/>
    <tableColumn id="8" xr3:uid="{8A60C3C9-8A99-4281-8664-D88253ABF77D}" uniqueName="8" name="Incident Type_1" queryTableFieldId="8" dataDxfId="565"/>
    <tableColumn id="9" xr3:uid="{5146A8AE-4FA0-4DF3-AB69-487A303207AB}" uniqueName="9" name="Incident Type_2" queryTableFieldId="9" dataDxfId="564"/>
    <tableColumn id="10" xr3:uid="{31746788-02EC-4898-90C6-D76528C8BAB6}" uniqueName="10" name="Incident Type_3" queryTableFieldId="10" dataDxfId="563"/>
    <tableColumn id="11" xr3:uid="{C7C83012-958F-48A6-BD74-3D3996C44043}" uniqueName="11" name="FullAddress" queryTableFieldId="11" dataDxfId="562"/>
    <tableColumn id="12" xr3:uid="{8BF49E38-6030-4EC6-B1D2-15D6E3DC5402}" uniqueName="12" name="Grid" queryTableFieldId="12" dataDxfId="561"/>
    <tableColumn id="13" xr3:uid="{F74CB9B5-B195-40D4-943A-1DB662BBED36}" uniqueName="13" name="Zone" queryTableFieldId="13"/>
    <tableColumn id="14" xr3:uid="{D6FD85D9-8397-4502-B5D6-9A93DA469EC9}" uniqueName="14" name="Narrative" queryTableFieldId="14" dataDxfId="560"/>
    <tableColumn id="15" xr3:uid="{C221105F-5B39-40EE-95A1-5D555D2385E1}" uniqueName="15" name="Total Value Stolen" queryTableFieldId="15"/>
    <tableColumn id="16" xr3:uid="{8D6099C8-A108-484B-8714-C5F05F5AB948}" uniqueName="16" name="Total Value Recover" queryTableFieldId="16"/>
    <tableColumn id="17" xr3:uid="{AA765734-88CD-4866-ABCC-AD18A0A66F3A}" uniqueName="17" name="Registration 1" queryTableFieldId="17" dataDxfId="559"/>
    <tableColumn id="18" xr3:uid="{3D99E826-8D76-4BE5-9C9D-4FA87BBBA88C}" uniqueName="18" name="Make1" queryTableFieldId="18" dataDxfId="558"/>
    <tableColumn id="19" xr3:uid="{D6EA09AE-AEFF-42B3-9B98-4D2ECF186737}" uniqueName="19" name="Model1" queryTableFieldId="19" dataDxfId="557"/>
    <tableColumn id="20" xr3:uid="{E0FF7603-1356-4FB8-8412-6A89A933C593}" uniqueName="20" name="Reg State 1" queryTableFieldId="20" dataDxfId="556"/>
    <tableColumn id="21" xr3:uid="{4B160E49-139C-47D4-BF89-F15D990D54FE}" uniqueName="21" name="Registration 2" queryTableFieldId="21" dataDxfId="555"/>
    <tableColumn id="22" xr3:uid="{EAFCC410-6F8F-406F-8D9A-3B537145D081}" uniqueName="22" name="Reg State 2" queryTableFieldId="22" dataDxfId="554"/>
    <tableColumn id="23" xr3:uid="{E1F02B69-A11D-482E-9032-3CF1EB88B5D8}" uniqueName="23" name="Make2" queryTableFieldId="23" dataDxfId="553"/>
    <tableColumn id="24" xr3:uid="{FE1DBFF3-60D8-4B1D-AEB5-C5A130A76F0B}" uniqueName="24" name="Model2" queryTableFieldId="24" dataDxfId="552"/>
    <tableColumn id="25" xr3:uid="{245A2044-4B70-49E5-8528-11EABA170249}" uniqueName="25" name="Reviewed By" queryTableFieldId="25" dataDxfId="551"/>
    <tableColumn id="26" xr3:uid="{FCA0B8B9-518C-4F69-9A58-CD44EE43E69D}" uniqueName="26" name="CompleteCalc" queryTableFieldId="26" dataDxfId="550"/>
    <tableColumn id="27" xr3:uid="{24B882A0-18B4-4E88-BF7D-5A1F5168DD53}" uniqueName="27" name="Officer of Record" queryTableFieldId="27" dataDxfId="549"/>
    <tableColumn id="28" xr3:uid="{5C7DC1E0-D8D1-40E0-B1DF-BDF23DB6CC98}" uniqueName="28" name="Squad" queryTableFieldId="28" dataDxfId="548"/>
    <tableColumn id="29" xr3:uid="{5CF66AEF-E5C7-48F0-9D85-2D6ADA6F4872}" uniqueName="29" name="Det_Assigned" queryTableFieldId="29" dataDxfId="547"/>
    <tableColumn id="30" xr3:uid="{61343236-62FC-4DD9-9297-28E6996EAC7D}" uniqueName="30" name="Case_Status" queryTableFieldId="30" dataDxfId="546"/>
    <tableColumn id="37" xr3:uid="{BEAA3EEC-2F71-4ED7-9F3A-AF43BE3D060C}" uniqueName="37" name="NibrsClassification" queryTableFieldId="37" dataDxfId="545"/>
    <tableColumn id="44" xr3:uid="{21D92E75-137F-499D-9D61-9C9872B65D3C}" uniqueName="44" name="CASE_NUMBER_LENGTH" queryTableFieldId="77" dataDxfId="544"/>
    <tableColumn id="2" xr3:uid="{EF9458A7-9D7F-4AE2-B8BE-736AA300F1BF}" uniqueName="2" name="Incident Date" queryTableFieldId="2" dataDxfId="68"/>
    <tableColumn id="39" xr3:uid="{96AC2A62-F518-41FD-8548-7449B0BDC93D}" uniqueName="39" name="IncTime" queryTableFieldId="39" dataDxfId="67"/>
    <tableColumn id="40" xr3:uid="{BAFB2DDA-241E-494D-A64E-69A0902B83F4}" uniqueName="40" name="StartOfHour" queryTableFieldId="40" dataDxfId="66"/>
    <tableColumn id="34" xr3:uid="{E1AE53B3-6F1F-4731-A5CF-F5B2EFA1D646}" uniqueName="34" name="TimeOfDay" queryTableFieldId="34" dataDxfId="543"/>
    <tableColumn id="55" xr3:uid="{57E73902-4622-426B-BB9B-B84FCEDABAAF}" uniqueName="55" name="Block" queryTableFieldId="88" dataDxfId="542"/>
    <tableColumn id="35" xr3:uid="{183BA1A5-B13F-45F1-9691-F69CB8D1F502}" uniqueName="35" name="ALL_INCIDENTS" queryTableFieldId="35" dataDxfId="541"/>
    <tableColumn id="64" xr3:uid="{C6EE79CC-0587-4132-8F0D-45EC77C78022}" uniqueName="64" name="Period" queryTableFieldId="119" dataDxfId="540"/>
    <tableColumn id="45" xr3:uid="{614A2F5C-D720-4969-B1EB-10025700405A}" uniqueName="45" name="INC_TIME" queryTableFieldId="78" dataDxfId="65"/>
    <tableColumn id="46" xr3:uid="{096282C5-53DD-4767-A377-C9DC0BDD38B7}" uniqueName="46" name="INC_DATE" queryTableFieldId="79" dataDxfId="64"/>
    <tableColumn id="47" xr3:uid="{FF966459-743F-4039-A3AE-35DB5E29A1FA}" uniqueName="47" name="Start of Hour" queryTableFieldId="80" dataDxfId="63"/>
    <tableColumn id="48" xr3:uid="{C5001A9A-E03F-44E8-971B-444DCE41C073}" uniqueName="48" name="INC_DATE_AND_TIME" queryTableFieldId="81" dataDxfId="62"/>
    <tableColumn id="49" xr3:uid="{B615AF85-B90E-4EF5-A49A-8D6E5C07454A}" uniqueName="49" name="TOD" queryTableFieldId="82" dataDxfId="539"/>
    <tableColumn id="43" xr3:uid="{7EB2DC78-7697-4356-BB33-DBF4FE1CCD12}" uniqueName="43" name="Day Name" queryTableFieldId="76" dataDxfId="538"/>
    <tableColumn id="42" xr3:uid="{C21A69D0-B83C-462B-943B-77CA135E33F6}" uniqueName="42" name="Month Name" queryTableFieldId="75" dataDxfId="537"/>
    <tableColumn id="50" xr3:uid="{926DD5E3-FCF4-4571-9049-0C95E1C56CBF}" uniqueName="50" name="Year" queryTableFieldId="83" dataDxfId="536"/>
    <tableColumn id="51" xr3:uid="{3C56D885-A5B3-4245-88F6-E93E6EFD08DA}" uniqueName="51" name="Week of Year" queryTableFieldId="84" dataDxfId="535"/>
    <tableColumn id="52" xr3:uid="{C7FF5245-0F92-4702-9586-0466CAD7D0DE}" uniqueName="52" name="Week of Month" queryTableFieldId="85" dataDxfId="534"/>
    <tableColumn id="53" xr3:uid="{34530586-24BA-4032-A0B3-F4A968A266C6}" uniqueName="53" name="Day" queryTableFieldId="86" dataDxfId="533"/>
    <tableColumn id="54" xr3:uid="{000881D7-A6B6-4894-9A57-CFF31C7CC847}" uniqueName="54" name="Day of Year" queryTableFieldId="87" dataDxfId="532"/>
    <tableColumn id="65" xr3:uid="{203A6647-38E2-4599-8F72-D3E1ACBCC837}" uniqueName="65" name="BLOCK2" queryTableFieldId="120" dataDxfId="531"/>
    <tableColumn id="56" xr3:uid="{E452C2AE-A494-42EF-8A25-79315142AFB6}" uniqueName="56" name="Location" queryTableFieldId="89" dataDxfId="530"/>
    <tableColumn id="57" xr3:uid="{E3FBFA0D-CAD5-40CA-93EE-9A8B4776AC4B}" uniqueName="57" name="St#" queryTableFieldId="90" dataDxfId="529"/>
    <tableColumn id="58" xr3:uid="{9BA0E371-6599-4816-917F-993A7252C792}" uniqueName="58" name="Notes" queryTableFieldId="91" dataDxfId="528"/>
    <tableColumn id="59" xr3:uid="{5C025004-CD92-48AE-8B70-C7C8423D36EB}" uniqueName="59" name="VEHICLE" queryTableFieldId="92" dataDxfId="527"/>
    <tableColumn id="60" xr3:uid="{F1432615-2844-4EBC-A374-054A564F68BD}" uniqueName="60" name="Suspect" queryTableFieldId="93" dataDxfId="526"/>
    <tableColumn id="61" xr3:uid="{5A51A2B3-3895-418B-8C22-DB6040011481}" uniqueName="61" name="TOTAL_STOLEN_AMOUNT" queryTableFieldId="94" dataDxfId="525"/>
    <tableColumn id="62" xr3:uid="{C0BDBF04-4114-4FAB-AC15-9ED083843359}" uniqueName="62" name="REPORT_CYCLE" queryTableFieldId="95" dataDxfId="524"/>
    <tableColumn id="63" xr3:uid="{881B5536-18FC-4D19-8599-0F71416652ED}" uniqueName="63" name="TIME_OF_DAY" queryTableFieldId="96" dataDxfId="523"/>
    <tableColumn id="41" xr3:uid="{4AD37EF6-C5DC-4B4C-96F0-C2455C60EDE7}" uniqueName="41" name="Enhanced_TimeOfDay" queryTableFieldId="41" dataDxfId="522"/>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010F07E-2B9E-4F29-B2EC-34BBDFED37C0}" name="Burglary_Commercial_Residential" displayName="Burglary_Commercial_Residential" ref="A1:BI32" tableType="queryTable" totalsRowShown="0" headerRowDxfId="521" dataDxfId="520">
  <autoFilter ref="A1:BI32" xr:uid="{C010F07E-2B9E-4F29-B2EC-34BBDFED37C0}"/>
  <tableColumns count="61">
    <tableColumn id="1" xr3:uid="{971A3DD2-3A1B-4D90-988D-EB55A9A2F9FD}" uniqueName="1" name="Case Number" queryTableFieldId="1" dataDxfId="283"/>
    <tableColumn id="55" xr3:uid="{75401D52-6EE7-4847-9BC5-574F25CD16E4}" uniqueName="55" name="IncidentDate" queryTableFieldId="55" dataDxfId="282"/>
    <tableColumn id="3" xr3:uid="{13B71906-EF90-4FC9-A1DC-B431A873447E}" uniqueName="3" name="Incident Time" queryTableFieldId="3" dataDxfId="281"/>
    <tableColumn id="4" xr3:uid="{E8D1D72E-FFD1-422E-850B-F07AC374508F}" uniqueName="4" name="Incident Date_Between" queryTableFieldId="4" dataDxfId="280"/>
    <tableColumn id="5" xr3:uid="{4B729429-2F1C-4C84-8812-B84783F88E5C}" uniqueName="5" name="Incident Time_Between" queryTableFieldId="5" dataDxfId="279"/>
    <tableColumn id="6" xr3:uid="{DAA89A0F-C3C5-4BB0-9C1D-08904D0AA835}" uniqueName="6" name="Report Date" queryTableFieldId="6" dataDxfId="278"/>
    <tableColumn id="7" xr3:uid="{721726A6-AC23-4162-AE93-BFC418AB87FE}" uniqueName="7" name="Report Time" queryTableFieldId="7" dataDxfId="277"/>
    <tableColumn id="8" xr3:uid="{A4D8D56F-C05F-4690-A6FA-C7084CBB01E7}" uniqueName="8" name="Incident Type_1" queryTableFieldId="8" dataDxfId="276"/>
    <tableColumn id="9" xr3:uid="{69E070D7-593E-4716-9FE4-7951F23AF646}" uniqueName="9" name="Incident Type_2" queryTableFieldId="9" dataDxfId="275"/>
    <tableColumn id="10" xr3:uid="{CFAA1391-10CB-47D7-8E9A-23CFCE1EC611}" uniqueName="10" name="Incident Type_3" queryTableFieldId="10" dataDxfId="274"/>
    <tableColumn id="11" xr3:uid="{8F08F409-B5B9-4B9E-83B3-9651E2B19363}" uniqueName="11" name="FullAddress" queryTableFieldId="11" dataDxfId="273"/>
    <tableColumn id="12" xr3:uid="{DD554A7E-5A9B-417D-B533-C0A39D544952}" uniqueName="12" name="Grid" queryTableFieldId="12" dataDxfId="272"/>
    <tableColumn id="13" xr3:uid="{15DCFB9F-A00A-4B74-A93C-0D16DC4ED8FD}" uniqueName="13" name="Zone" queryTableFieldId="13" dataDxfId="271"/>
    <tableColumn id="14" xr3:uid="{E7FED82A-E495-4066-A113-B6C9E833558B}" uniqueName="14" name="Narrative" queryTableFieldId="14" dataDxfId="270"/>
    <tableColumn id="15" xr3:uid="{D228771B-B55C-4642-AA38-C54E5F711A17}" uniqueName="15" name="Total Value Stolen" queryTableFieldId="15" dataDxfId="269"/>
    <tableColumn id="16" xr3:uid="{1BF12D1A-CC63-485A-B3EB-1D00A9BB017B}" uniqueName="16" name="Total Value Recover" queryTableFieldId="16" dataDxfId="268"/>
    <tableColumn id="17" xr3:uid="{804B5A07-AC98-47E7-A7CF-17C9A74E32F5}" uniqueName="17" name="Registration 1" queryTableFieldId="17" dataDxfId="267"/>
    <tableColumn id="18" xr3:uid="{BC117EE9-FD6D-4834-A9F5-5EF602BA94DF}" uniqueName="18" name="Make1" queryTableFieldId="18" dataDxfId="266"/>
    <tableColumn id="19" xr3:uid="{BA59A70E-2102-4B81-8837-AE666E9B68EB}" uniqueName="19" name="Model1" queryTableFieldId="19" dataDxfId="265"/>
    <tableColumn id="20" xr3:uid="{26189DA3-E02D-41D1-80B8-FA231B7CA7E1}" uniqueName="20" name="Reg State 1" queryTableFieldId="20" dataDxfId="264"/>
    <tableColumn id="21" xr3:uid="{1381443D-034A-4AEF-A05A-B22CC3CF0DF9}" uniqueName="21" name="Registration 2" queryTableFieldId="21" dataDxfId="263"/>
    <tableColumn id="22" xr3:uid="{FACE3B92-9298-45AD-9B3F-764572EEECCB}" uniqueName="22" name="Reg State 2" queryTableFieldId="22" dataDxfId="262"/>
    <tableColumn id="23" xr3:uid="{973FB742-120E-4FA2-AC5E-8BCC829913EC}" uniqueName="23" name="Make2" queryTableFieldId="23" dataDxfId="261"/>
    <tableColumn id="24" xr3:uid="{D7B5F31C-8FBF-46E3-A42B-3E76BCD1DE93}" uniqueName="24" name="Model2" queryTableFieldId="24" dataDxfId="260"/>
    <tableColumn id="25" xr3:uid="{60D41445-9C9F-4747-91A8-59344B96EA1F}" uniqueName="25" name="Reviewed By" queryTableFieldId="25" dataDxfId="259"/>
    <tableColumn id="26" xr3:uid="{1C00A268-63A8-4CBD-94EE-70A66FF3648E}" uniqueName="26" name="CompleteCalc" queryTableFieldId="26" dataDxfId="258"/>
    <tableColumn id="27" xr3:uid="{179F145E-CAB0-4464-810A-46090AD5E466}" uniqueName="27" name="Officer of Record" queryTableFieldId="27" dataDxfId="257"/>
    <tableColumn id="28" xr3:uid="{9A2E5CF0-13A9-4E27-9015-3DBFE1594C61}" uniqueName="28" name="Squad" queryTableFieldId="28" dataDxfId="256"/>
    <tableColumn id="29" xr3:uid="{9C9DFBE8-034B-46ED-8173-5C0486B169F9}" uniqueName="29" name="Det_Assigned" queryTableFieldId="29" dataDxfId="255"/>
    <tableColumn id="30" xr3:uid="{12D9D1D5-6179-4F4E-93C9-6CD94CBE89D1}" uniqueName="30" name="Case_Status" queryTableFieldId="30" dataDxfId="254"/>
    <tableColumn id="56" xr3:uid="{60A3844B-A86D-49E2-B07F-730547720469}" uniqueName="56" name="NibrsClassification" queryTableFieldId="56" dataDxfId="253"/>
    <tableColumn id="62" xr3:uid="{20A8B2E7-757E-4B95-B469-46B830E9DF89}" uniqueName="62" name="CASE_NUMBER_LENGTH" queryTableFieldId="96" dataDxfId="252"/>
    <tableColumn id="2" xr3:uid="{C93271B1-0F4C-404F-8FF9-5A9536A4B697}" uniqueName="2" name="Incident Date" queryTableFieldId="2" dataDxfId="251"/>
    <tableColumn id="58" xr3:uid="{51072B20-A300-4BB4-821C-2705DAB9E0A8}" uniqueName="58" name="IncTime" queryTableFieldId="58" dataDxfId="250"/>
    <tableColumn id="59" xr3:uid="{B744EE7B-A8DD-49A6-B2F1-108EE448C8EA}" uniqueName="59" name="StartOfHour" queryTableFieldId="59" dataDxfId="249"/>
    <tableColumn id="60" xr3:uid="{AD6E1BC2-9003-4C6E-9D5B-B7CCEE51EB9E}" uniqueName="60" name="TimeOfDay" queryTableFieldId="60" dataDxfId="248"/>
    <tableColumn id="75" xr3:uid="{DDCC066E-3009-460F-81A6-FD41D090EBA6}" uniqueName="75" name="Block" queryTableFieldId="109" dataDxfId="247"/>
    <tableColumn id="46" xr3:uid="{02A20A98-CE18-4DF2-9407-F7285F14EF66}" uniqueName="46" name="ALL_INCIDENTS" queryTableFieldId="46" dataDxfId="246"/>
    <tableColumn id="85" xr3:uid="{215EF4B1-2B35-4276-B511-10D5CD5C6D02}" uniqueName="85" name="Period" queryTableFieldId="135" dataDxfId="245"/>
    <tableColumn id="63" xr3:uid="{0B72F723-24CF-448D-8D59-7D0FAE9234B0}" uniqueName="63" name="INC_TIME" queryTableFieldId="97" dataDxfId="244"/>
    <tableColumn id="64" xr3:uid="{41453A37-7BAB-488C-8A7C-A9F87B9D15F0}" uniqueName="64" name="INC_DATE" queryTableFieldId="98" dataDxfId="243"/>
    <tableColumn id="65" xr3:uid="{BBBBACBF-D2F4-430C-8351-4273D93A079F}" uniqueName="65" name="Start of Hour" queryTableFieldId="99" dataDxfId="242"/>
    <tableColumn id="66" xr3:uid="{8041937C-95E7-4908-991A-A6580400C55C}" uniqueName="66" name="INC_DATE_AND_TIME" queryTableFieldId="100" dataDxfId="241"/>
    <tableColumn id="67" xr3:uid="{0FF939F8-0882-44CC-B237-8808F1E2E078}" uniqueName="67" name="TOD" queryTableFieldId="101" dataDxfId="240"/>
    <tableColumn id="68" xr3:uid="{12522FEB-6BD7-42A6-AF92-C5E2D54A6D32}" uniqueName="68" name="Day Name" queryTableFieldId="102" dataDxfId="239"/>
    <tableColumn id="69" xr3:uid="{38CAFBAA-A2DE-4513-B269-6712BC8748F2}" uniqueName="69" name="Month Name" queryTableFieldId="103" dataDxfId="238"/>
    <tableColumn id="70" xr3:uid="{50909469-3775-4B13-97C6-57886C6ECE47}" uniqueName="70" name="Year" queryTableFieldId="104" dataDxfId="237"/>
    <tableColumn id="71" xr3:uid="{8DE6EB4B-7641-437D-A0BB-A3D15E293819}" uniqueName="71" name="Week of Year" queryTableFieldId="105" dataDxfId="236"/>
    <tableColumn id="72" xr3:uid="{1F7088B8-1317-426B-9E30-70D67BE8218A}" uniqueName="72" name="Week of Month" queryTableFieldId="106" dataDxfId="235"/>
    <tableColumn id="73" xr3:uid="{0B5FB367-3DAA-4B36-9EE0-B2F1545E7B36}" uniqueName="73" name="Day" queryTableFieldId="107" dataDxfId="234"/>
    <tableColumn id="74" xr3:uid="{01BF0E99-6678-4CF2-A1FD-911056BA7468}" uniqueName="74" name="Day of Year" queryTableFieldId="108" dataDxfId="233"/>
    <tableColumn id="86" xr3:uid="{78F1358F-3FE6-493E-A711-1EEB469AD01A}" uniqueName="86" name="BLOCK2" queryTableFieldId="136" dataDxfId="232"/>
    <tableColumn id="76" xr3:uid="{0C742A3D-62BD-4105-9FB9-F7143601AE5F}" uniqueName="76" name="Location" queryTableFieldId="110" dataDxfId="231"/>
    <tableColumn id="77" xr3:uid="{3D9D0DC8-D1CB-4630-9BD1-E91D0E3C61E3}" uniqueName="77" name="St#" queryTableFieldId="111" dataDxfId="230"/>
    <tableColumn id="78" xr3:uid="{9F17B560-09B1-4B57-ABCA-3F0D0069D712}" uniqueName="78" name="Notes" queryTableFieldId="112" dataDxfId="229"/>
    <tableColumn id="79" xr3:uid="{3040DDB8-930B-40F3-89EB-7CFC97AD171A}" uniqueName="79" name="VEHICLE" queryTableFieldId="113" dataDxfId="228"/>
    <tableColumn id="80" xr3:uid="{6ABB9E1F-B967-49C3-AD1B-C8121B837396}" uniqueName="80" name="Suspect" queryTableFieldId="114" dataDxfId="227"/>
    <tableColumn id="81" xr3:uid="{0E13BD5A-B2DD-4B10-99B1-4E0FE8308AA2}" uniqueName="81" name="TOTAL_STOLEN_AMOUNT" queryTableFieldId="115" dataDxfId="226"/>
    <tableColumn id="82" xr3:uid="{D88D7C8D-4E83-47CD-B1CE-F6286A8E16CB}" uniqueName="82" name="REPORT_CYCLE" queryTableFieldId="116" dataDxfId="225"/>
    <tableColumn id="83" xr3:uid="{2DDD0B44-38CF-441C-9B7C-2398CEC80AE6}" uniqueName="83" name="TIME_OF_DAY" queryTableFieldId="117" dataDxfId="224"/>
    <tableColumn id="87" xr3:uid="{A8EF6CFB-CBFB-4DEF-8E8C-4FEBF2D9E1FB}" uniqueName="87" name="Enhanced_TimeOfDay" queryTableFieldId="137" dataDxfId="22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CD1384B-A78D-4D22-BF57-57527D4538F7}" name="Bur_C_R50" displayName="Bur_C_R50" ref="M1:BN11" totalsRowShown="0" headerRowDxfId="477" dataDxfId="476">
  <autoFilter ref="M1:BN11" xr:uid="{0CD1384B-A78D-4D22-BF57-57527D4538F7}"/>
  <tableColumns count="54">
    <tableColumn id="1" xr3:uid="{8DBFF80D-CDA3-4C7D-AFE4-25A7FA949C0B}" name="Case Number" dataDxfId="475"/>
    <tableColumn id="2" xr3:uid="{4B32C307-04B2-4E06-879B-1C47990EA447}" name="INC_DATE" dataDxfId="474"/>
    <tableColumn id="3" xr3:uid="{CCF5552A-3101-409C-A2CC-C594719C0C08}" name="TOD"/>
    <tableColumn id="4" xr3:uid="{52CEF72F-8DCC-4716-B0D5-FD829FE089F0}" name="Start of Hour" dataDxfId="473"/>
    <tableColumn id="5" xr3:uid="{B5BBE312-A7A7-4128-A0FF-7C93D3392031}" name="INC_TIME" dataDxfId="472"/>
    <tableColumn id="6" xr3:uid="{8FDC614B-9734-4F3C-BDEE-32628643507F}" name="Day Name"/>
    <tableColumn id="7" xr3:uid="{8DD8AAA6-626D-4F8A-BFE4-1F82FD5910B0}" name="Month Name"/>
    <tableColumn id="8" xr3:uid="{CDD352D5-7E11-43C1-845D-17992AD9660D}" name="BLOCK"/>
    <tableColumn id="9" xr3:uid="{A02FD012-D329-4E11-BFBA-1A87102F8B0F}" name="Location"/>
    <tableColumn id="10" xr3:uid="{01DB759B-82E5-4732-A377-079EB612A673}" name="ALL_INCIDENTS"/>
    <tableColumn id="11" xr3:uid="{F7F1E8E6-7715-433A-96FA-F6F739EEE905}" name="Incident Type_1" dataDxfId="471"/>
    <tableColumn id="12" xr3:uid="{1E716A9F-A0A5-460A-B0DF-1B111A11665F}" name="Incident Type_2" dataDxfId="470"/>
    <tableColumn id="13" xr3:uid="{313D146B-E0C1-4017-BB83-19CC998A33D9}" name="Incident Type_3" dataDxfId="469"/>
    <tableColumn id="14" xr3:uid="{2DC8E3D3-788F-43B8-AE69-2ACA178F2A0F}" name="FullAddress" dataDxfId="468"/>
    <tableColumn id="47" xr3:uid="{68B5AC45-3887-4434-A52D-46D8A7638E59}" name="Grid" dataDxfId="467"/>
    <tableColumn id="54" xr3:uid="{EF527E54-F354-46AE-8575-50C41228F173}" name="Zone"/>
    <tableColumn id="15" xr3:uid="{ABD40984-83CE-4CB0-A5D8-EB6ACB59F210}" name="Narrative" dataDxfId="466"/>
    <tableColumn id="16" xr3:uid="{38AE268A-E478-4035-998A-80465ACA29B7}" name="Total Value Stolen" dataDxfId="465"/>
    <tableColumn id="17" xr3:uid="{9AA31042-4C8A-417A-8BCC-B20C2AC6E42C}" name="Total Value Recover" dataDxfId="464"/>
    <tableColumn id="18" xr3:uid="{5C70B1F7-2EC4-4E4C-8740-3E96795DF8B1}" name="Registration 1" dataDxfId="463"/>
    <tableColumn id="19" xr3:uid="{06376A9B-1CF9-430C-A35F-AA069A6AA6C1}" name="Make1" dataDxfId="462"/>
    <tableColumn id="20" xr3:uid="{99421096-9242-4098-8FCD-C26C9FD574CD}" name="Model1" dataDxfId="461"/>
    <tableColumn id="21" xr3:uid="{331137EF-4C13-4DDC-B80D-D98644B30E12}" name="Reg State 1" dataDxfId="460"/>
    <tableColumn id="22" xr3:uid="{2BC76BE6-D952-4844-9566-C8F8CA75A344}" name="Registration 2" dataDxfId="459"/>
    <tableColumn id="23" xr3:uid="{BC00D1E6-5798-4D3C-B256-1EC44782A776}" name="Reg State 2" dataDxfId="458"/>
    <tableColumn id="24" xr3:uid="{8336147A-DCE5-4596-A1FF-FD55C43DC5FD}" name="Make2" dataDxfId="457"/>
    <tableColumn id="25" xr3:uid="{8B591E20-AFE1-4590-A3DD-8861C4C76BBA}" name="Model2" dataDxfId="456"/>
    <tableColumn id="26" xr3:uid="{917BD22A-1A91-40C1-9350-139744ECF24E}" name="Reviewed By" dataDxfId="455"/>
    <tableColumn id="27" xr3:uid="{8943FF1F-0B49-4252-AC6A-30B17CAF51E8}" name="CompleteCalc" dataDxfId="454"/>
    <tableColumn id="28" xr3:uid="{FCB4ABCF-9B7F-494A-A132-87CD59849845}" name="Officer of Record" dataDxfId="453"/>
    <tableColumn id="29" xr3:uid="{51679C79-217D-43C7-8E77-A252FA0185F3}" name="Squad" dataDxfId="452"/>
    <tableColumn id="30" xr3:uid="{5387C2E1-5463-4E1C-9742-15D9035EC8ED}" name="Det_Assigned" dataDxfId="451"/>
    <tableColumn id="31" xr3:uid="{E7153E2D-F428-4051-9826-59761DC427AA}" name="Case_Status" dataDxfId="450"/>
    <tableColumn id="32" xr3:uid="{CD2BAF2F-1A1B-49DC-8BC9-87C1FEDF9130}" name="NIBRS Classification" dataDxfId="449"/>
    <tableColumn id="33" xr3:uid="{1E1CA433-54D2-4A4F-A7D7-6AC1E3B21E32}" name="CASE_NUMBER_LENGTH" dataDxfId="448"/>
    <tableColumn id="34" xr3:uid="{8CC3CDA9-58F3-4615-B536-288F40633174}" name="Incident Date" dataDxfId="447"/>
    <tableColumn id="35" xr3:uid="{FD2B7F2D-B418-4E3B-A557-CA5398F4AC12}" name="Incident Time" dataDxfId="446"/>
    <tableColumn id="36" xr3:uid="{BF36C18E-15FE-4A62-8C3E-CCF246CFCD10}" name="Incident Date_Between" dataDxfId="445"/>
    <tableColumn id="37" xr3:uid="{6EE80A5B-99D0-44C0-829A-9534D2520FC9}" name="Incident Time_Between" dataDxfId="444"/>
    <tableColumn id="38" xr3:uid="{D64E25F8-19E5-4E37-87C2-05A9A8469D28}" name="Report Date" dataDxfId="443"/>
    <tableColumn id="39" xr3:uid="{A179B8AD-FD56-4C02-A308-C2332AD2778E}" name="Report Time" dataDxfId="442"/>
    <tableColumn id="40" xr3:uid="{DDB04E3D-06C9-440D-89ED-D617DF343DF3}" name="Year" dataDxfId="441"/>
    <tableColumn id="41" xr3:uid="{AC5909CE-A646-441A-BBC3-BF6792B94BA5}" name="Week of Year" dataDxfId="440"/>
    <tableColumn id="42" xr3:uid="{EDD8C9F0-0663-4A97-BD40-C66FB4F4088D}" name="Week of Month" dataDxfId="439"/>
    <tableColumn id="43" xr3:uid="{CD74AE42-0764-4E41-A6A6-13F76DD8434A}" name="Day" dataDxfId="438"/>
    <tableColumn id="44" xr3:uid="{484AE78D-1C83-4F29-BAC9-5CB3211FAF60}" name="Day of Year" dataDxfId="437"/>
    <tableColumn id="45" xr3:uid="{65FB300B-DB45-4A1C-BD01-4C93BBC4CC5E}" name="INC_DATE_AND_TIME" dataDxfId="436"/>
    <tableColumn id="46" xr3:uid="{07CB8E68-106E-4105-91A7-1DF1FBCEECF0}" name="St#" dataDxfId="435"/>
    <tableColumn id="49" xr3:uid="{3CCCD671-FD9B-4A69-952F-3CD5F70038EF}" name="Notes"/>
    <tableColumn id="50" xr3:uid="{9CD9617D-EAB7-4438-980F-EE64B74254B7}" name="VEHICLE" dataDxfId="434"/>
    <tableColumn id="51" xr3:uid="{3F2DD14E-E4E0-48BD-AAFC-5C72983BF6E9}" name="Suspect" dataDxfId="433"/>
    <tableColumn id="52" xr3:uid="{F63BDAC3-68F7-4E8C-8C72-8298FD2096C2}" name="TOTAL_STOLEN_AMOUNT" dataDxfId="432"/>
    <tableColumn id="53" xr3:uid="{D7C6EC5E-2C28-409D-BBB5-BF00DE5841CE}" name="REPORT_CYCLE" dataDxfId="431"/>
    <tableColumn id="48" xr3:uid="{956E24E5-8802-4C79-8C12-49C651855486}" name="TIME_OF_DAY" dataDxfId="430"/>
  </tableColumns>
  <tableStyleInfo name="TableStyleLight19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5124254-843D-4925-808B-81581425B9C5}" name="REPORT_BUR_AUTO_7DAY" displayName="REPORT_BUR_AUTO_7DAY" ref="N1:AB2" totalsRowShown="0" headerRowDxfId="372" dataDxfId="371">
  <autoFilter ref="N1:AB2" xr:uid="{85124254-843D-4925-808B-81581425B9C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F7505E7-9D87-4C36-971A-B41530B0B7F6}" name="Block Incident Occurred On" dataDxfId="370"/>
    <tableColumn id="2" xr3:uid="{8922ED49-8F2E-4BF3-8E78-C8046E91BC0E}" name="Incident Date" dataDxfId="369"/>
    <tableColumn id="7" xr3:uid="{BBCF45BD-A2C3-4288-AA29-9D030301F35D}" name="Day of Week" dataDxfId="368"/>
    <tableColumn id="8" xr3:uid="{5FAD7BA0-72E7-4C32-B18F-39817BA1FE2E}" name="Time of Day Incident Occurred" dataDxfId="367"/>
    <tableColumn id="4" xr3:uid="{6D689E85-5A34-4E9C-A668-00E0889BCCAB}" name="Victim's Vehicle Description" dataDxfId="366"/>
    <tableColumn id="6" xr3:uid="{F42BEC7C-6526-44A8-AB91-17FC20818C34}" name="Vehicle Was Parked" dataDxfId="365"/>
    <tableColumn id="5" xr3:uid="{CFC7FF41-F7FC-4CDE-BD79-0667900FCBCC}" name="Entry Method" dataDxfId="364"/>
    <tableColumn id="9" xr3:uid="{00D11AA5-84CE-42B3-864B-635554C068C5}" name="Damage to Vehicle" dataDxfId="363"/>
    <tableColumn id="10" xr3:uid="{5D4117CA-0AB2-45E2-9046-55BF9807163B}" name="Suspect Description" dataDxfId="362"/>
    <tableColumn id="11" xr3:uid="{3BE4B175-BF08-4118-9ACC-49D200953A0D}" name="Suspect Vehicle Description" dataDxfId="361"/>
    <tableColumn id="12" xr3:uid="{5FF668F4-962D-48B3-B268-88F2E0A6108E}" name="Items Stolen" dataDxfId="360"/>
    <tableColumn id="13" xr3:uid="{E6B22A5D-DEB2-441A-ACEF-AF7F2AFE02F2}" name="Value of Stolen Property" dataDxfId="359"/>
    <tableColumn id="14" xr3:uid="{27E2A757-9324-4E40-BDAC-429A19FFE2BC}" name="Keys with Vehicle" dataDxfId="358"/>
    <tableColumn id="15" xr3:uid="{92696B52-EA75-4B05-AD99-65A1C7C77B9E}" name="Offense Completed" dataDxfId="357"/>
    <tableColumn id="16" xr3:uid="{9430299B-427C-4895-A43A-823B06AB5121}" name="Notes" dataDxfId="356"/>
  </tableColumns>
  <tableStyleInfo name="TableStyleLight18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D7BFB5-DE87-453F-B008-96471774DBC6}" name="_7Day_28Day_250414___2" displayName="_7Day_28Day_250414___2" ref="A1:G53" totalsRowShown="0">
  <autoFilter ref="A1:G53" xr:uid="{C3D7BFB5-DE87-453F-B008-96471774DBC6}"/>
  <tableColumns count="7">
    <tableColumn id="1" xr3:uid="{718B9033-645F-4266-9860-38B3FB024295}" name="Report_Due_Date" dataDxfId="355"/>
    <tableColumn id="2" xr3:uid="{98C5A2A6-E059-4AE5-B823-AB869D699EEA}" name="7_Day_Start" dataDxfId="354"/>
    <tableColumn id="3" xr3:uid="{F7298E0B-BF8D-4557-879F-7FF7C9A82CA0}" name="7_Day_End" dataDxfId="353"/>
    <tableColumn id="4" xr3:uid="{31C984E2-8588-4006-8DB0-C106BC1436C5}" name="28_Day_Start" dataDxfId="352"/>
    <tableColumn id="5" xr3:uid="{056A364F-B3DB-415C-A46D-4F5FCBC5B32B}" name="28_Day_End" dataDxfId="351"/>
    <tableColumn id="6" xr3:uid="{BC69DFC2-EB2B-43B8-B52F-070228AA9EB3}" name="Report_Name" dataDxfId="350"/>
    <tableColumn id="7" xr3:uid="{B2AE0C58-411A-4344-8B07-E9FEB8FC8489}" name="Is_Due"/>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5.xml"/><Relationship Id="rId1" Type="http://schemas.openxmlformats.org/officeDocument/2006/relationships/pivotTable" Target="../pivotTables/pivotTable4.xml"/><Relationship Id="rId4"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4140C-FEB8-4477-983A-0A15AE75688F}">
  <sheetPr codeName="Sheet14"/>
  <dimension ref="A1:H7"/>
  <sheetViews>
    <sheetView workbookViewId="0">
      <selection sqref="A1:M7"/>
    </sheetView>
  </sheetViews>
  <sheetFormatPr defaultRowHeight="15" x14ac:dyDescent="0.25"/>
  <cols>
    <col min="1" max="1" width="8.85546875" bestFit="1" customWidth="1"/>
    <col min="2" max="2" width="18.5703125" bestFit="1" customWidth="1"/>
    <col min="3" max="3" width="14.42578125" bestFit="1" customWidth="1"/>
    <col min="4" max="4" width="13.85546875" bestFit="1" customWidth="1"/>
    <col min="5" max="5" width="23.28515625" bestFit="1" customWidth="1"/>
    <col min="6" max="8" width="80.85546875" bestFit="1" customWidth="1"/>
    <col min="9" max="9" width="14.7109375" bestFit="1" customWidth="1"/>
    <col min="10" max="10" width="13.28515625" bestFit="1" customWidth="1"/>
    <col min="11" max="11" width="17.85546875" bestFit="1" customWidth="1"/>
    <col min="12" max="12" width="80.85546875" bestFit="1" customWidth="1"/>
    <col min="13" max="13" width="25.7109375" bestFit="1" customWidth="1"/>
    <col min="14" max="14" width="80.85546875" bestFit="1" customWidth="1"/>
  </cols>
  <sheetData>
    <row r="1" spans="1:8" x14ac:dyDescent="0.25">
      <c r="A1" t="s">
        <v>0</v>
      </c>
      <c r="B1" t="s">
        <v>1</v>
      </c>
      <c r="C1" t="s">
        <v>2</v>
      </c>
      <c r="D1" t="s">
        <v>3</v>
      </c>
      <c r="E1" t="s">
        <v>4</v>
      </c>
      <c r="F1" t="s">
        <v>5</v>
      </c>
      <c r="G1" t="s">
        <v>6</v>
      </c>
      <c r="H1" t="s">
        <v>7</v>
      </c>
    </row>
    <row r="2" spans="1:8" x14ac:dyDescent="0.25">
      <c r="A2">
        <v>0</v>
      </c>
      <c r="B2" t="s">
        <v>8</v>
      </c>
      <c r="C2" s="1">
        <v>45743</v>
      </c>
      <c r="D2" t="s">
        <v>9</v>
      </c>
      <c r="E2" t="s">
        <v>10</v>
      </c>
      <c r="F2" t="s">
        <v>11</v>
      </c>
      <c r="G2" t="s">
        <v>12</v>
      </c>
      <c r="H2" t="s">
        <v>13</v>
      </c>
    </row>
    <row r="3" spans="1:8" x14ac:dyDescent="0.25">
      <c r="A3">
        <v>1</v>
      </c>
      <c r="B3" t="s">
        <v>14</v>
      </c>
      <c r="C3" s="1">
        <v>45743</v>
      </c>
      <c r="D3" t="s">
        <v>9</v>
      </c>
      <c r="E3" t="s">
        <v>10</v>
      </c>
      <c r="F3" t="s">
        <v>15</v>
      </c>
      <c r="G3" t="s">
        <v>16</v>
      </c>
      <c r="H3" t="s">
        <v>17</v>
      </c>
    </row>
    <row r="4" spans="1:8" x14ac:dyDescent="0.25">
      <c r="A4">
        <v>2</v>
      </c>
      <c r="B4" t="s">
        <v>18</v>
      </c>
      <c r="C4" s="1">
        <v>45747</v>
      </c>
      <c r="D4" t="s">
        <v>19</v>
      </c>
      <c r="E4" t="s">
        <v>20</v>
      </c>
      <c r="F4" t="s">
        <v>21</v>
      </c>
      <c r="G4" t="s">
        <v>22</v>
      </c>
      <c r="H4" t="s">
        <v>23</v>
      </c>
    </row>
    <row r="5" spans="1:8" x14ac:dyDescent="0.25">
      <c r="A5">
        <v>3</v>
      </c>
      <c r="B5" t="s">
        <v>24</v>
      </c>
      <c r="C5" s="1">
        <v>45748</v>
      </c>
      <c r="D5" t="s">
        <v>25</v>
      </c>
      <c r="E5" t="s">
        <v>20</v>
      </c>
      <c r="F5" t="s">
        <v>11</v>
      </c>
      <c r="G5" t="s">
        <v>11</v>
      </c>
      <c r="H5" t="s">
        <v>26</v>
      </c>
    </row>
    <row r="6" spans="1:8" x14ac:dyDescent="0.25">
      <c r="A6">
        <v>4</v>
      </c>
      <c r="B6" t="s">
        <v>27</v>
      </c>
      <c r="C6" s="1">
        <v>45755</v>
      </c>
      <c r="D6" t="s">
        <v>25</v>
      </c>
      <c r="E6" t="s">
        <v>20</v>
      </c>
      <c r="F6" t="s">
        <v>11</v>
      </c>
      <c r="G6" t="s">
        <v>28</v>
      </c>
      <c r="H6" t="s">
        <v>29</v>
      </c>
    </row>
    <row r="7" spans="1:8" x14ac:dyDescent="0.25">
      <c r="A7">
        <v>5</v>
      </c>
      <c r="B7" t="s">
        <v>30</v>
      </c>
      <c r="C7" s="1">
        <v>45760</v>
      </c>
      <c r="D7" t="s">
        <v>31</v>
      </c>
      <c r="E7" t="s">
        <v>32</v>
      </c>
      <c r="F7" t="s">
        <v>11</v>
      </c>
      <c r="G7" t="s">
        <v>33</v>
      </c>
      <c r="H7" t="s">
        <v>34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72807-0C79-46C3-B4F2-43548D036948}">
  <sheetPr codeName="Sheet1"/>
  <dimension ref="A1:G53"/>
  <sheetViews>
    <sheetView workbookViewId="0">
      <selection activeCell="B8" sqref="B8"/>
    </sheetView>
  </sheetViews>
  <sheetFormatPr defaultRowHeight="15" x14ac:dyDescent="0.25"/>
  <cols>
    <col min="1" max="1" width="19.140625" bestFit="1" customWidth="1"/>
    <col min="2" max="2" width="13.7109375" bestFit="1" customWidth="1"/>
    <col min="3" max="3" width="12.85546875" bestFit="1" customWidth="1"/>
    <col min="4" max="4" width="14.7109375" bestFit="1" customWidth="1"/>
    <col min="5" max="5" width="13.85546875" bestFit="1" customWidth="1"/>
    <col min="6" max="6" width="15.7109375" bestFit="1" customWidth="1"/>
    <col min="7" max="7" width="9.28515625" bestFit="1" customWidth="1"/>
  </cols>
  <sheetData>
    <row r="1" spans="1:7" x14ac:dyDescent="0.25">
      <c r="A1" t="s">
        <v>35</v>
      </c>
      <c r="B1" t="s">
        <v>36</v>
      </c>
      <c r="C1" t="s">
        <v>37</v>
      </c>
      <c r="D1" t="s">
        <v>38</v>
      </c>
      <c r="E1" t="s">
        <v>39</v>
      </c>
      <c r="F1" t="s">
        <v>40</v>
      </c>
      <c r="G1" t="s">
        <v>41</v>
      </c>
    </row>
    <row r="2" spans="1:7" x14ac:dyDescent="0.25">
      <c r="A2" s="1">
        <v>45664</v>
      </c>
      <c r="B2" s="1">
        <v>45657</v>
      </c>
      <c r="C2" s="1">
        <v>45663</v>
      </c>
      <c r="D2" s="1">
        <v>45636</v>
      </c>
      <c r="E2" s="1">
        <v>45663</v>
      </c>
      <c r="F2" t="s">
        <v>42</v>
      </c>
    </row>
    <row r="3" spans="1:7" x14ac:dyDescent="0.25">
      <c r="A3" s="1">
        <v>45671</v>
      </c>
      <c r="B3" s="1">
        <v>45664</v>
      </c>
      <c r="C3" s="1">
        <v>45670</v>
      </c>
      <c r="D3" s="1">
        <v>45643</v>
      </c>
      <c r="E3" s="1">
        <v>45670</v>
      </c>
      <c r="F3" t="s">
        <v>43</v>
      </c>
    </row>
    <row r="4" spans="1:7" x14ac:dyDescent="0.25">
      <c r="A4" s="1">
        <v>45678</v>
      </c>
      <c r="B4" s="1">
        <v>45671</v>
      </c>
      <c r="C4" s="1">
        <v>45677</v>
      </c>
      <c r="D4" s="1">
        <v>45650</v>
      </c>
      <c r="E4" s="1">
        <v>45677</v>
      </c>
      <c r="F4" t="s">
        <v>44</v>
      </c>
    </row>
    <row r="5" spans="1:7" x14ac:dyDescent="0.25">
      <c r="A5" s="1">
        <v>45685</v>
      </c>
      <c r="B5" s="1">
        <v>45678</v>
      </c>
      <c r="C5" s="1">
        <v>45684</v>
      </c>
      <c r="D5" s="1">
        <v>45657</v>
      </c>
      <c r="E5" s="1">
        <v>45684</v>
      </c>
      <c r="F5" t="s">
        <v>45</v>
      </c>
    </row>
    <row r="6" spans="1:7" x14ac:dyDescent="0.25">
      <c r="A6" s="1">
        <v>45692</v>
      </c>
      <c r="B6" s="1">
        <v>45685</v>
      </c>
      <c r="C6" s="1">
        <v>45691</v>
      </c>
      <c r="D6" s="1">
        <v>45664</v>
      </c>
      <c r="E6" s="1">
        <v>45691</v>
      </c>
      <c r="F6" t="s">
        <v>46</v>
      </c>
    </row>
    <row r="7" spans="1:7" x14ac:dyDescent="0.25">
      <c r="A7" s="1">
        <v>45699</v>
      </c>
      <c r="B7" s="1">
        <v>45692</v>
      </c>
      <c r="C7" s="1">
        <v>45698</v>
      </c>
      <c r="D7" s="1">
        <v>45671</v>
      </c>
      <c r="E7" s="1">
        <v>45698</v>
      </c>
      <c r="F7" t="s">
        <v>47</v>
      </c>
    </row>
    <row r="8" spans="1:7" x14ac:dyDescent="0.25">
      <c r="A8" s="1">
        <v>45706</v>
      </c>
      <c r="B8" s="1">
        <v>45699</v>
      </c>
      <c r="C8" s="1">
        <v>45705</v>
      </c>
      <c r="D8" s="1">
        <v>45678</v>
      </c>
      <c r="E8" s="1">
        <v>45705</v>
      </c>
      <c r="F8" t="s">
        <v>48</v>
      </c>
    </row>
    <row r="9" spans="1:7" x14ac:dyDescent="0.25">
      <c r="A9" s="1">
        <v>45713</v>
      </c>
      <c r="B9" s="1">
        <v>45706</v>
      </c>
      <c r="C9" s="1">
        <v>45712</v>
      </c>
      <c r="D9" s="1">
        <v>45685</v>
      </c>
      <c r="E9" s="1">
        <v>45712</v>
      </c>
      <c r="F9" t="s">
        <v>49</v>
      </c>
    </row>
    <row r="10" spans="1:7" x14ac:dyDescent="0.25">
      <c r="A10" s="1">
        <v>45720</v>
      </c>
      <c r="B10" s="1">
        <v>45713</v>
      </c>
      <c r="C10" s="1">
        <v>45719</v>
      </c>
      <c r="D10" s="1">
        <v>45692</v>
      </c>
      <c r="E10" s="1">
        <v>45719</v>
      </c>
      <c r="F10" t="s">
        <v>50</v>
      </c>
    </row>
    <row r="11" spans="1:7" x14ac:dyDescent="0.25">
      <c r="A11" s="1">
        <v>45727</v>
      </c>
      <c r="B11" s="1">
        <v>45720</v>
      </c>
      <c r="C11" s="1">
        <v>45726</v>
      </c>
      <c r="D11" s="1">
        <v>45699</v>
      </c>
      <c r="E11" s="1">
        <v>45726</v>
      </c>
      <c r="F11" t="s">
        <v>51</v>
      </c>
    </row>
    <row r="12" spans="1:7" x14ac:dyDescent="0.25">
      <c r="A12" s="1">
        <v>45734</v>
      </c>
      <c r="B12" s="1">
        <v>45727</v>
      </c>
      <c r="C12" s="1">
        <v>45733</v>
      </c>
      <c r="D12" s="1">
        <v>45706</v>
      </c>
      <c r="E12" s="1">
        <v>45733</v>
      </c>
      <c r="F12" t="s">
        <v>52</v>
      </c>
    </row>
    <row r="13" spans="1:7" x14ac:dyDescent="0.25">
      <c r="A13" s="1">
        <v>45741</v>
      </c>
      <c r="B13" s="1">
        <v>45734</v>
      </c>
      <c r="C13" s="1">
        <v>45740</v>
      </c>
      <c r="D13" s="1">
        <v>45713</v>
      </c>
      <c r="E13" s="1">
        <v>45740</v>
      </c>
      <c r="F13" t="s">
        <v>53</v>
      </c>
    </row>
    <row r="14" spans="1:7" x14ac:dyDescent="0.25">
      <c r="A14" s="1">
        <v>45748</v>
      </c>
      <c r="B14" s="1">
        <v>45741</v>
      </c>
      <c r="C14" s="1">
        <v>45747</v>
      </c>
      <c r="D14" s="1">
        <v>45720</v>
      </c>
      <c r="E14" s="1">
        <v>45747</v>
      </c>
      <c r="F14" t="s">
        <v>54</v>
      </c>
    </row>
    <row r="15" spans="1:7" x14ac:dyDescent="0.25">
      <c r="A15" s="1">
        <v>45755</v>
      </c>
      <c r="B15" s="1">
        <v>45748</v>
      </c>
      <c r="C15" s="1">
        <v>45754</v>
      </c>
      <c r="D15" s="1">
        <v>45727</v>
      </c>
      <c r="E15" s="1">
        <v>45754</v>
      </c>
      <c r="F15" t="s">
        <v>55</v>
      </c>
    </row>
    <row r="16" spans="1:7" x14ac:dyDescent="0.25">
      <c r="A16" s="1">
        <v>45762</v>
      </c>
      <c r="B16" s="1">
        <v>45755</v>
      </c>
      <c r="C16" s="1">
        <v>45761</v>
      </c>
      <c r="D16" s="1">
        <v>45734</v>
      </c>
      <c r="E16" s="1">
        <v>45761</v>
      </c>
      <c r="F16" t="s">
        <v>56</v>
      </c>
    </row>
    <row r="17" spans="1:6" x14ac:dyDescent="0.25">
      <c r="A17" s="1">
        <v>45769</v>
      </c>
      <c r="B17" s="1">
        <v>45762</v>
      </c>
      <c r="C17" s="1">
        <v>45768</v>
      </c>
      <c r="D17" s="1">
        <v>45741</v>
      </c>
      <c r="E17" s="1">
        <v>45768</v>
      </c>
      <c r="F17" t="s">
        <v>57</v>
      </c>
    </row>
    <row r="18" spans="1:6" x14ac:dyDescent="0.25">
      <c r="A18" s="1">
        <v>45776</v>
      </c>
      <c r="B18" s="1">
        <v>45769</v>
      </c>
      <c r="C18" s="1">
        <v>45775</v>
      </c>
      <c r="D18" s="1">
        <v>45748</v>
      </c>
      <c r="E18" s="1">
        <v>45775</v>
      </c>
      <c r="F18" t="s">
        <v>58</v>
      </c>
    </row>
    <row r="19" spans="1:6" x14ac:dyDescent="0.25">
      <c r="A19" s="1">
        <v>45783</v>
      </c>
      <c r="B19" s="1">
        <v>45776</v>
      </c>
      <c r="C19" s="1">
        <v>45782</v>
      </c>
      <c r="D19" s="1">
        <v>45755</v>
      </c>
      <c r="E19" s="1">
        <v>45782</v>
      </c>
      <c r="F19" t="s">
        <v>59</v>
      </c>
    </row>
    <row r="20" spans="1:6" x14ac:dyDescent="0.25">
      <c r="A20" s="1">
        <v>45790</v>
      </c>
      <c r="B20" s="1">
        <v>45783</v>
      </c>
      <c r="C20" s="1">
        <v>45789</v>
      </c>
      <c r="D20" s="1">
        <v>45762</v>
      </c>
      <c r="E20" s="1">
        <v>45789</v>
      </c>
      <c r="F20" t="s">
        <v>60</v>
      </c>
    </row>
    <row r="21" spans="1:6" x14ac:dyDescent="0.25">
      <c r="A21" s="1">
        <v>45797</v>
      </c>
      <c r="B21" s="1">
        <v>45790</v>
      </c>
      <c r="C21" s="1">
        <v>45796</v>
      </c>
      <c r="D21" s="1">
        <v>45769</v>
      </c>
      <c r="E21" s="1">
        <v>45796</v>
      </c>
      <c r="F21" t="s">
        <v>61</v>
      </c>
    </row>
    <row r="22" spans="1:6" x14ac:dyDescent="0.25">
      <c r="A22" s="1">
        <v>45804</v>
      </c>
      <c r="B22" s="1">
        <v>45797</v>
      </c>
      <c r="C22" s="1">
        <v>45803</v>
      </c>
      <c r="D22" s="1">
        <v>45776</v>
      </c>
      <c r="E22" s="1">
        <v>45803</v>
      </c>
      <c r="F22" t="s">
        <v>62</v>
      </c>
    </row>
    <row r="23" spans="1:6" x14ac:dyDescent="0.25">
      <c r="A23" s="1">
        <v>45811</v>
      </c>
      <c r="B23" s="1">
        <v>45804</v>
      </c>
      <c r="C23" s="1">
        <v>45810</v>
      </c>
      <c r="D23" s="1">
        <v>45783</v>
      </c>
      <c r="E23" s="1">
        <v>45810</v>
      </c>
      <c r="F23" t="s">
        <v>63</v>
      </c>
    </row>
    <row r="24" spans="1:6" x14ac:dyDescent="0.25">
      <c r="A24" s="1">
        <v>45818</v>
      </c>
      <c r="B24" s="1">
        <v>45811</v>
      </c>
      <c r="C24" s="1">
        <v>45817</v>
      </c>
      <c r="D24" s="1">
        <v>45790</v>
      </c>
      <c r="E24" s="1">
        <v>45817</v>
      </c>
      <c r="F24" t="s">
        <v>63</v>
      </c>
    </row>
    <row r="25" spans="1:6" x14ac:dyDescent="0.25">
      <c r="A25" s="1">
        <v>45825</v>
      </c>
      <c r="B25" s="1">
        <v>45818</v>
      </c>
      <c r="C25" s="1">
        <v>45824</v>
      </c>
      <c r="D25" s="1">
        <v>45797</v>
      </c>
      <c r="E25" s="1">
        <v>45824</v>
      </c>
      <c r="F25" t="s">
        <v>64</v>
      </c>
    </row>
    <row r="26" spans="1:6" x14ac:dyDescent="0.25">
      <c r="A26" s="1">
        <v>45832</v>
      </c>
      <c r="B26" s="1">
        <v>45825</v>
      </c>
      <c r="C26" s="1">
        <v>45831</v>
      </c>
      <c r="D26" s="1">
        <v>45804</v>
      </c>
      <c r="E26" s="1">
        <v>45831</v>
      </c>
      <c r="F26" t="s">
        <v>65</v>
      </c>
    </row>
    <row r="27" spans="1:6" x14ac:dyDescent="0.25">
      <c r="A27" s="1">
        <v>45839</v>
      </c>
      <c r="B27" s="1">
        <v>45832</v>
      </c>
      <c r="C27" s="1">
        <v>45838</v>
      </c>
      <c r="D27" s="1">
        <v>45811</v>
      </c>
      <c r="E27" s="1">
        <v>45838</v>
      </c>
      <c r="F27" t="s">
        <v>66</v>
      </c>
    </row>
    <row r="28" spans="1:6" x14ac:dyDescent="0.25">
      <c r="A28" s="1">
        <v>45846</v>
      </c>
      <c r="B28" s="1">
        <v>45839</v>
      </c>
      <c r="C28" s="1">
        <v>45845</v>
      </c>
      <c r="D28" s="1">
        <v>45818</v>
      </c>
      <c r="E28" s="1">
        <v>45845</v>
      </c>
      <c r="F28" t="s">
        <v>67</v>
      </c>
    </row>
    <row r="29" spans="1:6" x14ac:dyDescent="0.25">
      <c r="A29" s="1">
        <v>45853</v>
      </c>
      <c r="B29" s="1">
        <v>45846</v>
      </c>
      <c r="C29" s="1">
        <v>45852</v>
      </c>
      <c r="D29" s="1">
        <v>45825</v>
      </c>
      <c r="E29" s="1">
        <v>45852</v>
      </c>
      <c r="F29" t="s">
        <v>68</v>
      </c>
    </row>
    <row r="30" spans="1:6" x14ac:dyDescent="0.25">
      <c r="A30" s="1">
        <v>45860</v>
      </c>
      <c r="B30" s="1">
        <v>45853</v>
      </c>
      <c r="C30" s="1">
        <v>45859</v>
      </c>
      <c r="D30" s="1">
        <v>45832</v>
      </c>
      <c r="E30" s="1">
        <v>45859</v>
      </c>
      <c r="F30" t="s">
        <v>69</v>
      </c>
    </row>
    <row r="31" spans="1:6" x14ac:dyDescent="0.25">
      <c r="A31" s="1">
        <v>45867</v>
      </c>
      <c r="B31" s="1">
        <v>45860</v>
      </c>
      <c r="C31" s="1">
        <v>45866</v>
      </c>
      <c r="D31" s="1">
        <v>45839</v>
      </c>
      <c r="E31" s="1">
        <v>45866</v>
      </c>
      <c r="F31" t="s">
        <v>70</v>
      </c>
    </row>
    <row r="32" spans="1:6" x14ac:dyDescent="0.25">
      <c r="A32" s="1">
        <v>45874</v>
      </c>
      <c r="B32" s="1">
        <v>45867</v>
      </c>
      <c r="C32" s="1">
        <v>45873</v>
      </c>
      <c r="D32" s="1">
        <v>45846</v>
      </c>
      <c r="E32" s="1">
        <v>45873</v>
      </c>
      <c r="F32" t="s">
        <v>71</v>
      </c>
    </row>
    <row r="33" spans="1:6" x14ac:dyDescent="0.25">
      <c r="A33" s="1">
        <v>45881</v>
      </c>
      <c r="B33" s="1">
        <v>45874</v>
      </c>
      <c r="C33" s="1">
        <v>45880</v>
      </c>
      <c r="D33" s="1">
        <v>45853</v>
      </c>
      <c r="E33" s="1">
        <v>45880</v>
      </c>
      <c r="F33" t="s">
        <v>72</v>
      </c>
    </row>
    <row r="34" spans="1:6" x14ac:dyDescent="0.25">
      <c r="A34" s="1">
        <v>45888</v>
      </c>
      <c r="B34" s="1">
        <v>45881</v>
      </c>
      <c r="C34" s="1">
        <v>45887</v>
      </c>
      <c r="D34" s="1">
        <v>45860</v>
      </c>
      <c r="E34" s="1">
        <v>45887</v>
      </c>
      <c r="F34" t="s">
        <v>73</v>
      </c>
    </row>
    <row r="35" spans="1:6" x14ac:dyDescent="0.25">
      <c r="A35" s="1">
        <v>45895</v>
      </c>
      <c r="B35" s="1">
        <v>45888</v>
      </c>
      <c r="C35" s="1">
        <v>45894</v>
      </c>
      <c r="D35" s="1">
        <v>45867</v>
      </c>
      <c r="E35" s="1">
        <v>45894</v>
      </c>
      <c r="F35" t="s">
        <v>74</v>
      </c>
    </row>
    <row r="36" spans="1:6" x14ac:dyDescent="0.25">
      <c r="A36" s="1">
        <v>45902</v>
      </c>
      <c r="B36" s="1">
        <v>45895</v>
      </c>
      <c r="C36" s="1">
        <v>45901</v>
      </c>
      <c r="D36" s="1">
        <v>45874</v>
      </c>
      <c r="E36" s="1">
        <v>45901</v>
      </c>
      <c r="F36" t="s">
        <v>75</v>
      </c>
    </row>
    <row r="37" spans="1:6" x14ac:dyDescent="0.25">
      <c r="A37" s="1">
        <v>45909</v>
      </c>
      <c r="B37" s="1">
        <v>45902</v>
      </c>
      <c r="C37" s="1">
        <v>45908</v>
      </c>
      <c r="D37" s="1">
        <v>45881</v>
      </c>
      <c r="E37" s="1">
        <v>45908</v>
      </c>
      <c r="F37" t="s">
        <v>76</v>
      </c>
    </row>
    <row r="38" spans="1:6" x14ac:dyDescent="0.25">
      <c r="A38" s="1">
        <v>45916</v>
      </c>
      <c r="B38" s="1">
        <v>45909</v>
      </c>
      <c r="C38" s="1">
        <v>45915</v>
      </c>
      <c r="D38" s="1">
        <v>45888</v>
      </c>
      <c r="E38" s="1">
        <v>45915</v>
      </c>
      <c r="F38" t="s">
        <v>77</v>
      </c>
    </row>
    <row r="39" spans="1:6" x14ac:dyDescent="0.25">
      <c r="A39" s="1">
        <v>45923</v>
      </c>
      <c r="B39" s="1">
        <v>45916</v>
      </c>
      <c r="C39" s="1">
        <v>45922</v>
      </c>
      <c r="D39" s="1">
        <v>45895</v>
      </c>
      <c r="E39" s="1">
        <v>45922</v>
      </c>
      <c r="F39" t="s">
        <v>78</v>
      </c>
    </row>
    <row r="40" spans="1:6" x14ac:dyDescent="0.25">
      <c r="A40" s="1">
        <v>45930</v>
      </c>
      <c r="B40" s="1">
        <v>45923</v>
      </c>
      <c r="C40" s="1">
        <v>45929</v>
      </c>
      <c r="D40" s="1">
        <v>45902</v>
      </c>
      <c r="E40" s="1">
        <v>45929</v>
      </c>
      <c r="F40" t="s">
        <v>79</v>
      </c>
    </row>
    <row r="41" spans="1:6" x14ac:dyDescent="0.25">
      <c r="A41" s="1">
        <v>45937</v>
      </c>
      <c r="B41" s="1">
        <v>45930</v>
      </c>
      <c r="C41" s="1">
        <v>45936</v>
      </c>
      <c r="D41" s="1">
        <v>45909</v>
      </c>
      <c r="E41" s="1">
        <v>45936</v>
      </c>
      <c r="F41" t="s">
        <v>80</v>
      </c>
    </row>
    <row r="42" spans="1:6" x14ac:dyDescent="0.25">
      <c r="A42" s="1">
        <v>45944</v>
      </c>
      <c r="B42" s="1">
        <v>45937</v>
      </c>
      <c r="C42" s="1">
        <v>45943</v>
      </c>
      <c r="D42" s="1">
        <v>45916</v>
      </c>
      <c r="E42" s="1">
        <v>45943</v>
      </c>
      <c r="F42" t="s">
        <v>81</v>
      </c>
    </row>
    <row r="43" spans="1:6" x14ac:dyDescent="0.25">
      <c r="A43" s="1">
        <v>45951</v>
      </c>
      <c r="B43" s="1">
        <v>45944</v>
      </c>
      <c r="C43" s="1">
        <v>45950</v>
      </c>
      <c r="D43" s="1">
        <v>45923</v>
      </c>
      <c r="E43" s="1">
        <v>45950</v>
      </c>
      <c r="F43" t="s">
        <v>82</v>
      </c>
    </row>
    <row r="44" spans="1:6" x14ac:dyDescent="0.25">
      <c r="A44" s="1">
        <v>45958</v>
      </c>
      <c r="B44" s="1">
        <v>45951</v>
      </c>
      <c r="C44" s="1">
        <v>45957</v>
      </c>
      <c r="D44" s="1">
        <v>45930</v>
      </c>
      <c r="E44" s="1">
        <v>45957</v>
      </c>
      <c r="F44" t="s">
        <v>83</v>
      </c>
    </row>
    <row r="45" spans="1:6" x14ac:dyDescent="0.25">
      <c r="A45" s="1">
        <v>45965</v>
      </c>
      <c r="B45" s="1">
        <v>45958</v>
      </c>
      <c r="C45" s="1">
        <v>45964</v>
      </c>
      <c r="D45" s="1">
        <v>45937</v>
      </c>
      <c r="E45" s="1">
        <v>45964</v>
      </c>
      <c r="F45" t="s">
        <v>84</v>
      </c>
    </row>
    <row r="46" spans="1:6" x14ac:dyDescent="0.25">
      <c r="A46" s="1">
        <v>45972</v>
      </c>
      <c r="B46" s="1">
        <v>45965</v>
      </c>
      <c r="C46" s="1">
        <v>45971</v>
      </c>
      <c r="D46" s="1">
        <v>45944</v>
      </c>
      <c r="E46" s="1">
        <v>45971</v>
      </c>
      <c r="F46" t="s">
        <v>85</v>
      </c>
    </row>
    <row r="47" spans="1:6" x14ac:dyDescent="0.25">
      <c r="A47" s="1">
        <v>45979</v>
      </c>
      <c r="B47" s="1">
        <v>45972</v>
      </c>
      <c r="C47" s="1">
        <v>45978</v>
      </c>
      <c r="D47" s="1">
        <v>45951</v>
      </c>
      <c r="E47" s="1">
        <v>45978</v>
      </c>
      <c r="F47" t="s">
        <v>86</v>
      </c>
    </row>
    <row r="48" spans="1:6" x14ac:dyDescent="0.25">
      <c r="A48" s="1">
        <v>45986</v>
      </c>
      <c r="B48" s="1">
        <v>45979</v>
      </c>
      <c r="C48" s="1">
        <v>45985</v>
      </c>
      <c r="D48" s="1">
        <v>45958</v>
      </c>
      <c r="E48" s="1">
        <v>45985</v>
      </c>
      <c r="F48" t="s">
        <v>87</v>
      </c>
    </row>
    <row r="49" spans="1:6" x14ac:dyDescent="0.25">
      <c r="A49" s="1">
        <v>45993</v>
      </c>
      <c r="B49" s="1">
        <v>45986</v>
      </c>
      <c r="C49" s="1">
        <v>45992</v>
      </c>
      <c r="D49" s="1">
        <v>45965</v>
      </c>
      <c r="E49" s="1">
        <v>45992</v>
      </c>
      <c r="F49" t="s">
        <v>88</v>
      </c>
    </row>
    <row r="50" spans="1:6" x14ac:dyDescent="0.25">
      <c r="A50" s="1">
        <v>46000</v>
      </c>
      <c r="B50" s="1">
        <v>45993</v>
      </c>
      <c r="C50" s="1">
        <v>45999</v>
      </c>
      <c r="D50" s="1">
        <v>45972</v>
      </c>
      <c r="E50" s="1">
        <v>45999</v>
      </c>
      <c r="F50" t="s">
        <v>89</v>
      </c>
    </row>
    <row r="51" spans="1:6" x14ac:dyDescent="0.25">
      <c r="A51" s="1">
        <v>46007</v>
      </c>
      <c r="B51" s="1">
        <v>46000</v>
      </c>
      <c r="C51" s="1">
        <v>46006</v>
      </c>
      <c r="D51" s="1">
        <v>45979</v>
      </c>
      <c r="E51" s="1">
        <v>46006</v>
      </c>
      <c r="F51" t="s">
        <v>90</v>
      </c>
    </row>
    <row r="52" spans="1:6" x14ac:dyDescent="0.25">
      <c r="A52" s="1">
        <v>46014</v>
      </c>
      <c r="B52" s="1">
        <v>46007</v>
      </c>
      <c r="C52" s="1">
        <v>46013</v>
      </c>
      <c r="D52" s="1">
        <v>45986</v>
      </c>
      <c r="E52" s="1">
        <v>46013</v>
      </c>
      <c r="F52" t="s">
        <v>91</v>
      </c>
    </row>
    <row r="53" spans="1:6" x14ac:dyDescent="0.25">
      <c r="A53" s="1">
        <v>46021</v>
      </c>
      <c r="B53" s="1">
        <v>46014</v>
      </c>
      <c r="C53" s="1">
        <v>46020</v>
      </c>
      <c r="D53" s="1">
        <v>45993</v>
      </c>
      <c r="E53" s="1">
        <v>46020</v>
      </c>
      <c r="F53" t="s">
        <v>92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1F61B-093C-46D4-8AAA-1AAEF686C371}">
  <sheetPr codeName="Sheet36">
    <tabColor rgb="FFFFC000"/>
  </sheetPr>
  <dimension ref="A1:AV117"/>
  <sheetViews>
    <sheetView topLeftCell="AF1" zoomScaleNormal="100" workbookViewId="0">
      <selection activeCell="AI1" sqref="AI1"/>
    </sheetView>
  </sheetViews>
  <sheetFormatPr defaultColWidth="121.7109375" defaultRowHeight="15" x14ac:dyDescent="0.25"/>
  <cols>
    <col min="1" max="1" width="21.7109375" style="3" bestFit="1" customWidth="1"/>
    <col min="2" max="2" width="21" style="107" bestFit="1" customWidth="1"/>
    <col min="3" max="3" width="21.5703125" style="108" bestFit="1" customWidth="1"/>
    <col min="4" max="4" width="37.28515625" style="3" bestFit="1" customWidth="1"/>
    <col min="5" max="6" width="41.7109375" style="3" bestFit="1" customWidth="1"/>
    <col min="7" max="7" width="82" style="3" bestFit="1" customWidth="1"/>
    <col min="8" max="8" width="12.140625" style="75" bestFit="1" customWidth="1"/>
    <col min="9" max="9" width="12.85546875" style="75" bestFit="1" customWidth="1"/>
    <col min="10" max="10" width="121.7109375" style="3"/>
    <col min="11" max="11" width="26.28515625" style="3" bestFit="1" customWidth="1"/>
    <col min="12" max="12" width="28.140625" style="3" bestFit="1" customWidth="1"/>
    <col min="13" max="13" width="22" style="3" bestFit="1" customWidth="1"/>
    <col min="14" max="14" width="14.5703125" style="3" bestFit="1" customWidth="1"/>
    <col min="15" max="15" width="15.28515625" style="3" bestFit="1" customWidth="1"/>
    <col min="16" max="16" width="19.28515625" style="3" bestFit="1" customWidth="1"/>
    <col min="17" max="17" width="22" style="3" bestFit="1" customWidth="1"/>
    <col min="18" max="18" width="19.28515625" style="3" bestFit="1" customWidth="1"/>
    <col min="19" max="19" width="14.5703125" style="3" bestFit="1" customWidth="1"/>
    <col min="20" max="20" width="15.28515625" style="3" bestFit="1" customWidth="1"/>
    <col min="21" max="21" width="20.28515625" style="3" bestFit="1" customWidth="1"/>
    <col min="22" max="22" width="34.28515625" style="3" bestFit="1" customWidth="1"/>
    <col min="23" max="23" width="14.28515625" style="3" bestFit="1" customWidth="1"/>
    <col min="24" max="24" width="32" style="74" bestFit="1" customWidth="1"/>
    <col min="25" max="25" width="32.42578125" style="111" bestFit="1" customWidth="1"/>
    <col min="26" max="26" width="51.85546875" style="111" bestFit="1" customWidth="1"/>
    <col min="27" max="27" width="15.85546875" style="75" bestFit="1" customWidth="1"/>
    <col min="28" max="28" width="16" style="75" bestFit="1" customWidth="1"/>
    <col min="29" max="29" width="20.28515625" style="75" bestFit="1" customWidth="1"/>
    <col min="30" max="30" width="30" style="111" bestFit="1" customWidth="1"/>
    <col min="31" max="31" width="106" style="74" bestFit="1" customWidth="1"/>
    <col min="32" max="32" width="14.42578125" style="75" bestFit="1" customWidth="1"/>
    <col min="33" max="33" width="17.7109375" style="75" bestFit="1" customWidth="1"/>
    <col min="34" max="34" width="18.28515625" style="3" bestFit="1" customWidth="1"/>
    <col min="35" max="35" width="30.5703125" style="3" bestFit="1" customWidth="1"/>
    <col min="36" max="36" width="18.28515625" style="3" bestFit="1" customWidth="1"/>
    <col min="37" max="37" width="20.7109375" style="3" bestFit="1" customWidth="1"/>
    <col min="38" max="38" width="12.42578125" style="3" bestFit="1" customWidth="1"/>
    <col min="39" max="39" width="21" style="3" bestFit="1" customWidth="1"/>
    <col min="40" max="40" width="11.7109375" style="3" bestFit="1" customWidth="1"/>
    <col min="41" max="41" width="53.42578125" style="3" bestFit="1" customWidth="1"/>
    <col min="42" max="42" width="31.85546875" style="3" bestFit="1" customWidth="1"/>
    <col min="43" max="43" width="56.140625" style="3" customWidth="1"/>
    <col min="44" max="44" width="121.7109375" style="3"/>
    <col min="45" max="45" width="26.140625" style="3" bestFit="1" customWidth="1"/>
    <col min="46" max="46" width="20.140625" style="3" bestFit="1" customWidth="1"/>
    <col min="47" max="47" width="13.42578125" style="3" bestFit="1" customWidth="1"/>
    <col min="48" max="16384" width="121.7109375" style="3"/>
  </cols>
  <sheetData>
    <row r="1" spans="1:48" s="75" customFormat="1" x14ac:dyDescent="0.25">
      <c r="A1" s="75" t="s">
        <v>93</v>
      </c>
      <c r="B1" s="107" t="s">
        <v>94</v>
      </c>
      <c r="C1" s="108" t="s">
        <v>95</v>
      </c>
      <c r="D1" s="75" t="s">
        <v>96</v>
      </c>
      <c r="E1" s="75" t="s">
        <v>97</v>
      </c>
      <c r="F1" s="75" t="s">
        <v>98</v>
      </c>
      <c r="G1" s="75" t="s">
        <v>99</v>
      </c>
      <c r="H1" s="75" t="s">
        <v>100</v>
      </c>
      <c r="I1" s="75" t="s">
        <v>101</v>
      </c>
      <c r="J1" s="75" t="s">
        <v>102</v>
      </c>
      <c r="K1" s="75" t="s">
        <v>103</v>
      </c>
      <c r="L1" s="75" t="s">
        <v>104</v>
      </c>
      <c r="M1" s="75" t="s">
        <v>105</v>
      </c>
      <c r="N1" s="75" t="s">
        <v>106</v>
      </c>
      <c r="O1" s="75" t="s">
        <v>107</v>
      </c>
      <c r="P1" s="75" t="s">
        <v>108</v>
      </c>
      <c r="Q1" s="75" t="s">
        <v>109</v>
      </c>
      <c r="R1" s="75" t="s">
        <v>110</v>
      </c>
      <c r="S1" s="75" t="s">
        <v>111</v>
      </c>
      <c r="T1" s="75" t="s">
        <v>112</v>
      </c>
      <c r="U1" s="75" t="s">
        <v>113</v>
      </c>
      <c r="V1" s="75" t="s">
        <v>114</v>
      </c>
      <c r="W1" s="75" t="s">
        <v>115</v>
      </c>
      <c r="X1" s="75" t="s">
        <v>116</v>
      </c>
      <c r="Y1" s="75" t="s">
        <v>117</v>
      </c>
      <c r="Z1" s="75" t="s">
        <v>118</v>
      </c>
      <c r="AA1" s="107" t="s">
        <v>119</v>
      </c>
      <c r="AB1" s="108" t="s">
        <v>120</v>
      </c>
      <c r="AC1" s="108" t="s">
        <v>121</v>
      </c>
      <c r="AD1" s="75" t="s">
        <v>122</v>
      </c>
      <c r="AE1" s="75" t="s">
        <v>123</v>
      </c>
      <c r="AF1" s="75" t="s">
        <v>124</v>
      </c>
      <c r="AG1" s="108" t="s">
        <v>125</v>
      </c>
      <c r="AH1" s="107" t="s">
        <v>126</v>
      </c>
      <c r="AI1" s="75" t="s">
        <v>127</v>
      </c>
      <c r="AJ1" s="75" t="s">
        <v>128</v>
      </c>
      <c r="AK1" s="75" t="s">
        <v>129</v>
      </c>
      <c r="AL1" s="75" t="s">
        <v>130</v>
      </c>
      <c r="AM1" s="75" t="s">
        <v>131</v>
      </c>
      <c r="AN1" s="75" t="s">
        <v>132</v>
      </c>
      <c r="AO1" s="75" t="s">
        <v>133</v>
      </c>
      <c r="AP1" s="75" t="s">
        <v>134</v>
      </c>
    </row>
    <row r="2" spans="1:48" x14ac:dyDescent="0.25">
      <c r="A2" s="92" t="s">
        <v>135</v>
      </c>
      <c r="B2" s="87">
        <v>42906</v>
      </c>
      <c r="C2" s="89">
        <v>0.53615740740740736</v>
      </c>
      <c r="D2" s="90" t="s">
        <v>136</v>
      </c>
      <c r="E2" s="90"/>
      <c r="F2" s="90"/>
      <c r="G2" s="90" t="s">
        <v>137</v>
      </c>
      <c r="H2" s="92" t="s">
        <v>138</v>
      </c>
      <c r="I2" s="93">
        <v>8</v>
      </c>
      <c r="J2" s="90" t="s">
        <v>139</v>
      </c>
      <c r="K2" s="91"/>
      <c r="L2" s="91"/>
      <c r="M2" s="90"/>
      <c r="N2" s="90"/>
      <c r="O2" s="90"/>
      <c r="P2" s="90"/>
      <c r="Q2" s="90"/>
      <c r="R2" s="90"/>
      <c r="S2" s="90"/>
      <c r="T2" s="90"/>
      <c r="U2" s="90" t="s">
        <v>140</v>
      </c>
      <c r="V2" s="90" t="s">
        <v>141</v>
      </c>
      <c r="W2" s="90" t="s">
        <v>142</v>
      </c>
      <c r="X2" s="90" t="s">
        <v>143</v>
      </c>
      <c r="Y2" s="90" t="s">
        <v>144</v>
      </c>
      <c r="Z2" s="90" t="s">
        <v>145</v>
      </c>
      <c r="AA2" s="87">
        <v>42906</v>
      </c>
      <c r="AB2" s="85">
        <v>0.53615740740740736</v>
      </c>
      <c r="AC2" s="85">
        <v>0.5</v>
      </c>
      <c r="AD2" s="90" t="s">
        <v>146</v>
      </c>
      <c r="AE2" s="90" t="s">
        <v>136</v>
      </c>
      <c r="AF2" s="93" t="s">
        <v>147</v>
      </c>
      <c r="AG2" s="85">
        <v>0.53615740740740736</v>
      </c>
      <c r="AH2" s="86">
        <v>42906</v>
      </c>
      <c r="AI2" s="90" t="s">
        <v>146</v>
      </c>
      <c r="AJ2" s="90" t="s">
        <v>148</v>
      </c>
      <c r="AK2" s="90" t="s">
        <v>149</v>
      </c>
      <c r="AL2" s="91">
        <v>2017</v>
      </c>
      <c r="AM2" s="91">
        <v>25</v>
      </c>
      <c r="AN2" s="91">
        <v>20</v>
      </c>
      <c r="AO2" s="90" t="s">
        <v>150</v>
      </c>
      <c r="AP2" s="90" t="s">
        <v>151</v>
      </c>
      <c r="AS2" s="91" t="s">
        <v>123</v>
      </c>
      <c r="AT2" s="91" t="s" vm="1">
        <v>152</v>
      </c>
    </row>
    <row r="3" spans="1:48" x14ac:dyDescent="0.25">
      <c r="A3" s="92" t="s">
        <v>153</v>
      </c>
      <c r="B3" s="87">
        <v>45660</v>
      </c>
      <c r="C3" s="89">
        <v>0.89583333333333337</v>
      </c>
      <c r="D3" s="90" t="s">
        <v>154</v>
      </c>
      <c r="E3" s="90"/>
      <c r="F3" s="90"/>
      <c r="G3" s="90" t="s">
        <v>155</v>
      </c>
      <c r="H3" s="92" t="s">
        <v>156</v>
      </c>
      <c r="I3" s="93">
        <v>9</v>
      </c>
      <c r="J3" s="90" t="s">
        <v>157</v>
      </c>
      <c r="K3" s="91"/>
      <c r="L3" s="91"/>
      <c r="M3" s="90" t="s">
        <v>158</v>
      </c>
      <c r="N3" s="90" t="s">
        <v>159</v>
      </c>
      <c r="O3" s="90" t="s">
        <v>160</v>
      </c>
      <c r="P3" s="90" t="s">
        <v>161</v>
      </c>
      <c r="Q3" s="90"/>
      <c r="R3" s="90"/>
      <c r="S3" s="90"/>
      <c r="T3" s="90"/>
      <c r="U3" s="90" t="s">
        <v>162</v>
      </c>
      <c r="V3" s="90" t="s">
        <v>163</v>
      </c>
      <c r="W3" s="90" t="s">
        <v>164</v>
      </c>
      <c r="X3" s="90" t="s">
        <v>165</v>
      </c>
      <c r="Y3" s="90" t="s">
        <v>166</v>
      </c>
      <c r="Z3" s="90" t="s">
        <v>167</v>
      </c>
      <c r="AA3" s="87">
        <v>45660</v>
      </c>
      <c r="AB3" s="85">
        <v>0.89583333333333337</v>
      </c>
      <c r="AC3" s="85">
        <v>0.875</v>
      </c>
      <c r="AD3" s="90" t="s">
        <v>168</v>
      </c>
      <c r="AE3" s="90" t="s">
        <v>154</v>
      </c>
      <c r="AF3" s="93" t="s">
        <v>169</v>
      </c>
      <c r="AG3" s="85">
        <v>0.89583333333333337</v>
      </c>
      <c r="AH3" s="86">
        <v>45660</v>
      </c>
      <c r="AI3" s="90" t="s">
        <v>168</v>
      </c>
      <c r="AJ3" s="90" t="s">
        <v>170</v>
      </c>
      <c r="AK3" s="90" t="s">
        <v>171</v>
      </c>
      <c r="AL3" s="91">
        <v>2025</v>
      </c>
      <c r="AM3" s="91">
        <v>1</v>
      </c>
      <c r="AN3" s="91">
        <v>3</v>
      </c>
      <c r="AO3" s="90" t="s">
        <v>172</v>
      </c>
      <c r="AP3" s="90" t="s">
        <v>151</v>
      </c>
    </row>
    <row r="4" spans="1:48" x14ac:dyDescent="0.25">
      <c r="A4" s="92" t="s">
        <v>173</v>
      </c>
      <c r="B4" s="87">
        <v>45663</v>
      </c>
      <c r="C4" s="89">
        <v>0.64583333333333337</v>
      </c>
      <c r="D4" s="90" t="s">
        <v>174</v>
      </c>
      <c r="E4" s="90"/>
      <c r="F4" s="90"/>
      <c r="G4" s="90" t="s">
        <v>175</v>
      </c>
      <c r="H4" s="92"/>
      <c r="I4" s="93">
        <v>7</v>
      </c>
      <c r="J4" s="90" t="s">
        <v>176</v>
      </c>
      <c r="K4" s="91"/>
      <c r="L4" s="91"/>
      <c r="M4" s="90" t="s">
        <v>177</v>
      </c>
      <c r="N4" s="90" t="s">
        <v>159</v>
      </c>
      <c r="O4" s="90" t="s">
        <v>178</v>
      </c>
      <c r="P4" s="90" t="s">
        <v>161</v>
      </c>
      <c r="Q4" s="90"/>
      <c r="R4" s="90"/>
      <c r="S4" s="90"/>
      <c r="T4" s="90"/>
      <c r="U4" s="90" t="s">
        <v>140</v>
      </c>
      <c r="V4" s="90" t="s">
        <v>179</v>
      </c>
      <c r="W4" s="90" t="s">
        <v>142</v>
      </c>
      <c r="X4" s="90" t="s">
        <v>180</v>
      </c>
      <c r="Y4" s="90" t="s">
        <v>181</v>
      </c>
      <c r="Z4" s="90" t="s">
        <v>182</v>
      </c>
      <c r="AA4" s="87">
        <v>45663</v>
      </c>
      <c r="AB4" s="85">
        <v>0.64583333333333337</v>
      </c>
      <c r="AC4" s="85">
        <v>0.625</v>
      </c>
      <c r="AD4" s="90" t="s">
        <v>146</v>
      </c>
      <c r="AE4" s="90" t="s">
        <v>174</v>
      </c>
      <c r="AF4" s="93" t="s">
        <v>169</v>
      </c>
      <c r="AG4" s="85">
        <v>0.64583333333333337</v>
      </c>
      <c r="AH4" s="86">
        <v>45663</v>
      </c>
      <c r="AI4" s="90" t="s">
        <v>146</v>
      </c>
      <c r="AJ4" s="90" t="s">
        <v>183</v>
      </c>
      <c r="AK4" s="90" t="s">
        <v>171</v>
      </c>
      <c r="AL4" s="91">
        <v>2025</v>
      </c>
      <c r="AM4" s="91">
        <v>2</v>
      </c>
      <c r="AN4" s="91">
        <v>6</v>
      </c>
      <c r="AO4" s="90" t="s">
        <v>184</v>
      </c>
      <c r="AP4" s="90" t="s">
        <v>151</v>
      </c>
      <c r="AS4" s="91" t="s">
        <v>185</v>
      </c>
      <c r="AT4" s="91" t="s">
        <v>186</v>
      </c>
      <c r="AU4" s="91"/>
      <c r="AV4" s="109"/>
    </row>
    <row r="5" spans="1:48" x14ac:dyDescent="0.25">
      <c r="A5" s="92" t="s">
        <v>187</v>
      </c>
      <c r="B5" s="87">
        <v>45664</v>
      </c>
      <c r="C5" s="89">
        <v>0.58333333333333337</v>
      </c>
      <c r="D5" s="90" t="s">
        <v>188</v>
      </c>
      <c r="E5" s="90" t="s">
        <v>189</v>
      </c>
      <c r="F5" s="90"/>
      <c r="G5" s="90" t="s">
        <v>190</v>
      </c>
      <c r="H5" s="92" t="s">
        <v>191</v>
      </c>
      <c r="I5" s="93">
        <v>7</v>
      </c>
      <c r="J5" s="90" t="s">
        <v>192</v>
      </c>
      <c r="K5" s="91"/>
      <c r="L5" s="91"/>
      <c r="M5" s="90"/>
      <c r="N5" s="90"/>
      <c r="O5" s="90"/>
      <c r="P5" s="90"/>
      <c r="Q5" s="90"/>
      <c r="R5" s="90"/>
      <c r="S5" s="90"/>
      <c r="T5" s="90"/>
      <c r="U5" s="90" t="s">
        <v>193</v>
      </c>
      <c r="V5" s="90" t="s">
        <v>194</v>
      </c>
      <c r="W5" s="90" t="s">
        <v>195</v>
      </c>
      <c r="X5" s="90" t="s">
        <v>196</v>
      </c>
      <c r="Y5" s="90" t="s">
        <v>166</v>
      </c>
      <c r="Z5" s="90" t="s">
        <v>197</v>
      </c>
      <c r="AA5" s="87">
        <v>45664</v>
      </c>
      <c r="AB5" s="85">
        <v>0.58333333333333337</v>
      </c>
      <c r="AC5" s="85">
        <v>0.58333333333333337</v>
      </c>
      <c r="AD5" s="90" t="s">
        <v>146</v>
      </c>
      <c r="AE5" s="90" t="s">
        <v>198</v>
      </c>
      <c r="AF5" s="93" t="s">
        <v>169</v>
      </c>
      <c r="AG5" s="85">
        <v>0.58333333333333337</v>
      </c>
      <c r="AH5" s="86">
        <v>45664</v>
      </c>
      <c r="AI5" s="90" t="s">
        <v>146</v>
      </c>
      <c r="AJ5" s="90" t="s">
        <v>148</v>
      </c>
      <c r="AK5" s="90" t="s">
        <v>171</v>
      </c>
      <c r="AL5" s="91">
        <v>2025</v>
      </c>
      <c r="AM5" s="91">
        <v>2</v>
      </c>
      <c r="AN5" s="91">
        <v>7</v>
      </c>
      <c r="AO5" s="90" t="s">
        <v>199</v>
      </c>
      <c r="AP5" s="90" t="s">
        <v>200</v>
      </c>
      <c r="AS5" s="91" t="s">
        <v>201</v>
      </c>
      <c r="AT5" s="91" t="s">
        <v>169</v>
      </c>
      <c r="AU5" s="91" t="s">
        <v>202</v>
      </c>
      <c r="AV5" s="109"/>
    </row>
    <row r="6" spans="1:48" x14ac:dyDescent="0.25">
      <c r="A6" s="92" t="s">
        <v>203</v>
      </c>
      <c r="B6" s="87">
        <v>45670</v>
      </c>
      <c r="C6" s="89">
        <v>0.50347222222222221</v>
      </c>
      <c r="D6" s="90" t="s">
        <v>204</v>
      </c>
      <c r="E6" s="90" t="s">
        <v>205</v>
      </c>
      <c r="F6" s="90" t="s">
        <v>206</v>
      </c>
      <c r="G6" s="90" t="s">
        <v>207</v>
      </c>
      <c r="H6" s="92" t="s">
        <v>208</v>
      </c>
      <c r="I6" s="93">
        <v>8</v>
      </c>
      <c r="J6" s="90" t="s">
        <v>209</v>
      </c>
      <c r="K6" s="91"/>
      <c r="L6" s="91"/>
      <c r="M6" s="90"/>
      <c r="N6" s="90"/>
      <c r="O6" s="90"/>
      <c r="P6" s="90"/>
      <c r="Q6" s="90"/>
      <c r="R6" s="90"/>
      <c r="S6" s="90"/>
      <c r="T6" s="90"/>
      <c r="U6" s="90" t="s">
        <v>162</v>
      </c>
      <c r="V6" s="90" t="s">
        <v>210</v>
      </c>
      <c r="W6" s="90" t="s">
        <v>211</v>
      </c>
      <c r="X6" s="90" t="s">
        <v>143</v>
      </c>
      <c r="Y6" s="90" t="s">
        <v>212</v>
      </c>
      <c r="Z6" s="90" t="s">
        <v>213</v>
      </c>
      <c r="AA6" s="87">
        <v>45670</v>
      </c>
      <c r="AB6" s="85">
        <v>0.50347222222222221</v>
      </c>
      <c r="AC6" s="85">
        <v>0.5</v>
      </c>
      <c r="AD6" s="90" t="s">
        <v>146</v>
      </c>
      <c r="AE6" s="90" t="s">
        <v>214</v>
      </c>
      <c r="AF6" s="93" t="s">
        <v>169</v>
      </c>
      <c r="AG6" s="85">
        <v>0.50347222222222221</v>
      </c>
      <c r="AH6" s="86">
        <v>45670</v>
      </c>
      <c r="AI6" s="90" t="s">
        <v>146</v>
      </c>
      <c r="AJ6" s="90" t="s">
        <v>183</v>
      </c>
      <c r="AK6" s="90" t="s">
        <v>171</v>
      </c>
      <c r="AL6" s="91">
        <v>2025</v>
      </c>
      <c r="AM6" s="91">
        <v>3</v>
      </c>
      <c r="AN6" s="91">
        <v>13</v>
      </c>
      <c r="AO6" s="90" t="s">
        <v>215</v>
      </c>
      <c r="AP6" s="90" t="s">
        <v>216</v>
      </c>
      <c r="AS6" s="110" t="s">
        <v>146</v>
      </c>
      <c r="AT6" s="90">
        <v>3</v>
      </c>
      <c r="AU6" s="90">
        <v>3</v>
      </c>
      <c r="AV6" s="109"/>
    </row>
    <row r="7" spans="1:48" x14ac:dyDescent="0.25">
      <c r="A7" s="92" t="s">
        <v>217</v>
      </c>
      <c r="B7" s="87">
        <v>45671</v>
      </c>
      <c r="C7" s="89">
        <v>0.64067129629629627</v>
      </c>
      <c r="D7" s="90" t="s">
        <v>206</v>
      </c>
      <c r="E7" s="90" t="s">
        <v>218</v>
      </c>
      <c r="F7" s="90" t="s">
        <v>219</v>
      </c>
      <c r="G7" s="90" t="s">
        <v>220</v>
      </c>
      <c r="H7" s="92" t="s">
        <v>221</v>
      </c>
      <c r="I7" s="93">
        <v>9</v>
      </c>
      <c r="J7" s="90" t="s">
        <v>222</v>
      </c>
      <c r="K7" s="91"/>
      <c r="L7" s="91"/>
      <c r="M7" s="90" t="s">
        <v>223</v>
      </c>
      <c r="N7" s="90" t="s">
        <v>224</v>
      </c>
      <c r="O7" s="90" t="s">
        <v>225</v>
      </c>
      <c r="P7" s="90" t="s">
        <v>161</v>
      </c>
      <c r="Q7" s="90"/>
      <c r="R7" s="90"/>
      <c r="S7" s="90"/>
      <c r="T7" s="90"/>
      <c r="U7" s="90" t="s">
        <v>226</v>
      </c>
      <c r="V7" s="90" t="s">
        <v>163</v>
      </c>
      <c r="W7" s="90" t="s">
        <v>227</v>
      </c>
      <c r="X7" s="90" t="s">
        <v>228</v>
      </c>
      <c r="Y7" s="90" t="s">
        <v>166</v>
      </c>
      <c r="Z7" s="90" t="s">
        <v>213</v>
      </c>
      <c r="AA7" s="87">
        <v>45671</v>
      </c>
      <c r="AB7" s="85">
        <v>0.64067129629629627</v>
      </c>
      <c r="AC7" s="85">
        <v>0.625</v>
      </c>
      <c r="AD7" s="90" t="s">
        <v>146</v>
      </c>
      <c r="AE7" s="90" t="s">
        <v>229</v>
      </c>
      <c r="AF7" s="93" t="s">
        <v>169</v>
      </c>
      <c r="AG7" s="85">
        <v>0.64067129629629627</v>
      </c>
      <c r="AH7" s="86">
        <v>45671</v>
      </c>
      <c r="AI7" s="90" t="s">
        <v>146</v>
      </c>
      <c r="AJ7" s="90" t="s">
        <v>148</v>
      </c>
      <c r="AK7" s="90" t="s">
        <v>171</v>
      </c>
      <c r="AL7" s="91">
        <v>2025</v>
      </c>
      <c r="AM7" s="91">
        <v>3</v>
      </c>
      <c r="AN7" s="91">
        <v>14</v>
      </c>
      <c r="AO7" s="90" t="s">
        <v>230</v>
      </c>
      <c r="AP7" s="90" t="s">
        <v>231</v>
      </c>
      <c r="AS7" s="110" t="s">
        <v>168</v>
      </c>
      <c r="AT7" s="90">
        <v>1</v>
      </c>
      <c r="AU7" s="90">
        <v>1</v>
      </c>
      <c r="AV7" s="109"/>
    </row>
    <row r="8" spans="1:48" x14ac:dyDescent="0.25">
      <c r="A8" s="92" t="s">
        <v>232</v>
      </c>
      <c r="B8" s="87">
        <v>45672</v>
      </c>
      <c r="C8" s="89">
        <v>0.53988425925925931</v>
      </c>
      <c r="D8" s="90" t="s">
        <v>154</v>
      </c>
      <c r="E8" s="90"/>
      <c r="F8" s="90"/>
      <c r="G8" s="90" t="s">
        <v>233</v>
      </c>
      <c r="H8" s="92" t="s">
        <v>208</v>
      </c>
      <c r="I8" s="93">
        <v>8</v>
      </c>
      <c r="J8" s="90" t="s">
        <v>234</v>
      </c>
      <c r="K8" s="91"/>
      <c r="L8" s="91"/>
      <c r="M8" s="90" t="s">
        <v>235</v>
      </c>
      <c r="N8" s="90" t="s">
        <v>159</v>
      </c>
      <c r="O8" s="90" t="s">
        <v>236</v>
      </c>
      <c r="P8" s="90" t="s">
        <v>161</v>
      </c>
      <c r="Q8" s="90"/>
      <c r="R8" s="90"/>
      <c r="S8" s="90"/>
      <c r="T8" s="90"/>
      <c r="U8" s="90" t="s">
        <v>226</v>
      </c>
      <c r="V8" s="90" t="s">
        <v>237</v>
      </c>
      <c r="W8" s="90" t="s">
        <v>238</v>
      </c>
      <c r="X8" s="90" t="s">
        <v>180</v>
      </c>
      <c r="Y8" s="90" t="s">
        <v>166</v>
      </c>
      <c r="Z8" s="90" t="s">
        <v>167</v>
      </c>
      <c r="AA8" s="87">
        <v>45672</v>
      </c>
      <c r="AB8" s="85">
        <v>0.53988425925925931</v>
      </c>
      <c r="AC8" s="85">
        <v>0.5</v>
      </c>
      <c r="AD8" s="90" t="s">
        <v>146</v>
      </c>
      <c r="AE8" s="90" t="s">
        <v>154</v>
      </c>
      <c r="AF8" s="93" t="s">
        <v>169</v>
      </c>
      <c r="AG8" s="85">
        <v>0.53988425925925931</v>
      </c>
      <c r="AH8" s="86">
        <v>45672</v>
      </c>
      <c r="AI8" s="90" t="s">
        <v>146</v>
      </c>
      <c r="AJ8" s="90" t="s">
        <v>239</v>
      </c>
      <c r="AK8" s="90" t="s">
        <v>171</v>
      </c>
      <c r="AL8" s="91">
        <v>2025</v>
      </c>
      <c r="AM8" s="91">
        <v>3</v>
      </c>
      <c r="AN8" s="91">
        <v>15</v>
      </c>
      <c r="AO8" s="90" t="s">
        <v>240</v>
      </c>
      <c r="AP8" s="90" t="s">
        <v>151</v>
      </c>
      <c r="AS8" s="110" t="s">
        <v>202</v>
      </c>
      <c r="AT8" s="90">
        <v>4</v>
      </c>
      <c r="AU8" s="90">
        <v>4</v>
      </c>
      <c r="AV8" s="109"/>
    </row>
    <row r="9" spans="1:48" x14ac:dyDescent="0.25">
      <c r="A9" s="92" t="s">
        <v>241</v>
      </c>
      <c r="B9" s="87">
        <v>45673</v>
      </c>
      <c r="C9" s="89">
        <v>0.5</v>
      </c>
      <c r="D9" s="90" t="s">
        <v>242</v>
      </c>
      <c r="E9" s="90"/>
      <c r="F9" s="90"/>
      <c r="G9" s="90" t="s">
        <v>243</v>
      </c>
      <c r="H9" s="92" t="s">
        <v>191</v>
      </c>
      <c r="I9" s="93">
        <v>7</v>
      </c>
      <c r="J9" s="90" t="s">
        <v>244</v>
      </c>
      <c r="K9" s="91"/>
      <c r="L9" s="91"/>
      <c r="M9" s="90"/>
      <c r="N9" s="90"/>
      <c r="O9" s="90"/>
      <c r="P9" s="90"/>
      <c r="Q9" s="90"/>
      <c r="R9" s="90"/>
      <c r="S9" s="90"/>
      <c r="T9" s="90"/>
      <c r="U9" s="90" t="s">
        <v>140</v>
      </c>
      <c r="V9" s="90" t="s">
        <v>245</v>
      </c>
      <c r="W9" s="90" t="s">
        <v>142</v>
      </c>
      <c r="X9" s="90" t="s">
        <v>180</v>
      </c>
      <c r="Y9" s="90" t="s">
        <v>166</v>
      </c>
      <c r="Z9" s="90" t="s">
        <v>246</v>
      </c>
      <c r="AA9" s="87">
        <v>45673</v>
      </c>
      <c r="AB9" s="85">
        <v>0.5</v>
      </c>
      <c r="AC9" s="85">
        <v>0.5</v>
      </c>
      <c r="AD9" s="90" t="s">
        <v>146</v>
      </c>
      <c r="AE9" s="90" t="s">
        <v>242</v>
      </c>
      <c r="AF9" s="93" t="s">
        <v>169</v>
      </c>
      <c r="AG9" s="85">
        <v>0.5</v>
      </c>
      <c r="AH9" s="86">
        <v>45673</v>
      </c>
      <c r="AI9" s="90" t="s">
        <v>146</v>
      </c>
      <c r="AJ9" s="90" t="s">
        <v>247</v>
      </c>
      <c r="AK9" s="90" t="s">
        <v>171</v>
      </c>
      <c r="AL9" s="91">
        <v>2025</v>
      </c>
      <c r="AM9" s="91">
        <v>3</v>
      </c>
      <c r="AN9" s="91">
        <v>16</v>
      </c>
      <c r="AO9" s="90" t="s">
        <v>248</v>
      </c>
      <c r="AP9" s="90" t="s">
        <v>151</v>
      </c>
      <c r="AS9" s="109"/>
      <c r="AT9" s="109"/>
      <c r="AU9" s="109"/>
      <c r="AV9" s="109"/>
    </row>
    <row r="10" spans="1:48" x14ac:dyDescent="0.25">
      <c r="A10" s="92" t="s">
        <v>249</v>
      </c>
      <c r="B10" s="87">
        <v>45673</v>
      </c>
      <c r="C10" s="89">
        <v>0.87708333333333333</v>
      </c>
      <c r="D10" s="90" t="s">
        <v>206</v>
      </c>
      <c r="E10" s="90"/>
      <c r="F10" s="90"/>
      <c r="G10" s="90" t="s">
        <v>250</v>
      </c>
      <c r="H10" s="92" t="s">
        <v>251</v>
      </c>
      <c r="I10" s="93">
        <v>9</v>
      </c>
      <c r="J10" s="90" t="s">
        <v>252</v>
      </c>
      <c r="K10" s="91"/>
      <c r="L10" s="91"/>
      <c r="M10" s="90"/>
      <c r="N10" s="90" t="s">
        <v>253</v>
      </c>
      <c r="O10" s="90" t="s">
        <v>254</v>
      </c>
      <c r="P10" s="90"/>
      <c r="Q10" s="90"/>
      <c r="R10" s="90"/>
      <c r="S10" s="90"/>
      <c r="T10" s="90"/>
      <c r="U10" s="90" t="s">
        <v>140</v>
      </c>
      <c r="V10" s="90" t="s">
        <v>255</v>
      </c>
      <c r="W10" s="90" t="s">
        <v>256</v>
      </c>
      <c r="X10" s="90" t="s">
        <v>257</v>
      </c>
      <c r="Y10" s="90" t="s">
        <v>144</v>
      </c>
      <c r="Z10" s="90" t="s">
        <v>213</v>
      </c>
      <c r="AA10" s="87">
        <v>45673</v>
      </c>
      <c r="AB10" s="85">
        <v>0.87708333333333333</v>
      </c>
      <c r="AC10" s="85">
        <v>0.875</v>
      </c>
      <c r="AD10" s="90" t="s">
        <v>168</v>
      </c>
      <c r="AE10" s="90" t="s">
        <v>206</v>
      </c>
      <c r="AF10" s="93" t="s">
        <v>169</v>
      </c>
      <c r="AG10" s="85">
        <v>0.87708333333333333</v>
      </c>
      <c r="AH10" s="86">
        <v>45673</v>
      </c>
      <c r="AI10" s="90" t="s">
        <v>168</v>
      </c>
      <c r="AJ10" s="90" t="s">
        <v>247</v>
      </c>
      <c r="AK10" s="90" t="s">
        <v>171</v>
      </c>
      <c r="AL10" s="91">
        <v>2025</v>
      </c>
      <c r="AM10" s="91">
        <v>3</v>
      </c>
      <c r="AN10" s="91">
        <v>16</v>
      </c>
      <c r="AO10" s="90" t="s">
        <v>258</v>
      </c>
      <c r="AP10" s="90" t="s">
        <v>151</v>
      </c>
    </row>
    <row r="11" spans="1:48" x14ac:dyDescent="0.25">
      <c r="A11" s="92" t="s">
        <v>259</v>
      </c>
      <c r="B11" s="87">
        <v>45678</v>
      </c>
      <c r="C11" s="89">
        <v>0.79166666666666663</v>
      </c>
      <c r="D11" s="90" t="s">
        <v>154</v>
      </c>
      <c r="E11" s="90"/>
      <c r="F11" s="90"/>
      <c r="G11" s="90" t="s">
        <v>260</v>
      </c>
      <c r="H11" s="92" t="s">
        <v>251</v>
      </c>
      <c r="I11" s="93">
        <v>9</v>
      </c>
      <c r="J11" s="90" t="s">
        <v>261</v>
      </c>
      <c r="K11" s="91"/>
      <c r="L11" s="91"/>
      <c r="M11" s="90" t="s">
        <v>262</v>
      </c>
      <c r="N11" s="90" t="s">
        <v>159</v>
      </c>
      <c r="O11" s="90" t="s">
        <v>263</v>
      </c>
      <c r="P11" s="90" t="s">
        <v>161</v>
      </c>
      <c r="Q11" s="90"/>
      <c r="R11" s="90"/>
      <c r="S11" s="90"/>
      <c r="T11" s="90"/>
      <c r="U11" s="90" t="s">
        <v>264</v>
      </c>
      <c r="V11" s="90" t="s">
        <v>265</v>
      </c>
      <c r="W11" s="90" t="s">
        <v>164</v>
      </c>
      <c r="X11" s="90" t="s">
        <v>228</v>
      </c>
      <c r="Y11" s="90" t="s">
        <v>166</v>
      </c>
      <c r="Z11" s="90" t="s">
        <v>167</v>
      </c>
      <c r="AA11" s="87">
        <v>45678</v>
      </c>
      <c r="AB11" s="85">
        <v>0.79166666666666663</v>
      </c>
      <c r="AC11" s="85">
        <v>0.79166666666666663</v>
      </c>
      <c r="AD11" s="90" t="s">
        <v>266</v>
      </c>
      <c r="AE11" s="90" t="s">
        <v>154</v>
      </c>
      <c r="AF11" s="93" t="s">
        <v>169</v>
      </c>
      <c r="AG11" s="85">
        <v>0.79166666666666663</v>
      </c>
      <c r="AH11" s="86">
        <v>45678</v>
      </c>
      <c r="AI11" s="90" t="s">
        <v>266</v>
      </c>
      <c r="AJ11" s="90" t="s">
        <v>148</v>
      </c>
      <c r="AK11" s="90" t="s">
        <v>171</v>
      </c>
      <c r="AL11" s="91">
        <v>2025</v>
      </c>
      <c r="AM11" s="91">
        <v>4</v>
      </c>
      <c r="AN11" s="91">
        <v>21</v>
      </c>
      <c r="AO11" s="90" t="s">
        <v>267</v>
      </c>
      <c r="AP11" s="90" t="s">
        <v>151</v>
      </c>
    </row>
    <row r="12" spans="1:48" x14ac:dyDescent="0.25">
      <c r="A12" s="92" t="s">
        <v>268</v>
      </c>
      <c r="B12" s="87">
        <v>45679</v>
      </c>
      <c r="C12" s="89">
        <v>0.33333333333333331</v>
      </c>
      <c r="D12" s="90" t="s">
        <v>154</v>
      </c>
      <c r="E12" s="90"/>
      <c r="F12" s="90"/>
      <c r="G12" s="90" t="s">
        <v>269</v>
      </c>
      <c r="H12" s="92" t="s">
        <v>270</v>
      </c>
      <c r="I12" s="93">
        <v>5</v>
      </c>
      <c r="J12" s="90" t="s">
        <v>271</v>
      </c>
      <c r="K12" s="91"/>
      <c r="L12" s="91"/>
      <c r="M12" s="90" t="s">
        <v>272</v>
      </c>
      <c r="N12" s="90" t="s">
        <v>273</v>
      </c>
      <c r="O12" s="90" t="s">
        <v>274</v>
      </c>
      <c r="P12" s="90" t="s">
        <v>161</v>
      </c>
      <c r="Q12" s="90"/>
      <c r="R12" s="90"/>
      <c r="S12" s="90"/>
      <c r="T12" s="90"/>
      <c r="U12" s="90" t="s">
        <v>226</v>
      </c>
      <c r="V12" s="90" t="s">
        <v>265</v>
      </c>
      <c r="W12" s="90" t="s">
        <v>164</v>
      </c>
      <c r="X12" s="90" t="s">
        <v>275</v>
      </c>
      <c r="Y12" s="90" t="s">
        <v>166</v>
      </c>
      <c r="Z12" s="90" t="s">
        <v>167</v>
      </c>
      <c r="AA12" s="87">
        <v>45679</v>
      </c>
      <c r="AB12" s="85">
        <v>0.33333333333333331</v>
      </c>
      <c r="AC12" s="85">
        <v>0.33333333333333331</v>
      </c>
      <c r="AD12" s="90" t="s">
        <v>276</v>
      </c>
      <c r="AE12" s="90" t="s">
        <v>154</v>
      </c>
      <c r="AF12" s="93" t="s">
        <v>169</v>
      </c>
      <c r="AG12" s="85">
        <v>0.33333333333333331</v>
      </c>
      <c r="AH12" s="86">
        <v>45679</v>
      </c>
      <c r="AI12" s="90" t="s">
        <v>276</v>
      </c>
      <c r="AJ12" s="90" t="s">
        <v>239</v>
      </c>
      <c r="AK12" s="90" t="s">
        <v>171</v>
      </c>
      <c r="AL12" s="91">
        <v>2025</v>
      </c>
      <c r="AM12" s="91">
        <v>4</v>
      </c>
      <c r="AN12" s="91">
        <v>22</v>
      </c>
      <c r="AO12" s="90" t="s">
        <v>277</v>
      </c>
      <c r="AP12" s="90" t="s">
        <v>151</v>
      </c>
    </row>
    <row r="13" spans="1:48" x14ac:dyDescent="0.25">
      <c r="A13" s="92" t="s">
        <v>278</v>
      </c>
      <c r="B13" s="87">
        <v>45680</v>
      </c>
      <c r="C13" s="89">
        <v>0.625</v>
      </c>
      <c r="D13" s="90" t="s">
        <v>136</v>
      </c>
      <c r="E13" s="90" t="s">
        <v>189</v>
      </c>
      <c r="F13" s="90"/>
      <c r="G13" s="90" t="s">
        <v>279</v>
      </c>
      <c r="H13" s="92" t="s">
        <v>208</v>
      </c>
      <c r="I13" s="93">
        <v>8</v>
      </c>
      <c r="J13" s="90" t="s">
        <v>280</v>
      </c>
      <c r="K13" s="91"/>
      <c r="L13" s="91"/>
      <c r="M13" s="90"/>
      <c r="N13" s="90"/>
      <c r="O13" s="90"/>
      <c r="P13" s="90"/>
      <c r="Q13" s="90"/>
      <c r="R13" s="90"/>
      <c r="S13" s="90"/>
      <c r="T13" s="90"/>
      <c r="U13" s="90" t="s">
        <v>281</v>
      </c>
      <c r="V13" s="90" t="s">
        <v>143</v>
      </c>
      <c r="W13" s="90" t="s">
        <v>282</v>
      </c>
      <c r="X13" s="90" t="s">
        <v>196</v>
      </c>
      <c r="Y13" s="90" t="s">
        <v>283</v>
      </c>
      <c r="Z13" s="90"/>
      <c r="AA13" s="87">
        <v>45680</v>
      </c>
      <c r="AB13" s="85">
        <v>0.625</v>
      </c>
      <c r="AC13" s="85">
        <v>0.625</v>
      </c>
      <c r="AD13" s="90" t="s">
        <v>146</v>
      </c>
      <c r="AE13" s="90" t="s">
        <v>284</v>
      </c>
      <c r="AF13" s="93" t="s">
        <v>169</v>
      </c>
      <c r="AG13" s="85">
        <v>0.625</v>
      </c>
      <c r="AH13" s="86">
        <v>45680</v>
      </c>
      <c r="AI13" s="90" t="s">
        <v>146</v>
      </c>
      <c r="AJ13" s="90" t="s">
        <v>247</v>
      </c>
      <c r="AK13" s="90" t="s">
        <v>171</v>
      </c>
      <c r="AL13" s="91">
        <v>2025</v>
      </c>
      <c r="AM13" s="91">
        <v>4</v>
      </c>
      <c r="AN13" s="91">
        <v>23</v>
      </c>
      <c r="AO13" s="90" t="s">
        <v>285</v>
      </c>
      <c r="AP13" s="90" t="s">
        <v>200</v>
      </c>
    </row>
    <row r="14" spans="1:48" x14ac:dyDescent="0.25">
      <c r="A14" s="92" t="s">
        <v>286</v>
      </c>
      <c r="B14" s="87">
        <v>45682</v>
      </c>
      <c r="C14" s="89">
        <v>0.45833333333333331</v>
      </c>
      <c r="D14" s="90" t="s">
        <v>242</v>
      </c>
      <c r="E14" s="90"/>
      <c r="F14" s="90"/>
      <c r="G14" s="90" t="s">
        <v>287</v>
      </c>
      <c r="H14" s="92" t="s">
        <v>288</v>
      </c>
      <c r="I14" s="93">
        <v>5</v>
      </c>
      <c r="J14" s="90" t="s">
        <v>289</v>
      </c>
      <c r="K14" s="91"/>
      <c r="L14" s="91"/>
      <c r="M14" s="90"/>
      <c r="N14" s="90"/>
      <c r="O14" s="90"/>
      <c r="P14" s="90"/>
      <c r="Q14" s="90"/>
      <c r="R14" s="90"/>
      <c r="S14" s="90"/>
      <c r="T14" s="90"/>
      <c r="U14" s="90" t="s">
        <v>290</v>
      </c>
      <c r="V14" s="90" t="s">
        <v>291</v>
      </c>
      <c r="W14" s="90" t="s">
        <v>256</v>
      </c>
      <c r="X14" s="90" t="s">
        <v>180</v>
      </c>
      <c r="Y14" s="90" t="s">
        <v>166</v>
      </c>
      <c r="Z14" s="90" t="s">
        <v>246</v>
      </c>
      <c r="AA14" s="87">
        <v>45682</v>
      </c>
      <c r="AB14" s="85">
        <v>0.45833333333333331</v>
      </c>
      <c r="AC14" s="85">
        <v>0.45833333333333331</v>
      </c>
      <c r="AD14" s="90" t="s">
        <v>276</v>
      </c>
      <c r="AE14" s="90" t="s">
        <v>242</v>
      </c>
      <c r="AF14" s="93" t="s">
        <v>169</v>
      </c>
      <c r="AG14" s="85">
        <v>0.45833333333333331</v>
      </c>
      <c r="AH14" s="86">
        <v>45682</v>
      </c>
      <c r="AI14" s="90" t="s">
        <v>276</v>
      </c>
      <c r="AJ14" s="90" t="s">
        <v>292</v>
      </c>
      <c r="AK14" s="90" t="s">
        <v>171</v>
      </c>
      <c r="AL14" s="91">
        <v>2025</v>
      </c>
      <c r="AM14" s="91">
        <v>4</v>
      </c>
      <c r="AN14" s="91">
        <v>25</v>
      </c>
      <c r="AO14" s="90" t="s">
        <v>293</v>
      </c>
      <c r="AP14" s="90" t="s">
        <v>151</v>
      </c>
    </row>
    <row r="15" spans="1:48" x14ac:dyDescent="0.25">
      <c r="A15" s="92" t="s">
        <v>294</v>
      </c>
      <c r="B15" s="87">
        <v>45682</v>
      </c>
      <c r="C15" s="89">
        <v>0.76875000000000004</v>
      </c>
      <c r="D15" s="90" t="s">
        <v>174</v>
      </c>
      <c r="E15" s="90" t="s">
        <v>295</v>
      </c>
      <c r="F15" s="90"/>
      <c r="G15" s="90" t="s">
        <v>296</v>
      </c>
      <c r="H15" s="92" t="s">
        <v>208</v>
      </c>
      <c r="I15" s="93">
        <v>8</v>
      </c>
      <c r="J15" s="90" t="s">
        <v>297</v>
      </c>
      <c r="K15" s="91"/>
      <c r="L15" s="91"/>
      <c r="M15" s="90" t="s">
        <v>298</v>
      </c>
      <c r="N15" s="90" t="s">
        <v>159</v>
      </c>
      <c r="O15" s="90" t="s">
        <v>299</v>
      </c>
      <c r="P15" s="90" t="s">
        <v>161</v>
      </c>
      <c r="Q15" s="90"/>
      <c r="R15" s="90"/>
      <c r="S15" s="90"/>
      <c r="T15" s="90"/>
      <c r="U15" s="90" t="s">
        <v>290</v>
      </c>
      <c r="V15" s="90" t="s">
        <v>255</v>
      </c>
      <c r="W15" s="90" t="s">
        <v>256</v>
      </c>
      <c r="X15" s="90" t="s">
        <v>300</v>
      </c>
      <c r="Y15" s="90" t="s">
        <v>301</v>
      </c>
      <c r="Z15" s="90" t="s">
        <v>182</v>
      </c>
      <c r="AA15" s="87">
        <v>45682</v>
      </c>
      <c r="AB15" s="85">
        <v>0.76875000000000004</v>
      </c>
      <c r="AC15" s="85">
        <v>0.75</v>
      </c>
      <c r="AD15" s="90" t="s">
        <v>266</v>
      </c>
      <c r="AE15" s="90" t="s">
        <v>302</v>
      </c>
      <c r="AF15" s="93" t="s">
        <v>169</v>
      </c>
      <c r="AG15" s="85">
        <v>0.76875000000000004</v>
      </c>
      <c r="AH15" s="86">
        <v>45682</v>
      </c>
      <c r="AI15" s="90" t="s">
        <v>266</v>
      </c>
      <c r="AJ15" s="90" t="s">
        <v>292</v>
      </c>
      <c r="AK15" s="90" t="s">
        <v>171</v>
      </c>
      <c r="AL15" s="91">
        <v>2025</v>
      </c>
      <c r="AM15" s="91">
        <v>4</v>
      </c>
      <c r="AN15" s="91">
        <v>25</v>
      </c>
      <c r="AO15" s="90" t="s">
        <v>303</v>
      </c>
      <c r="AP15" s="90" t="s">
        <v>151</v>
      </c>
    </row>
    <row r="16" spans="1:48" x14ac:dyDescent="0.25">
      <c r="A16" s="92" t="s">
        <v>304</v>
      </c>
      <c r="B16" s="87">
        <v>45683</v>
      </c>
      <c r="C16" s="89">
        <v>0.84027777777777779</v>
      </c>
      <c r="D16" s="90" t="s">
        <v>174</v>
      </c>
      <c r="E16" s="90" t="s">
        <v>295</v>
      </c>
      <c r="F16" s="90"/>
      <c r="G16" s="90" t="s">
        <v>305</v>
      </c>
      <c r="H16" s="92" t="s">
        <v>138</v>
      </c>
      <c r="I16" s="93">
        <v>9</v>
      </c>
      <c r="J16" s="90" t="s">
        <v>306</v>
      </c>
      <c r="K16" s="91"/>
      <c r="L16" s="91"/>
      <c r="M16" s="90" t="s">
        <v>307</v>
      </c>
      <c r="N16" s="90" t="s">
        <v>159</v>
      </c>
      <c r="O16" s="90" t="s">
        <v>308</v>
      </c>
      <c r="P16" s="90" t="s">
        <v>161</v>
      </c>
      <c r="Q16" s="90"/>
      <c r="R16" s="90"/>
      <c r="S16" s="90"/>
      <c r="T16" s="90"/>
      <c r="U16" s="90" t="s">
        <v>140</v>
      </c>
      <c r="V16" s="90" t="s">
        <v>309</v>
      </c>
      <c r="W16" s="90" t="s">
        <v>142</v>
      </c>
      <c r="X16" s="90" t="s">
        <v>310</v>
      </c>
      <c r="Y16" s="90" t="s">
        <v>166</v>
      </c>
      <c r="Z16" s="90" t="s">
        <v>182</v>
      </c>
      <c r="AA16" s="87">
        <v>45683</v>
      </c>
      <c r="AB16" s="85">
        <v>0.84027777777777779</v>
      </c>
      <c r="AC16" s="85">
        <v>0.83333333333333337</v>
      </c>
      <c r="AD16" s="90" t="s">
        <v>168</v>
      </c>
      <c r="AE16" s="90" t="s">
        <v>302</v>
      </c>
      <c r="AF16" s="93" t="s">
        <v>169</v>
      </c>
      <c r="AG16" s="85">
        <v>0.84027777777777779</v>
      </c>
      <c r="AH16" s="86">
        <v>45683</v>
      </c>
      <c r="AI16" s="90" t="s">
        <v>168</v>
      </c>
      <c r="AJ16" s="90" t="s">
        <v>311</v>
      </c>
      <c r="AK16" s="90" t="s">
        <v>171</v>
      </c>
      <c r="AL16" s="91">
        <v>2025</v>
      </c>
      <c r="AM16" s="91">
        <v>5</v>
      </c>
      <c r="AN16" s="91">
        <v>26</v>
      </c>
      <c r="AO16" s="90" t="s">
        <v>312</v>
      </c>
      <c r="AP16" s="90" t="s">
        <v>151</v>
      </c>
    </row>
    <row r="17" spans="1:42" x14ac:dyDescent="0.25">
      <c r="A17" s="92" t="s">
        <v>313</v>
      </c>
      <c r="B17" s="87">
        <v>45685</v>
      </c>
      <c r="C17" s="89">
        <v>0.625</v>
      </c>
      <c r="D17" s="90" t="s">
        <v>154</v>
      </c>
      <c r="E17" s="90" t="s">
        <v>295</v>
      </c>
      <c r="F17" s="90"/>
      <c r="G17" s="90" t="s">
        <v>314</v>
      </c>
      <c r="H17" s="92" t="s">
        <v>315</v>
      </c>
      <c r="I17" s="93">
        <v>6</v>
      </c>
      <c r="J17" s="90" t="s">
        <v>316</v>
      </c>
      <c r="K17" s="91"/>
      <c r="L17" s="91"/>
      <c r="M17" s="90" t="s">
        <v>317</v>
      </c>
      <c r="N17" s="90" t="s">
        <v>318</v>
      </c>
      <c r="O17" s="90" t="s">
        <v>319</v>
      </c>
      <c r="P17" s="90" t="s">
        <v>161</v>
      </c>
      <c r="Q17" s="90"/>
      <c r="R17" s="90"/>
      <c r="S17" s="90"/>
      <c r="T17" s="90"/>
      <c r="U17" s="90" t="s">
        <v>226</v>
      </c>
      <c r="V17" s="90" t="s">
        <v>265</v>
      </c>
      <c r="W17" s="90" t="s">
        <v>164</v>
      </c>
      <c r="X17" s="90" t="s">
        <v>180</v>
      </c>
      <c r="Y17" s="90" t="s">
        <v>320</v>
      </c>
      <c r="Z17" s="90" t="s">
        <v>167</v>
      </c>
      <c r="AA17" s="87">
        <v>45685</v>
      </c>
      <c r="AB17" s="85">
        <v>0.625</v>
      </c>
      <c r="AC17" s="85">
        <v>0.625</v>
      </c>
      <c r="AD17" s="90" t="s">
        <v>146</v>
      </c>
      <c r="AE17" s="90" t="s">
        <v>321</v>
      </c>
      <c r="AF17" s="93" t="s">
        <v>169</v>
      </c>
      <c r="AG17" s="85">
        <v>0.625</v>
      </c>
      <c r="AH17" s="86">
        <v>45685</v>
      </c>
      <c r="AI17" s="90" t="s">
        <v>146</v>
      </c>
      <c r="AJ17" s="90" t="s">
        <v>148</v>
      </c>
      <c r="AK17" s="90" t="s">
        <v>171</v>
      </c>
      <c r="AL17" s="91">
        <v>2025</v>
      </c>
      <c r="AM17" s="91">
        <v>5</v>
      </c>
      <c r="AN17" s="91">
        <v>28</v>
      </c>
      <c r="AO17" s="90" t="s">
        <v>322</v>
      </c>
      <c r="AP17" s="90" t="s">
        <v>151</v>
      </c>
    </row>
    <row r="18" spans="1:42" x14ac:dyDescent="0.25">
      <c r="A18" s="92" t="s">
        <v>323</v>
      </c>
      <c r="B18" s="87">
        <v>45688</v>
      </c>
      <c r="C18" s="89">
        <v>0.49988425925925928</v>
      </c>
      <c r="D18" s="90" t="s">
        <v>242</v>
      </c>
      <c r="E18" s="90"/>
      <c r="F18" s="90"/>
      <c r="G18" s="90" t="s">
        <v>324</v>
      </c>
      <c r="H18" s="92" t="s">
        <v>325</v>
      </c>
      <c r="I18" s="93">
        <v>8</v>
      </c>
      <c r="J18" s="90" t="s">
        <v>326</v>
      </c>
      <c r="K18" s="91"/>
      <c r="L18" s="91"/>
      <c r="M18" s="90"/>
      <c r="N18" s="90"/>
      <c r="O18" s="90"/>
      <c r="P18" s="90"/>
      <c r="Q18" s="90"/>
      <c r="R18" s="90"/>
      <c r="S18" s="90"/>
      <c r="T18" s="90"/>
      <c r="U18" s="90" t="s">
        <v>162</v>
      </c>
      <c r="V18" s="90" t="s">
        <v>327</v>
      </c>
      <c r="W18" s="90" t="s">
        <v>328</v>
      </c>
      <c r="X18" s="90" t="s">
        <v>228</v>
      </c>
      <c r="Y18" s="90" t="s">
        <v>166</v>
      </c>
      <c r="Z18" s="90" t="s">
        <v>246</v>
      </c>
      <c r="AA18" s="87">
        <v>45688</v>
      </c>
      <c r="AB18" s="85">
        <v>0.49988425925925928</v>
      </c>
      <c r="AC18" s="85">
        <v>0.45833333333333331</v>
      </c>
      <c r="AD18" s="90" t="s">
        <v>276</v>
      </c>
      <c r="AE18" s="90" t="s">
        <v>242</v>
      </c>
      <c r="AF18" s="93" t="s">
        <v>169</v>
      </c>
      <c r="AG18" s="85">
        <v>0.49988425925925928</v>
      </c>
      <c r="AH18" s="86">
        <v>45688</v>
      </c>
      <c r="AI18" s="90" t="s">
        <v>276</v>
      </c>
      <c r="AJ18" s="90" t="s">
        <v>170</v>
      </c>
      <c r="AK18" s="90" t="s">
        <v>171</v>
      </c>
      <c r="AL18" s="91">
        <v>2025</v>
      </c>
      <c r="AM18" s="91">
        <v>5</v>
      </c>
      <c r="AN18" s="91">
        <v>31</v>
      </c>
      <c r="AO18" s="90" t="s">
        <v>329</v>
      </c>
      <c r="AP18" s="90" t="s">
        <v>151</v>
      </c>
    </row>
    <row r="19" spans="1:42" x14ac:dyDescent="0.25">
      <c r="A19" s="92" t="s">
        <v>330</v>
      </c>
      <c r="B19" s="87">
        <v>45688</v>
      </c>
      <c r="C19" s="89">
        <v>0.5</v>
      </c>
      <c r="D19" s="90" t="s">
        <v>154</v>
      </c>
      <c r="E19" s="90"/>
      <c r="F19" s="90"/>
      <c r="G19" s="90" t="s">
        <v>331</v>
      </c>
      <c r="H19" s="92" t="s">
        <v>270</v>
      </c>
      <c r="I19" s="93">
        <v>5</v>
      </c>
      <c r="J19" s="90" t="s">
        <v>332</v>
      </c>
      <c r="K19" s="91"/>
      <c r="L19" s="91"/>
      <c r="M19" s="90" t="s">
        <v>333</v>
      </c>
      <c r="N19" s="90"/>
      <c r="O19" s="90" t="s">
        <v>236</v>
      </c>
      <c r="P19" s="90" t="s">
        <v>161</v>
      </c>
      <c r="Q19" s="90"/>
      <c r="R19" s="90"/>
      <c r="S19" s="90"/>
      <c r="T19" s="90"/>
      <c r="U19" s="90" t="s">
        <v>226</v>
      </c>
      <c r="V19" s="90" t="s">
        <v>334</v>
      </c>
      <c r="W19" s="90" t="s">
        <v>164</v>
      </c>
      <c r="X19" s="90" t="s">
        <v>310</v>
      </c>
      <c r="Y19" s="90" t="s">
        <v>166</v>
      </c>
      <c r="Z19" s="90" t="s">
        <v>167</v>
      </c>
      <c r="AA19" s="87">
        <v>45688</v>
      </c>
      <c r="AB19" s="85">
        <v>0.5</v>
      </c>
      <c r="AC19" s="85">
        <v>0.5</v>
      </c>
      <c r="AD19" s="90" t="s">
        <v>146</v>
      </c>
      <c r="AE19" s="90" t="s">
        <v>154</v>
      </c>
      <c r="AF19" s="93" t="s">
        <v>169</v>
      </c>
      <c r="AG19" s="85">
        <v>0.5</v>
      </c>
      <c r="AH19" s="86">
        <v>45688</v>
      </c>
      <c r="AI19" s="90" t="s">
        <v>146</v>
      </c>
      <c r="AJ19" s="90" t="s">
        <v>170</v>
      </c>
      <c r="AK19" s="90" t="s">
        <v>171</v>
      </c>
      <c r="AL19" s="91">
        <v>2025</v>
      </c>
      <c r="AM19" s="91">
        <v>5</v>
      </c>
      <c r="AN19" s="91">
        <v>31</v>
      </c>
      <c r="AO19" s="90" t="s">
        <v>335</v>
      </c>
      <c r="AP19" s="90" t="s">
        <v>151</v>
      </c>
    </row>
    <row r="20" spans="1:42" x14ac:dyDescent="0.25">
      <c r="A20" s="92" t="s">
        <v>336</v>
      </c>
      <c r="B20" s="87">
        <v>45689</v>
      </c>
      <c r="C20" s="89">
        <v>4.1666666666666664E-2</v>
      </c>
      <c r="D20" s="90" t="s">
        <v>154</v>
      </c>
      <c r="E20" s="90"/>
      <c r="F20" s="90"/>
      <c r="G20" s="90" t="s">
        <v>337</v>
      </c>
      <c r="H20" s="92" t="s">
        <v>338</v>
      </c>
      <c r="I20" s="93">
        <v>6</v>
      </c>
      <c r="J20" s="90" t="s">
        <v>339</v>
      </c>
      <c r="K20" s="91"/>
      <c r="L20" s="91"/>
      <c r="M20" s="90" t="s">
        <v>340</v>
      </c>
      <c r="N20" s="90" t="s">
        <v>341</v>
      </c>
      <c r="O20" s="90" t="s">
        <v>342</v>
      </c>
      <c r="P20" s="90" t="s">
        <v>161</v>
      </c>
      <c r="Q20" s="90"/>
      <c r="R20" s="90"/>
      <c r="S20" s="90"/>
      <c r="T20" s="90"/>
      <c r="U20" s="90" t="s">
        <v>226</v>
      </c>
      <c r="V20" s="90" t="s">
        <v>265</v>
      </c>
      <c r="W20" s="90" t="s">
        <v>164</v>
      </c>
      <c r="X20" s="90" t="s">
        <v>275</v>
      </c>
      <c r="Y20" s="90" t="s">
        <v>166</v>
      </c>
      <c r="Z20" s="90" t="s">
        <v>167</v>
      </c>
      <c r="AA20" s="87">
        <v>45689</v>
      </c>
      <c r="AB20" s="85">
        <v>4.1666666666666664E-2</v>
      </c>
      <c r="AC20" s="85">
        <v>4.1666666666666664E-2</v>
      </c>
      <c r="AD20" s="90" t="s">
        <v>343</v>
      </c>
      <c r="AE20" s="90" t="s">
        <v>154</v>
      </c>
      <c r="AF20" s="93" t="s">
        <v>169</v>
      </c>
      <c r="AG20" s="85">
        <v>4.1666666666666664E-2</v>
      </c>
      <c r="AH20" s="86">
        <v>45689</v>
      </c>
      <c r="AI20" s="90" t="s">
        <v>343</v>
      </c>
      <c r="AJ20" s="90" t="s">
        <v>292</v>
      </c>
      <c r="AK20" s="90" t="s">
        <v>344</v>
      </c>
      <c r="AL20" s="91">
        <v>2025</v>
      </c>
      <c r="AM20" s="91">
        <v>5</v>
      </c>
      <c r="AN20" s="91">
        <v>1</v>
      </c>
      <c r="AO20" s="90" t="s">
        <v>345</v>
      </c>
      <c r="AP20" s="90" t="s">
        <v>151</v>
      </c>
    </row>
    <row r="21" spans="1:42" x14ac:dyDescent="0.25">
      <c r="A21" s="92" t="s">
        <v>346</v>
      </c>
      <c r="B21" s="87">
        <v>45690</v>
      </c>
      <c r="C21" s="89">
        <v>0.72569444444444442</v>
      </c>
      <c r="D21" s="90" t="s">
        <v>347</v>
      </c>
      <c r="E21" s="90" t="s">
        <v>206</v>
      </c>
      <c r="F21" s="90"/>
      <c r="G21" s="90" t="s">
        <v>348</v>
      </c>
      <c r="H21" s="92" t="s">
        <v>288</v>
      </c>
      <c r="I21" s="93">
        <v>5</v>
      </c>
      <c r="J21" s="90" t="s">
        <v>349</v>
      </c>
      <c r="K21" s="91"/>
      <c r="L21" s="91"/>
      <c r="M21" s="90"/>
      <c r="N21" s="90"/>
      <c r="O21" s="90"/>
      <c r="P21" s="90"/>
      <c r="Q21" s="90"/>
      <c r="R21" s="90"/>
      <c r="S21" s="90"/>
      <c r="T21" s="90"/>
      <c r="U21" s="90" t="s">
        <v>140</v>
      </c>
      <c r="V21" s="90" t="s">
        <v>309</v>
      </c>
      <c r="W21" s="90" t="s">
        <v>142</v>
      </c>
      <c r="X21" s="90" t="s">
        <v>350</v>
      </c>
      <c r="Y21" s="90" t="s">
        <v>301</v>
      </c>
      <c r="Z21" s="90"/>
      <c r="AA21" s="87">
        <v>45690</v>
      </c>
      <c r="AB21" s="85">
        <v>0.72569444444444442</v>
      </c>
      <c r="AC21" s="85">
        <v>0.70833333333333337</v>
      </c>
      <c r="AD21" s="90" t="s">
        <v>266</v>
      </c>
      <c r="AE21" s="90" t="s">
        <v>351</v>
      </c>
      <c r="AF21" s="93" t="s">
        <v>169</v>
      </c>
      <c r="AG21" s="85">
        <v>0.72569444444444442</v>
      </c>
      <c r="AH21" s="86">
        <v>45690</v>
      </c>
      <c r="AI21" s="90" t="s">
        <v>266</v>
      </c>
      <c r="AJ21" s="90" t="s">
        <v>311</v>
      </c>
      <c r="AK21" s="90" t="s">
        <v>344</v>
      </c>
      <c r="AL21" s="91">
        <v>2025</v>
      </c>
      <c r="AM21" s="91">
        <v>6</v>
      </c>
      <c r="AN21" s="91">
        <v>2</v>
      </c>
      <c r="AO21" s="90" t="s">
        <v>352</v>
      </c>
      <c r="AP21" s="90" t="s">
        <v>231</v>
      </c>
    </row>
    <row r="22" spans="1:42" x14ac:dyDescent="0.25">
      <c r="A22" s="92" t="s">
        <v>353</v>
      </c>
      <c r="B22" s="87"/>
      <c r="C22" s="89"/>
      <c r="D22" s="90" t="s">
        <v>206</v>
      </c>
      <c r="E22" s="90"/>
      <c r="F22" s="90"/>
      <c r="G22" s="90" t="s">
        <v>354</v>
      </c>
      <c r="H22" s="92" t="s">
        <v>221</v>
      </c>
      <c r="I22" s="93">
        <v>9</v>
      </c>
      <c r="J22" s="90" t="s">
        <v>355</v>
      </c>
      <c r="K22" s="91"/>
      <c r="L22" s="91"/>
      <c r="M22" s="90"/>
      <c r="N22" s="90"/>
      <c r="O22" s="90"/>
      <c r="P22" s="90"/>
      <c r="Q22" s="90"/>
      <c r="R22" s="90"/>
      <c r="S22" s="90"/>
      <c r="T22" s="90"/>
      <c r="U22" s="90" t="s">
        <v>290</v>
      </c>
      <c r="V22" s="90" t="s">
        <v>245</v>
      </c>
      <c r="W22" s="90" t="s">
        <v>142</v>
      </c>
      <c r="X22" s="90" t="s">
        <v>310</v>
      </c>
      <c r="Y22" s="90" t="s">
        <v>166</v>
      </c>
      <c r="Z22" s="90" t="s">
        <v>213</v>
      </c>
      <c r="AA22" s="87">
        <v>45691</v>
      </c>
      <c r="AB22" s="85">
        <v>0.694849537037037</v>
      </c>
      <c r="AC22" s="85">
        <v>0.66666666666666663</v>
      </c>
      <c r="AD22" s="90" t="s">
        <v>266</v>
      </c>
      <c r="AE22" s="90" t="s">
        <v>206</v>
      </c>
      <c r="AF22" s="93" t="s">
        <v>169</v>
      </c>
      <c r="AG22" s="85">
        <v>0.694849537037037</v>
      </c>
      <c r="AH22" s="86">
        <v>45691</v>
      </c>
      <c r="AI22" s="90" t="s">
        <v>266</v>
      </c>
      <c r="AJ22" s="90" t="s">
        <v>183</v>
      </c>
      <c r="AK22" s="90" t="s">
        <v>344</v>
      </c>
      <c r="AL22" s="91">
        <v>2025</v>
      </c>
      <c r="AM22" s="91">
        <v>6</v>
      </c>
      <c r="AN22" s="91">
        <v>3</v>
      </c>
      <c r="AO22" s="90" t="s">
        <v>230</v>
      </c>
      <c r="AP22" s="90" t="s">
        <v>151</v>
      </c>
    </row>
    <row r="23" spans="1:42" x14ac:dyDescent="0.25">
      <c r="A23" s="92" t="s">
        <v>356</v>
      </c>
      <c r="B23" s="87">
        <v>45691</v>
      </c>
      <c r="C23" s="89">
        <v>0.77083333333333337</v>
      </c>
      <c r="D23" s="90" t="s">
        <v>154</v>
      </c>
      <c r="E23" s="90"/>
      <c r="F23" s="90"/>
      <c r="G23" s="90" t="s">
        <v>357</v>
      </c>
      <c r="H23" s="92" t="s">
        <v>358</v>
      </c>
      <c r="I23" s="93">
        <v>8</v>
      </c>
      <c r="J23" s="90" t="s">
        <v>359</v>
      </c>
      <c r="K23" s="91"/>
      <c r="L23" s="91"/>
      <c r="M23" s="90" t="s">
        <v>360</v>
      </c>
      <c r="N23" s="90" t="s">
        <v>361</v>
      </c>
      <c r="O23" s="90" t="s">
        <v>362</v>
      </c>
      <c r="P23" s="90" t="s">
        <v>363</v>
      </c>
      <c r="Q23" s="90"/>
      <c r="R23" s="90"/>
      <c r="S23" s="90"/>
      <c r="T23" s="90"/>
      <c r="U23" s="90" t="s">
        <v>140</v>
      </c>
      <c r="V23" s="90" t="s">
        <v>309</v>
      </c>
      <c r="W23" s="90" t="s">
        <v>142</v>
      </c>
      <c r="X23" s="90" t="s">
        <v>180</v>
      </c>
      <c r="Y23" s="90" t="s">
        <v>364</v>
      </c>
      <c r="Z23" s="90" t="s">
        <v>167</v>
      </c>
      <c r="AA23" s="87">
        <v>45691</v>
      </c>
      <c r="AB23" s="85">
        <v>0.77083333333333337</v>
      </c>
      <c r="AC23" s="85">
        <v>0.75</v>
      </c>
      <c r="AD23" s="90" t="s">
        <v>266</v>
      </c>
      <c r="AE23" s="90" t="s">
        <v>154</v>
      </c>
      <c r="AF23" s="93" t="s">
        <v>169</v>
      </c>
      <c r="AG23" s="85">
        <v>0.77083333333333337</v>
      </c>
      <c r="AH23" s="86">
        <v>45691</v>
      </c>
      <c r="AI23" s="90" t="s">
        <v>266</v>
      </c>
      <c r="AJ23" s="90" t="s">
        <v>183</v>
      </c>
      <c r="AK23" s="90" t="s">
        <v>344</v>
      </c>
      <c r="AL23" s="91">
        <v>2025</v>
      </c>
      <c r="AM23" s="91">
        <v>6</v>
      </c>
      <c r="AN23" s="91">
        <v>3</v>
      </c>
      <c r="AO23" s="90" t="s">
        <v>365</v>
      </c>
      <c r="AP23" s="90" t="s">
        <v>151</v>
      </c>
    </row>
    <row r="24" spans="1:42" x14ac:dyDescent="0.25">
      <c r="A24" s="92" t="s">
        <v>366</v>
      </c>
      <c r="B24" s="87">
        <v>45693</v>
      </c>
      <c r="C24" s="89">
        <v>0.12291666666666666</v>
      </c>
      <c r="D24" s="90" t="s">
        <v>367</v>
      </c>
      <c r="E24" s="90" t="s">
        <v>368</v>
      </c>
      <c r="F24" s="90"/>
      <c r="G24" s="90" t="s">
        <v>369</v>
      </c>
      <c r="H24" s="92" t="s">
        <v>325</v>
      </c>
      <c r="I24" s="93">
        <v>8</v>
      </c>
      <c r="J24" s="90" t="s">
        <v>370</v>
      </c>
      <c r="K24" s="91"/>
      <c r="L24" s="91"/>
      <c r="M24" s="90"/>
      <c r="N24" s="90"/>
      <c r="O24" s="90"/>
      <c r="P24" s="90"/>
      <c r="Q24" s="90"/>
      <c r="R24" s="90"/>
      <c r="S24" s="90"/>
      <c r="T24" s="90"/>
      <c r="U24" s="90" t="s">
        <v>226</v>
      </c>
      <c r="V24" s="90" t="s">
        <v>371</v>
      </c>
      <c r="W24" s="90" t="s">
        <v>256</v>
      </c>
      <c r="X24" s="90" t="s">
        <v>372</v>
      </c>
      <c r="Y24" s="90" t="s">
        <v>181</v>
      </c>
      <c r="Z24" s="90" t="s">
        <v>246</v>
      </c>
      <c r="AA24" s="87">
        <v>45693</v>
      </c>
      <c r="AB24" s="85">
        <v>0.12291666666666666</v>
      </c>
      <c r="AC24" s="85">
        <v>8.3333333333333329E-2</v>
      </c>
      <c r="AD24" s="90" t="s">
        <v>343</v>
      </c>
      <c r="AE24" s="90" t="s">
        <v>373</v>
      </c>
      <c r="AF24" s="93" t="s">
        <v>169</v>
      </c>
      <c r="AG24" s="85">
        <v>0.12291666666666666</v>
      </c>
      <c r="AH24" s="86">
        <v>45693</v>
      </c>
      <c r="AI24" s="90" t="s">
        <v>343</v>
      </c>
      <c r="AJ24" s="90" t="s">
        <v>239</v>
      </c>
      <c r="AK24" s="90" t="s">
        <v>344</v>
      </c>
      <c r="AL24" s="91">
        <v>2025</v>
      </c>
      <c r="AM24" s="91">
        <v>6</v>
      </c>
      <c r="AN24" s="91">
        <v>5</v>
      </c>
      <c r="AO24" s="90" t="s">
        <v>374</v>
      </c>
      <c r="AP24" s="90" t="s">
        <v>375</v>
      </c>
    </row>
    <row r="25" spans="1:42" x14ac:dyDescent="0.25">
      <c r="A25" s="92" t="s">
        <v>376</v>
      </c>
      <c r="B25" s="87">
        <v>45695</v>
      </c>
      <c r="C25" s="89">
        <v>0.27430555555555558</v>
      </c>
      <c r="D25" s="90" t="s">
        <v>154</v>
      </c>
      <c r="E25" s="90"/>
      <c r="F25" s="90"/>
      <c r="G25" s="90" t="s">
        <v>377</v>
      </c>
      <c r="H25" s="92" t="s">
        <v>378</v>
      </c>
      <c r="I25" s="93">
        <v>5</v>
      </c>
      <c r="J25" s="90" t="s">
        <v>379</v>
      </c>
      <c r="K25" s="91"/>
      <c r="L25" s="91"/>
      <c r="M25" s="90" t="s">
        <v>380</v>
      </c>
      <c r="N25" s="90" t="s">
        <v>381</v>
      </c>
      <c r="O25" s="90" t="s">
        <v>382</v>
      </c>
      <c r="P25" s="90" t="s">
        <v>161</v>
      </c>
      <c r="Q25" s="90"/>
      <c r="R25" s="90"/>
      <c r="S25" s="90"/>
      <c r="T25" s="90"/>
      <c r="U25" s="90" t="s">
        <v>226</v>
      </c>
      <c r="V25" s="90" t="s">
        <v>383</v>
      </c>
      <c r="W25" s="90" t="s">
        <v>384</v>
      </c>
      <c r="X25" s="90" t="s">
        <v>350</v>
      </c>
      <c r="Y25" s="90" t="s">
        <v>301</v>
      </c>
      <c r="Z25" s="90" t="s">
        <v>167</v>
      </c>
      <c r="AA25" s="87">
        <v>45695</v>
      </c>
      <c r="AB25" s="85">
        <v>0.27430555555555558</v>
      </c>
      <c r="AC25" s="85">
        <v>0.25</v>
      </c>
      <c r="AD25" s="90" t="s">
        <v>385</v>
      </c>
      <c r="AE25" s="90" t="s">
        <v>154</v>
      </c>
      <c r="AF25" s="93" t="s">
        <v>169</v>
      </c>
      <c r="AG25" s="85">
        <v>0.27430555555555558</v>
      </c>
      <c r="AH25" s="86">
        <v>45695</v>
      </c>
      <c r="AI25" s="90" t="s">
        <v>385</v>
      </c>
      <c r="AJ25" s="90" t="s">
        <v>170</v>
      </c>
      <c r="AK25" s="90" t="s">
        <v>344</v>
      </c>
      <c r="AL25" s="91">
        <v>2025</v>
      </c>
      <c r="AM25" s="91">
        <v>6</v>
      </c>
      <c r="AN25" s="91">
        <v>7</v>
      </c>
      <c r="AO25" s="90" t="s">
        <v>352</v>
      </c>
      <c r="AP25" s="90" t="s">
        <v>151</v>
      </c>
    </row>
    <row r="26" spans="1:42" x14ac:dyDescent="0.25">
      <c r="A26" s="92" t="s">
        <v>386</v>
      </c>
      <c r="B26" s="87">
        <v>45701</v>
      </c>
      <c r="C26" s="89">
        <v>8.3333333333333329E-2</v>
      </c>
      <c r="D26" s="90" t="s">
        <v>387</v>
      </c>
      <c r="E26" s="90" t="s">
        <v>388</v>
      </c>
      <c r="F26" s="90" t="s">
        <v>206</v>
      </c>
      <c r="G26" s="90" t="s">
        <v>389</v>
      </c>
      <c r="H26" s="92" t="s">
        <v>390</v>
      </c>
      <c r="I26" s="93">
        <v>9</v>
      </c>
      <c r="J26" s="90" t="s">
        <v>391</v>
      </c>
      <c r="K26" s="91"/>
      <c r="L26" s="91"/>
      <c r="M26" s="90"/>
      <c r="N26" s="90"/>
      <c r="O26" s="90"/>
      <c r="P26" s="90"/>
      <c r="Q26" s="90"/>
      <c r="R26" s="90"/>
      <c r="S26" s="90"/>
      <c r="T26" s="90"/>
      <c r="U26" s="90" t="s">
        <v>392</v>
      </c>
      <c r="V26" s="90" t="s">
        <v>393</v>
      </c>
      <c r="W26" s="90" t="s">
        <v>384</v>
      </c>
      <c r="X26" s="90" t="s">
        <v>257</v>
      </c>
      <c r="Y26" s="90" t="s">
        <v>394</v>
      </c>
      <c r="Z26" s="90"/>
      <c r="AA26" s="87">
        <v>45701</v>
      </c>
      <c r="AB26" s="85">
        <v>8.3333333333333329E-2</v>
      </c>
      <c r="AC26" s="85">
        <v>8.3333333333333329E-2</v>
      </c>
      <c r="AD26" s="90" t="s">
        <v>343</v>
      </c>
      <c r="AE26" s="90" t="s">
        <v>395</v>
      </c>
      <c r="AF26" s="93" t="s">
        <v>169</v>
      </c>
      <c r="AG26" s="85">
        <v>8.3333333333333329E-2</v>
      </c>
      <c r="AH26" s="86">
        <v>45701</v>
      </c>
      <c r="AI26" s="90" t="s">
        <v>343</v>
      </c>
      <c r="AJ26" s="90" t="s">
        <v>247</v>
      </c>
      <c r="AK26" s="90" t="s">
        <v>344</v>
      </c>
      <c r="AL26" s="91">
        <v>2025</v>
      </c>
      <c r="AM26" s="91">
        <v>7</v>
      </c>
      <c r="AN26" s="91">
        <v>13</v>
      </c>
      <c r="AO26" s="90" t="s">
        <v>396</v>
      </c>
      <c r="AP26" s="90" t="s">
        <v>397</v>
      </c>
    </row>
    <row r="27" spans="1:42" x14ac:dyDescent="0.25">
      <c r="A27" s="92" t="s">
        <v>398</v>
      </c>
      <c r="B27" s="87">
        <v>45701</v>
      </c>
      <c r="C27" s="89">
        <v>0.66666666666666663</v>
      </c>
      <c r="D27" s="90" t="s">
        <v>174</v>
      </c>
      <c r="E27" s="90"/>
      <c r="F27" s="90"/>
      <c r="G27" s="90" t="s">
        <v>399</v>
      </c>
      <c r="H27" s="92" t="s">
        <v>400</v>
      </c>
      <c r="I27" s="93">
        <v>6</v>
      </c>
      <c r="J27" s="90" t="s">
        <v>401</v>
      </c>
      <c r="K27" s="91"/>
      <c r="L27" s="91"/>
      <c r="M27" s="90" t="s">
        <v>402</v>
      </c>
      <c r="N27" s="90" t="s">
        <v>341</v>
      </c>
      <c r="O27" s="90" t="s">
        <v>403</v>
      </c>
      <c r="P27" s="90" t="s">
        <v>161</v>
      </c>
      <c r="Q27" s="90"/>
      <c r="R27" s="90"/>
      <c r="S27" s="90"/>
      <c r="T27" s="90"/>
      <c r="U27" s="90" t="s">
        <v>226</v>
      </c>
      <c r="V27" s="90" t="s">
        <v>393</v>
      </c>
      <c r="W27" s="90" t="s">
        <v>384</v>
      </c>
      <c r="X27" s="90" t="s">
        <v>275</v>
      </c>
      <c r="Y27" s="90" t="s">
        <v>166</v>
      </c>
      <c r="Z27" s="90" t="s">
        <v>182</v>
      </c>
      <c r="AA27" s="87">
        <v>45701</v>
      </c>
      <c r="AB27" s="85">
        <v>0.66666666666666663</v>
      </c>
      <c r="AC27" s="85">
        <v>0.66666666666666663</v>
      </c>
      <c r="AD27" s="90" t="s">
        <v>266</v>
      </c>
      <c r="AE27" s="90" t="s">
        <v>174</v>
      </c>
      <c r="AF27" s="93" t="s">
        <v>169</v>
      </c>
      <c r="AG27" s="85">
        <v>0.66666666666666663</v>
      </c>
      <c r="AH27" s="86">
        <v>45701</v>
      </c>
      <c r="AI27" s="90" t="s">
        <v>266</v>
      </c>
      <c r="AJ27" s="90" t="s">
        <v>247</v>
      </c>
      <c r="AK27" s="90" t="s">
        <v>344</v>
      </c>
      <c r="AL27" s="91">
        <v>2025</v>
      </c>
      <c r="AM27" s="91">
        <v>7</v>
      </c>
      <c r="AN27" s="91">
        <v>13</v>
      </c>
      <c r="AO27" s="90" t="s">
        <v>404</v>
      </c>
      <c r="AP27" s="90" t="s">
        <v>151</v>
      </c>
    </row>
    <row r="28" spans="1:42" x14ac:dyDescent="0.25">
      <c r="A28" s="92" t="s">
        <v>405</v>
      </c>
      <c r="B28" s="87">
        <v>45705</v>
      </c>
      <c r="C28" s="89">
        <v>0.34877314814814814</v>
      </c>
      <c r="D28" s="90" t="s">
        <v>154</v>
      </c>
      <c r="E28" s="90" t="s">
        <v>406</v>
      </c>
      <c r="F28" s="90"/>
      <c r="G28" s="90" t="s">
        <v>407</v>
      </c>
      <c r="H28" s="92" t="s">
        <v>191</v>
      </c>
      <c r="I28" s="93">
        <v>7</v>
      </c>
      <c r="J28" s="90" t="s">
        <v>408</v>
      </c>
      <c r="K28" s="91"/>
      <c r="L28" s="91"/>
      <c r="M28" s="90" t="s">
        <v>409</v>
      </c>
      <c r="N28" s="90" t="s">
        <v>159</v>
      </c>
      <c r="O28" s="90" t="s">
        <v>160</v>
      </c>
      <c r="P28" s="90" t="s">
        <v>161</v>
      </c>
      <c r="Q28" s="90"/>
      <c r="R28" s="90"/>
      <c r="S28" s="90"/>
      <c r="T28" s="90"/>
      <c r="U28" s="90" t="s">
        <v>140</v>
      </c>
      <c r="V28" s="90" t="s">
        <v>179</v>
      </c>
      <c r="W28" s="90" t="s">
        <v>142</v>
      </c>
      <c r="X28" s="90" t="s">
        <v>275</v>
      </c>
      <c r="Y28" s="90" t="s">
        <v>166</v>
      </c>
      <c r="Z28" s="90" t="s">
        <v>167</v>
      </c>
      <c r="AA28" s="87">
        <v>45705</v>
      </c>
      <c r="AB28" s="85">
        <v>0.34877314814814814</v>
      </c>
      <c r="AC28" s="85">
        <v>0.33333333333333331</v>
      </c>
      <c r="AD28" s="90" t="s">
        <v>276</v>
      </c>
      <c r="AE28" s="90" t="s">
        <v>410</v>
      </c>
      <c r="AF28" s="93" t="s">
        <v>169</v>
      </c>
      <c r="AG28" s="85">
        <v>0.34877314814814814</v>
      </c>
      <c r="AH28" s="86">
        <v>45705</v>
      </c>
      <c r="AI28" s="90" t="s">
        <v>276</v>
      </c>
      <c r="AJ28" s="90" t="s">
        <v>183</v>
      </c>
      <c r="AK28" s="90" t="s">
        <v>344</v>
      </c>
      <c r="AL28" s="91">
        <v>2025</v>
      </c>
      <c r="AM28" s="91">
        <v>8</v>
      </c>
      <c r="AN28" s="91">
        <v>17</v>
      </c>
      <c r="AO28" s="90" t="s">
        <v>411</v>
      </c>
      <c r="AP28" s="90" t="s">
        <v>231</v>
      </c>
    </row>
    <row r="29" spans="1:42" x14ac:dyDescent="0.25">
      <c r="A29" s="92" t="s">
        <v>412</v>
      </c>
      <c r="B29" s="87">
        <v>45705</v>
      </c>
      <c r="C29" s="89">
        <v>0.39716435185185184</v>
      </c>
      <c r="D29" s="90" t="s">
        <v>154</v>
      </c>
      <c r="E29" s="90"/>
      <c r="F29" s="90"/>
      <c r="G29" s="90" t="s">
        <v>413</v>
      </c>
      <c r="H29" s="92" t="s">
        <v>414</v>
      </c>
      <c r="I29" s="93">
        <v>7</v>
      </c>
      <c r="J29" s="90" t="s">
        <v>415</v>
      </c>
      <c r="K29" s="91"/>
      <c r="L29" s="91"/>
      <c r="M29" s="90" t="s">
        <v>416</v>
      </c>
      <c r="N29" s="90" t="s">
        <v>159</v>
      </c>
      <c r="O29" s="90" t="s">
        <v>160</v>
      </c>
      <c r="P29" s="90" t="s">
        <v>161</v>
      </c>
      <c r="Q29" s="90"/>
      <c r="R29" s="90"/>
      <c r="S29" s="90"/>
      <c r="T29" s="90"/>
      <c r="U29" s="90" t="s">
        <v>140</v>
      </c>
      <c r="V29" s="90" t="s">
        <v>417</v>
      </c>
      <c r="W29" s="90" t="s">
        <v>142</v>
      </c>
      <c r="X29" s="90" t="s">
        <v>275</v>
      </c>
      <c r="Y29" s="90" t="s">
        <v>166</v>
      </c>
      <c r="Z29" s="90" t="s">
        <v>167</v>
      </c>
      <c r="AA29" s="87">
        <v>45705</v>
      </c>
      <c r="AB29" s="85">
        <v>0.39716435185185184</v>
      </c>
      <c r="AC29" s="85">
        <v>0.375</v>
      </c>
      <c r="AD29" s="90" t="s">
        <v>276</v>
      </c>
      <c r="AE29" s="90" t="s">
        <v>154</v>
      </c>
      <c r="AF29" s="93" t="s">
        <v>169</v>
      </c>
      <c r="AG29" s="85">
        <v>0.39716435185185184</v>
      </c>
      <c r="AH29" s="86">
        <v>45705</v>
      </c>
      <c r="AI29" s="90" t="s">
        <v>276</v>
      </c>
      <c r="AJ29" s="90" t="s">
        <v>183</v>
      </c>
      <c r="AK29" s="90" t="s">
        <v>344</v>
      </c>
      <c r="AL29" s="91">
        <v>2025</v>
      </c>
      <c r="AM29" s="91">
        <v>8</v>
      </c>
      <c r="AN29" s="91">
        <v>17</v>
      </c>
      <c r="AO29" s="90" t="s">
        <v>184</v>
      </c>
      <c r="AP29" s="90" t="s">
        <v>151</v>
      </c>
    </row>
    <row r="30" spans="1:42" x14ac:dyDescent="0.25">
      <c r="A30" s="92" t="s">
        <v>418</v>
      </c>
      <c r="B30" s="87">
        <v>45705</v>
      </c>
      <c r="C30" s="89">
        <v>0.52497685185185183</v>
      </c>
      <c r="D30" s="90" t="s">
        <v>367</v>
      </c>
      <c r="E30" s="90" t="s">
        <v>347</v>
      </c>
      <c r="F30" s="90"/>
      <c r="G30" s="90" t="s">
        <v>419</v>
      </c>
      <c r="H30" s="92" t="s">
        <v>251</v>
      </c>
      <c r="I30" s="93">
        <v>9</v>
      </c>
      <c r="J30" s="90" t="s">
        <v>420</v>
      </c>
      <c r="K30" s="91"/>
      <c r="L30" s="91"/>
      <c r="M30" s="90"/>
      <c r="N30" s="90"/>
      <c r="O30" s="90"/>
      <c r="P30" s="90"/>
      <c r="Q30" s="90"/>
      <c r="R30" s="90"/>
      <c r="S30" s="90"/>
      <c r="T30" s="90"/>
      <c r="U30" s="90" t="s">
        <v>140</v>
      </c>
      <c r="V30" s="90" t="s">
        <v>179</v>
      </c>
      <c r="W30" s="90" t="s">
        <v>142</v>
      </c>
      <c r="X30" s="90" t="s">
        <v>350</v>
      </c>
      <c r="Y30" s="90" t="s">
        <v>166</v>
      </c>
      <c r="Z30" s="90" t="s">
        <v>246</v>
      </c>
      <c r="AA30" s="87">
        <v>45705</v>
      </c>
      <c r="AB30" s="85">
        <v>0.52497685185185183</v>
      </c>
      <c r="AC30" s="85">
        <v>0.5</v>
      </c>
      <c r="AD30" s="90" t="s">
        <v>146</v>
      </c>
      <c r="AE30" s="90" t="s">
        <v>421</v>
      </c>
      <c r="AF30" s="93" t="s">
        <v>169</v>
      </c>
      <c r="AG30" s="85">
        <v>0.52497685185185183</v>
      </c>
      <c r="AH30" s="86">
        <v>45705</v>
      </c>
      <c r="AI30" s="90" t="s">
        <v>146</v>
      </c>
      <c r="AJ30" s="90" t="s">
        <v>183</v>
      </c>
      <c r="AK30" s="90" t="s">
        <v>344</v>
      </c>
      <c r="AL30" s="91">
        <v>2025</v>
      </c>
      <c r="AM30" s="91">
        <v>8</v>
      </c>
      <c r="AN30" s="91">
        <v>17</v>
      </c>
      <c r="AO30" s="90" t="s">
        <v>312</v>
      </c>
      <c r="AP30" s="90" t="s">
        <v>231</v>
      </c>
    </row>
    <row r="31" spans="1:42" x14ac:dyDescent="0.25">
      <c r="A31" s="92" t="s">
        <v>422</v>
      </c>
      <c r="B31" s="87">
        <v>45705</v>
      </c>
      <c r="C31" s="89">
        <v>0.83333333333333337</v>
      </c>
      <c r="D31" s="90" t="s">
        <v>423</v>
      </c>
      <c r="E31" s="90" t="s">
        <v>136</v>
      </c>
      <c r="F31" s="90"/>
      <c r="G31" s="90" t="s">
        <v>424</v>
      </c>
      <c r="H31" s="92" t="s">
        <v>425</v>
      </c>
      <c r="I31" s="93">
        <v>8</v>
      </c>
      <c r="J31" s="90" t="s">
        <v>426</v>
      </c>
      <c r="K31" s="91"/>
      <c r="L31" s="91"/>
      <c r="M31" s="90"/>
      <c r="N31" s="90"/>
      <c r="O31" s="90"/>
      <c r="P31" s="90"/>
      <c r="Q31" s="90"/>
      <c r="R31" s="90"/>
      <c r="S31" s="90"/>
      <c r="T31" s="90"/>
      <c r="U31" s="90" t="s">
        <v>281</v>
      </c>
      <c r="V31" s="90" t="s">
        <v>310</v>
      </c>
      <c r="W31" s="90" t="s">
        <v>282</v>
      </c>
      <c r="X31" s="90" t="s">
        <v>310</v>
      </c>
      <c r="Y31" s="90" t="s">
        <v>320</v>
      </c>
      <c r="Z31" s="90"/>
      <c r="AA31" s="87">
        <v>45705</v>
      </c>
      <c r="AB31" s="85">
        <v>0.83333333333333337</v>
      </c>
      <c r="AC31" s="85">
        <v>0.83333333333333337</v>
      </c>
      <c r="AD31" s="90" t="s">
        <v>168</v>
      </c>
      <c r="AE31" s="90" t="s">
        <v>427</v>
      </c>
      <c r="AF31" s="93" t="s">
        <v>169</v>
      </c>
      <c r="AG31" s="85">
        <v>0.83333333333333337</v>
      </c>
      <c r="AH31" s="86">
        <v>45705</v>
      </c>
      <c r="AI31" s="90" t="s">
        <v>168</v>
      </c>
      <c r="AJ31" s="90" t="s">
        <v>183</v>
      </c>
      <c r="AK31" s="90" t="s">
        <v>344</v>
      </c>
      <c r="AL31" s="91">
        <v>2025</v>
      </c>
      <c r="AM31" s="91">
        <v>8</v>
      </c>
      <c r="AN31" s="91">
        <v>17</v>
      </c>
      <c r="AO31" s="90" t="s">
        <v>428</v>
      </c>
      <c r="AP31" s="90" t="s">
        <v>151</v>
      </c>
    </row>
    <row r="32" spans="1:42" x14ac:dyDescent="0.25">
      <c r="A32" s="92" t="s">
        <v>429</v>
      </c>
      <c r="B32" s="87">
        <v>45713</v>
      </c>
      <c r="C32" s="89">
        <v>0.41666666666666669</v>
      </c>
      <c r="D32" s="90" t="s">
        <v>154</v>
      </c>
      <c r="E32" s="90"/>
      <c r="F32" s="90"/>
      <c r="G32" s="90" t="s">
        <v>430</v>
      </c>
      <c r="H32" s="92" t="s">
        <v>270</v>
      </c>
      <c r="I32" s="93">
        <v>5</v>
      </c>
      <c r="J32" s="90" t="s">
        <v>431</v>
      </c>
      <c r="K32" s="91"/>
      <c r="L32" s="91"/>
      <c r="M32" s="90" t="s">
        <v>432</v>
      </c>
      <c r="N32" s="90" t="s">
        <v>159</v>
      </c>
      <c r="O32" s="90" t="s">
        <v>433</v>
      </c>
      <c r="P32" s="90" t="s">
        <v>434</v>
      </c>
      <c r="Q32" s="90"/>
      <c r="R32" s="90"/>
      <c r="S32" s="90"/>
      <c r="T32" s="90"/>
      <c r="U32" s="90" t="s">
        <v>162</v>
      </c>
      <c r="V32" s="90" t="s">
        <v>327</v>
      </c>
      <c r="W32" s="90" t="s">
        <v>328</v>
      </c>
      <c r="X32" s="90" t="s">
        <v>228</v>
      </c>
      <c r="Y32" s="90" t="s">
        <v>435</v>
      </c>
      <c r="Z32" s="90" t="s">
        <v>167</v>
      </c>
      <c r="AA32" s="87">
        <v>45713</v>
      </c>
      <c r="AB32" s="85">
        <v>0.41666666666666669</v>
      </c>
      <c r="AC32" s="85">
        <v>0.41666666666666669</v>
      </c>
      <c r="AD32" s="90" t="s">
        <v>276</v>
      </c>
      <c r="AE32" s="90" t="s">
        <v>154</v>
      </c>
      <c r="AF32" s="93" t="s">
        <v>169</v>
      </c>
      <c r="AG32" s="85">
        <v>0.41666666666666669</v>
      </c>
      <c r="AH32" s="86">
        <v>45713</v>
      </c>
      <c r="AI32" s="90" t="s">
        <v>276</v>
      </c>
      <c r="AJ32" s="90" t="s">
        <v>148</v>
      </c>
      <c r="AK32" s="90" t="s">
        <v>344</v>
      </c>
      <c r="AL32" s="91">
        <v>2025</v>
      </c>
      <c r="AM32" s="91">
        <v>9</v>
      </c>
      <c r="AN32" s="91">
        <v>25</v>
      </c>
      <c r="AO32" s="90" t="s">
        <v>436</v>
      </c>
      <c r="AP32" s="90" t="s">
        <v>151</v>
      </c>
    </row>
    <row r="33" spans="1:42" x14ac:dyDescent="0.25">
      <c r="A33" s="92" t="s">
        <v>437</v>
      </c>
      <c r="B33" s="87">
        <v>45717</v>
      </c>
      <c r="C33" s="89">
        <v>0.25</v>
      </c>
      <c r="D33" s="90" t="s">
        <v>154</v>
      </c>
      <c r="E33" s="90"/>
      <c r="F33" s="90"/>
      <c r="G33" s="90" t="s">
        <v>438</v>
      </c>
      <c r="H33" s="92" t="s">
        <v>425</v>
      </c>
      <c r="I33" s="93">
        <v>8</v>
      </c>
      <c r="J33" s="90" t="s">
        <v>439</v>
      </c>
      <c r="K33" s="91"/>
      <c r="L33" s="91"/>
      <c r="M33" s="90" t="s">
        <v>440</v>
      </c>
      <c r="N33" s="90" t="s">
        <v>441</v>
      </c>
      <c r="O33" s="90" t="s">
        <v>442</v>
      </c>
      <c r="P33" s="90" t="s">
        <v>161</v>
      </c>
      <c r="Q33" s="90"/>
      <c r="R33" s="90"/>
      <c r="S33" s="90"/>
      <c r="T33" s="90"/>
      <c r="U33" s="90" t="s">
        <v>162</v>
      </c>
      <c r="V33" s="90" t="s">
        <v>443</v>
      </c>
      <c r="W33" s="90" t="s">
        <v>444</v>
      </c>
      <c r="X33" s="90" t="s">
        <v>310</v>
      </c>
      <c r="Y33" s="90" t="s">
        <v>166</v>
      </c>
      <c r="Z33" s="90" t="s">
        <v>167</v>
      </c>
      <c r="AA33" s="87">
        <v>45717</v>
      </c>
      <c r="AB33" s="85">
        <v>0.25</v>
      </c>
      <c r="AC33" s="85">
        <v>0.25</v>
      </c>
      <c r="AD33" s="90" t="s">
        <v>385</v>
      </c>
      <c r="AE33" s="90" t="s">
        <v>154</v>
      </c>
      <c r="AF33" s="93" t="s">
        <v>169</v>
      </c>
      <c r="AG33" s="85">
        <v>0.25</v>
      </c>
      <c r="AH33" s="86">
        <v>45717</v>
      </c>
      <c r="AI33" s="90" t="s">
        <v>385</v>
      </c>
      <c r="AJ33" s="90" t="s">
        <v>292</v>
      </c>
      <c r="AK33" s="90" t="s">
        <v>445</v>
      </c>
      <c r="AL33" s="91">
        <v>2025</v>
      </c>
      <c r="AM33" s="91">
        <v>9</v>
      </c>
      <c r="AN33" s="91">
        <v>1</v>
      </c>
      <c r="AO33" s="90" t="s">
        <v>446</v>
      </c>
      <c r="AP33" s="90" t="s">
        <v>151</v>
      </c>
    </row>
    <row r="34" spans="1:42" x14ac:dyDescent="0.25">
      <c r="A34" s="92" t="s">
        <v>447</v>
      </c>
      <c r="B34" s="87">
        <v>45720</v>
      </c>
      <c r="C34" s="89">
        <v>0.64097222222222228</v>
      </c>
      <c r="D34" s="90" t="s">
        <v>206</v>
      </c>
      <c r="E34" s="90" t="s">
        <v>448</v>
      </c>
      <c r="F34" s="90" t="s">
        <v>204</v>
      </c>
      <c r="G34" s="90" t="s">
        <v>449</v>
      </c>
      <c r="H34" s="92" t="s">
        <v>208</v>
      </c>
      <c r="I34" s="93">
        <v>8</v>
      </c>
      <c r="J34" s="90" t="s">
        <v>450</v>
      </c>
      <c r="K34" s="91"/>
      <c r="L34" s="91"/>
      <c r="M34" s="90" t="s">
        <v>451</v>
      </c>
      <c r="N34" s="90" t="s">
        <v>452</v>
      </c>
      <c r="O34" s="90" t="s">
        <v>453</v>
      </c>
      <c r="P34" s="90" t="s">
        <v>161</v>
      </c>
      <c r="Q34" s="90"/>
      <c r="R34" s="90"/>
      <c r="S34" s="90"/>
      <c r="T34" s="90"/>
      <c r="U34" s="90" t="s">
        <v>281</v>
      </c>
      <c r="V34" s="90" t="s">
        <v>454</v>
      </c>
      <c r="W34" s="90" t="s">
        <v>328</v>
      </c>
      <c r="X34" s="90" t="s">
        <v>257</v>
      </c>
      <c r="Y34" s="90" t="s">
        <v>364</v>
      </c>
      <c r="Z34" s="90" t="s">
        <v>213</v>
      </c>
      <c r="AA34" s="87">
        <v>45720</v>
      </c>
      <c r="AB34" s="85">
        <v>0.64097222222222228</v>
      </c>
      <c r="AC34" s="85">
        <v>0.625</v>
      </c>
      <c r="AD34" s="90" t="s">
        <v>146</v>
      </c>
      <c r="AE34" s="90" t="s">
        <v>455</v>
      </c>
      <c r="AF34" s="93" t="s">
        <v>169</v>
      </c>
      <c r="AG34" s="85">
        <v>0.64097222222222228</v>
      </c>
      <c r="AH34" s="86">
        <v>45720</v>
      </c>
      <c r="AI34" s="90" t="s">
        <v>146</v>
      </c>
      <c r="AJ34" s="90" t="s">
        <v>148</v>
      </c>
      <c r="AK34" s="90" t="s">
        <v>445</v>
      </c>
      <c r="AL34" s="91">
        <v>2025</v>
      </c>
      <c r="AM34" s="91">
        <v>10</v>
      </c>
      <c r="AN34" s="91">
        <v>4</v>
      </c>
      <c r="AO34" s="90" t="s">
        <v>456</v>
      </c>
      <c r="AP34" s="90" t="s">
        <v>216</v>
      </c>
    </row>
    <row r="35" spans="1:42" x14ac:dyDescent="0.25">
      <c r="A35" s="92" t="s">
        <v>457</v>
      </c>
      <c r="B35" s="87">
        <v>45720</v>
      </c>
      <c r="C35" s="89">
        <v>0.79126157407407405</v>
      </c>
      <c r="D35" s="90" t="s">
        <v>206</v>
      </c>
      <c r="E35" s="90"/>
      <c r="F35" s="90"/>
      <c r="G35" s="90" t="s">
        <v>458</v>
      </c>
      <c r="H35" s="92" t="s">
        <v>315</v>
      </c>
      <c r="I35" s="93">
        <v>6</v>
      </c>
      <c r="J35" s="90" t="s">
        <v>459</v>
      </c>
      <c r="K35" s="91"/>
      <c r="L35" s="91"/>
      <c r="M35" s="90"/>
      <c r="N35" s="90"/>
      <c r="O35" s="90"/>
      <c r="P35" s="90"/>
      <c r="Q35" s="90"/>
      <c r="R35" s="90"/>
      <c r="S35" s="90"/>
      <c r="T35" s="90"/>
      <c r="U35" s="90" t="s">
        <v>281</v>
      </c>
      <c r="V35" s="90" t="s">
        <v>460</v>
      </c>
      <c r="W35" s="90" t="s">
        <v>164</v>
      </c>
      <c r="X35" s="90" t="s">
        <v>180</v>
      </c>
      <c r="Y35" s="90" t="s">
        <v>364</v>
      </c>
      <c r="Z35" s="90" t="s">
        <v>213</v>
      </c>
      <c r="AA35" s="87">
        <v>45720</v>
      </c>
      <c r="AB35" s="85">
        <v>0.79126157407407405</v>
      </c>
      <c r="AC35" s="85">
        <v>0.75</v>
      </c>
      <c r="AD35" s="90" t="s">
        <v>266</v>
      </c>
      <c r="AE35" s="90" t="s">
        <v>206</v>
      </c>
      <c r="AF35" s="93" t="s">
        <v>169</v>
      </c>
      <c r="AG35" s="85">
        <v>0.79126157407407405</v>
      </c>
      <c r="AH35" s="86">
        <v>45720</v>
      </c>
      <c r="AI35" s="90" t="s">
        <v>266</v>
      </c>
      <c r="AJ35" s="90" t="s">
        <v>148</v>
      </c>
      <c r="AK35" s="90" t="s">
        <v>445</v>
      </c>
      <c r="AL35" s="91">
        <v>2025</v>
      </c>
      <c r="AM35" s="91">
        <v>10</v>
      </c>
      <c r="AN35" s="91">
        <v>4</v>
      </c>
      <c r="AO35" s="90" t="s">
        <v>461</v>
      </c>
      <c r="AP35" s="90" t="s">
        <v>151</v>
      </c>
    </row>
    <row r="36" spans="1:42" x14ac:dyDescent="0.25">
      <c r="A36" s="92" t="s">
        <v>462</v>
      </c>
      <c r="B36" s="87">
        <v>45722</v>
      </c>
      <c r="C36" s="89">
        <v>0.94149305555555551</v>
      </c>
      <c r="D36" s="90" t="s">
        <v>174</v>
      </c>
      <c r="E36" s="90"/>
      <c r="F36" s="90"/>
      <c r="G36" s="90" t="s">
        <v>463</v>
      </c>
      <c r="H36" s="92" t="s">
        <v>208</v>
      </c>
      <c r="I36" s="93">
        <v>8</v>
      </c>
      <c r="J36" s="90" t="s">
        <v>464</v>
      </c>
      <c r="K36" s="91"/>
      <c r="L36" s="91"/>
      <c r="M36" s="90" t="s">
        <v>465</v>
      </c>
      <c r="N36" s="90" t="s">
        <v>341</v>
      </c>
      <c r="O36" s="90" t="s">
        <v>466</v>
      </c>
      <c r="P36" s="90" t="s">
        <v>161</v>
      </c>
      <c r="Q36" s="90"/>
      <c r="R36" s="90"/>
      <c r="S36" s="90"/>
      <c r="T36" s="90"/>
      <c r="U36" s="90" t="s">
        <v>467</v>
      </c>
      <c r="V36" s="90" t="s">
        <v>179</v>
      </c>
      <c r="W36" s="90" t="s">
        <v>142</v>
      </c>
      <c r="X36" s="90" t="s">
        <v>228</v>
      </c>
      <c r="Y36" s="90" t="s">
        <v>166</v>
      </c>
      <c r="Z36" s="90" t="s">
        <v>182</v>
      </c>
      <c r="AA36" s="87">
        <v>45722</v>
      </c>
      <c r="AB36" s="85">
        <v>0.94149305555555551</v>
      </c>
      <c r="AC36" s="85">
        <v>0.91666666666666663</v>
      </c>
      <c r="AD36" s="90" t="s">
        <v>168</v>
      </c>
      <c r="AE36" s="90" t="s">
        <v>174</v>
      </c>
      <c r="AF36" s="93" t="s">
        <v>169</v>
      </c>
      <c r="AG36" s="85">
        <v>0.94149305555555551</v>
      </c>
      <c r="AH36" s="86">
        <v>45722</v>
      </c>
      <c r="AI36" s="90" t="s">
        <v>168</v>
      </c>
      <c r="AJ36" s="90" t="s">
        <v>247</v>
      </c>
      <c r="AK36" s="90" t="s">
        <v>445</v>
      </c>
      <c r="AL36" s="91">
        <v>2025</v>
      </c>
      <c r="AM36" s="91">
        <v>10</v>
      </c>
      <c r="AN36" s="91">
        <v>6</v>
      </c>
      <c r="AO36" s="90" t="s">
        <v>468</v>
      </c>
      <c r="AP36" s="90" t="s">
        <v>151</v>
      </c>
    </row>
    <row r="37" spans="1:42" x14ac:dyDescent="0.25">
      <c r="A37" s="92" t="s">
        <v>469</v>
      </c>
      <c r="B37" s="87">
        <v>45725</v>
      </c>
      <c r="C37" s="89">
        <v>0.8125</v>
      </c>
      <c r="D37" s="90" t="s">
        <v>174</v>
      </c>
      <c r="E37" s="90"/>
      <c r="F37" s="90"/>
      <c r="G37" s="90" t="s">
        <v>470</v>
      </c>
      <c r="H37" s="92" t="s">
        <v>191</v>
      </c>
      <c r="I37" s="93">
        <v>7</v>
      </c>
      <c r="J37" s="90" t="s">
        <v>471</v>
      </c>
      <c r="K37" s="91"/>
      <c r="L37" s="91"/>
      <c r="M37" s="90" t="s">
        <v>472</v>
      </c>
      <c r="N37" s="90" t="s">
        <v>473</v>
      </c>
      <c r="O37" s="90" t="s">
        <v>474</v>
      </c>
      <c r="P37" s="90" t="s">
        <v>161</v>
      </c>
      <c r="Q37" s="90"/>
      <c r="R37" s="90"/>
      <c r="S37" s="90"/>
      <c r="T37" s="90"/>
      <c r="U37" s="90" t="s">
        <v>162</v>
      </c>
      <c r="V37" s="90" t="s">
        <v>475</v>
      </c>
      <c r="W37" s="90" t="s">
        <v>211</v>
      </c>
      <c r="X37" s="90" t="s">
        <v>275</v>
      </c>
      <c r="Y37" s="90" t="s">
        <v>166</v>
      </c>
      <c r="Z37" s="90" t="s">
        <v>182</v>
      </c>
      <c r="AA37" s="87">
        <v>45725</v>
      </c>
      <c r="AB37" s="85">
        <v>0.8125</v>
      </c>
      <c r="AC37" s="85">
        <v>0.79166666666666663</v>
      </c>
      <c r="AD37" s="90" t="s">
        <v>266</v>
      </c>
      <c r="AE37" s="90" t="s">
        <v>174</v>
      </c>
      <c r="AF37" s="93" t="s">
        <v>169</v>
      </c>
      <c r="AG37" s="85">
        <v>0.8125</v>
      </c>
      <c r="AH37" s="86">
        <v>45725</v>
      </c>
      <c r="AI37" s="90" t="s">
        <v>266</v>
      </c>
      <c r="AJ37" s="90" t="s">
        <v>311</v>
      </c>
      <c r="AK37" s="90" t="s">
        <v>445</v>
      </c>
      <c r="AL37" s="91">
        <v>2025</v>
      </c>
      <c r="AM37" s="91">
        <v>11</v>
      </c>
      <c r="AN37" s="91">
        <v>9</v>
      </c>
      <c r="AO37" s="90" t="s">
        <v>476</v>
      </c>
      <c r="AP37" s="90" t="s">
        <v>151</v>
      </c>
    </row>
    <row r="38" spans="1:42" x14ac:dyDescent="0.25">
      <c r="A38" s="92" t="s">
        <v>477</v>
      </c>
      <c r="B38" s="87">
        <v>45726</v>
      </c>
      <c r="C38" s="89">
        <v>4.6527777777777779E-2</v>
      </c>
      <c r="D38" s="90" t="s">
        <v>242</v>
      </c>
      <c r="E38" s="90"/>
      <c r="F38" s="90"/>
      <c r="G38" s="90" t="s">
        <v>478</v>
      </c>
      <c r="H38" s="92" t="s">
        <v>358</v>
      </c>
      <c r="I38" s="93">
        <v>8</v>
      </c>
      <c r="J38" s="90" t="s">
        <v>479</v>
      </c>
      <c r="K38" s="91"/>
      <c r="L38" s="91"/>
      <c r="M38" s="90"/>
      <c r="N38" s="90"/>
      <c r="O38" s="90"/>
      <c r="P38" s="90"/>
      <c r="Q38" s="90"/>
      <c r="R38" s="90"/>
      <c r="S38" s="90"/>
      <c r="T38" s="90"/>
      <c r="U38" s="90" t="s">
        <v>480</v>
      </c>
      <c r="V38" s="90" t="s">
        <v>163</v>
      </c>
      <c r="W38" s="90" t="s">
        <v>328</v>
      </c>
      <c r="X38" s="90" t="s">
        <v>310</v>
      </c>
      <c r="Y38" s="90" t="s">
        <v>364</v>
      </c>
      <c r="Z38" s="90" t="s">
        <v>246</v>
      </c>
      <c r="AA38" s="87">
        <v>45726</v>
      </c>
      <c r="AB38" s="85">
        <v>4.6527777777777779E-2</v>
      </c>
      <c r="AC38" s="85">
        <v>4.1666666666666664E-2</v>
      </c>
      <c r="AD38" s="90" t="s">
        <v>343</v>
      </c>
      <c r="AE38" s="90" t="s">
        <v>242</v>
      </c>
      <c r="AF38" s="93" t="s">
        <v>169</v>
      </c>
      <c r="AG38" s="85">
        <v>4.6527777777777779E-2</v>
      </c>
      <c r="AH38" s="86">
        <v>45726</v>
      </c>
      <c r="AI38" s="90" t="s">
        <v>343</v>
      </c>
      <c r="AJ38" s="90" t="s">
        <v>183</v>
      </c>
      <c r="AK38" s="90" t="s">
        <v>445</v>
      </c>
      <c r="AL38" s="91">
        <v>2025</v>
      </c>
      <c r="AM38" s="91">
        <v>11</v>
      </c>
      <c r="AN38" s="91">
        <v>10</v>
      </c>
      <c r="AO38" s="90" t="s">
        <v>481</v>
      </c>
      <c r="AP38" s="90" t="s">
        <v>151</v>
      </c>
    </row>
    <row r="39" spans="1:42" x14ac:dyDescent="0.25">
      <c r="A39" s="92" t="s">
        <v>482</v>
      </c>
      <c r="B39" s="87">
        <v>45727</v>
      </c>
      <c r="C39" s="89">
        <v>0.60416666666666663</v>
      </c>
      <c r="D39" s="90" t="s">
        <v>174</v>
      </c>
      <c r="E39" s="90"/>
      <c r="F39" s="90"/>
      <c r="G39" s="90" t="s">
        <v>483</v>
      </c>
      <c r="H39" s="92" t="s">
        <v>208</v>
      </c>
      <c r="I39" s="93">
        <v>8</v>
      </c>
      <c r="J39" s="90" t="s">
        <v>484</v>
      </c>
      <c r="K39" s="91"/>
      <c r="L39" s="91"/>
      <c r="M39" s="90" t="s">
        <v>485</v>
      </c>
      <c r="N39" s="90" t="s">
        <v>486</v>
      </c>
      <c r="O39" s="90" t="s">
        <v>487</v>
      </c>
      <c r="P39" s="90" t="s">
        <v>161</v>
      </c>
      <c r="Q39" s="90"/>
      <c r="R39" s="90"/>
      <c r="S39" s="90"/>
      <c r="T39" s="90"/>
      <c r="U39" s="90" t="s">
        <v>281</v>
      </c>
      <c r="V39" s="90" t="s">
        <v>327</v>
      </c>
      <c r="W39" s="90" t="s">
        <v>328</v>
      </c>
      <c r="X39" s="90" t="s">
        <v>488</v>
      </c>
      <c r="Y39" s="90" t="s">
        <v>166</v>
      </c>
      <c r="Z39" s="90" t="s">
        <v>182</v>
      </c>
      <c r="AA39" s="87">
        <v>45727</v>
      </c>
      <c r="AB39" s="85">
        <v>0.60416666666666663</v>
      </c>
      <c r="AC39" s="85">
        <v>0.58333333333333337</v>
      </c>
      <c r="AD39" s="90" t="s">
        <v>146</v>
      </c>
      <c r="AE39" s="90" t="s">
        <v>174</v>
      </c>
      <c r="AF39" s="93" t="s">
        <v>169</v>
      </c>
      <c r="AG39" s="85">
        <v>0.60416666666666663</v>
      </c>
      <c r="AH39" s="86">
        <v>45727</v>
      </c>
      <c r="AI39" s="90" t="s">
        <v>146</v>
      </c>
      <c r="AJ39" s="90" t="s">
        <v>148</v>
      </c>
      <c r="AK39" s="90" t="s">
        <v>445</v>
      </c>
      <c r="AL39" s="91">
        <v>2025</v>
      </c>
      <c r="AM39" s="91">
        <v>11</v>
      </c>
      <c r="AN39" s="91">
        <v>11</v>
      </c>
      <c r="AO39" s="90" t="s">
        <v>489</v>
      </c>
      <c r="AP39" s="90" t="s">
        <v>151</v>
      </c>
    </row>
    <row r="40" spans="1:42" x14ac:dyDescent="0.25">
      <c r="A40" s="92" t="s">
        <v>490</v>
      </c>
      <c r="B40" s="87"/>
      <c r="C40" s="89"/>
      <c r="D40" s="90" t="s">
        <v>387</v>
      </c>
      <c r="E40" s="90" t="s">
        <v>242</v>
      </c>
      <c r="F40" s="90"/>
      <c r="G40" s="90" t="s">
        <v>491</v>
      </c>
      <c r="H40" s="92" t="s">
        <v>221</v>
      </c>
      <c r="I40" s="93">
        <v>9</v>
      </c>
      <c r="J40" s="90" t="s">
        <v>492</v>
      </c>
      <c r="K40" s="91"/>
      <c r="L40" s="91"/>
      <c r="M40" s="90" t="s">
        <v>493</v>
      </c>
      <c r="N40" s="90" t="s">
        <v>494</v>
      </c>
      <c r="O40" s="90" t="s">
        <v>495</v>
      </c>
      <c r="P40" s="90" t="s">
        <v>161</v>
      </c>
      <c r="Q40" s="90"/>
      <c r="R40" s="90"/>
      <c r="S40" s="90"/>
      <c r="T40" s="90"/>
      <c r="U40" s="90"/>
      <c r="V40" s="90" t="s">
        <v>496</v>
      </c>
      <c r="W40" s="90" t="s">
        <v>497</v>
      </c>
      <c r="X40" s="90"/>
      <c r="Y40" s="90"/>
      <c r="Z40" s="90"/>
      <c r="AA40" s="87">
        <v>45734</v>
      </c>
      <c r="AB40" s="85">
        <v>0.22916666666666666</v>
      </c>
      <c r="AC40" s="85">
        <v>0.20833333333333334</v>
      </c>
      <c r="AD40" s="90" t="s">
        <v>385</v>
      </c>
      <c r="AE40" s="90" t="s">
        <v>498</v>
      </c>
      <c r="AF40" s="93" t="s">
        <v>169</v>
      </c>
      <c r="AG40" s="85">
        <v>0.22916666666666666</v>
      </c>
      <c r="AH40" s="86">
        <v>45734</v>
      </c>
      <c r="AI40" s="90" t="s">
        <v>385</v>
      </c>
      <c r="AJ40" s="90" t="s">
        <v>148</v>
      </c>
      <c r="AK40" s="90" t="s">
        <v>445</v>
      </c>
      <c r="AL40" s="91">
        <v>2025</v>
      </c>
      <c r="AM40" s="91">
        <v>12</v>
      </c>
      <c r="AN40" s="91">
        <v>18</v>
      </c>
      <c r="AO40" s="90" t="s">
        <v>230</v>
      </c>
      <c r="AP40" s="90" t="s">
        <v>397</v>
      </c>
    </row>
    <row r="41" spans="1:42" x14ac:dyDescent="0.25">
      <c r="A41" s="92" t="s">
        <v>499</v>
      </c>
      <c r="B41" s="87">
        <v>45737</v>
      </c>
      <c r="C41" s="89">
        <v>0.32500000000000001</v>
      </c>
      <c r="D41" s="90" t="s">
        <v>154</v>
      </c>
      <c r="E41" s="90"/>
      <c r="F41" s="90"/>
      <c r="G41" s="90" t="s">
        <v>500</v>
      </c>
      <c r="H41" s="92" t="s">
        <v>315</v>
      </c>
      <c r="I41" s="93">
        <v>6</v>
      </c>
      <c r="J41" s="90" t="s">
        <v>501</v>
      </c>
      <c r="K41" s="91"/>
      <c r="L41" s="91"/>
      <c r="M41" s="90" t="s">
        <v>502</v>
      </c>
      <c r="N41" s="90" t="s">
        <v>503</v>
      </c>
      <c r="O41" s="90"/>
      <c r="P41" s="90" t="s">
        <v>161</v>
      </c>
      <c r="Q41" s="90"/>
      <c r="R41" s="90"/>
      <c r="S41" s="90"/>
      <c r="T41" s="90"/>
      <c r="U41" s="90" t="s">
        <v>467</v>
      </c>
      <c r="V41" s="90" t="s">
        <v>291</v>
      </c>
      <c r="W41" s="90" t="s">
        <v>256</v>
      </c>
      <c r="X41" s="90" t="s">
        <v>372</v>
      </c>
      <c r="Y41" s="90" t="s">
        <v>320</v>
      </c>
      <c r="Z41" s="90" t="s">
        <v>167</v>
      </c>
      <c r="AA41" s="87">
        <v>45737</v>
      </c>
      <c r="AB41" s="85">
        <v>0.32500000000000001</v>
      </c>
      <c r="AC41" s="85">
        <v>0.29166666666666669</v>
      </c>
      <c r="AD41" s="90" t="s">
        <v>385</v>
      </c>
      <c r="AE41" s="90" t="s">
        <v>154</v>
      </c>
      <c r="AF41" s="93" t="s">
        <v>169</v>
      </c>
      <c r="AG41" s="85">
        <v>0.32500000000000001</v>
      </c>
      <c r="AH41" s="86">
        <v>45737</v>
      </c>
      <c r="AI41" s="90" t="s">
        <v>385</v>
      </c>
      <c r="AJ41" s="90" t="s">
        <v>170</v>
      </c>
      <c r="AK41" s="90" t="s">
        <v>445</v>
      </c>
      <c r="AL41" s="91">
        <v>2025</v>
      </c>
      <c r="AM41" s="91">
        <v>12</v>
      </c>
      <c r="AN41" s="91">
        <v>21</v>
      </c>
      <c r="AO41" s="90" t="s">
        <v>504</v>
      </c>
      <c r="AP41" s="90" t="s">
        <v>151</v>
      </c>
    </row>
    <row r="42" spans="1:42" x14ac:dyDescent="0.25">
      <c r="A42" s="92" t="s">
        <v>505</v>
      </c>
      <c r="B42" s="87">
        <v>45739</v>
      </c>
      <c r="C42" s="89">
        <v>0.1736111111111111</v>
      </c>
      <c r="D42" s="90" t="s">
        <v>174</v>
      </c>
      <c r="E42" s="90" t="s">
        <v>506</v>
      </c>
      <c r="F42" s="90"/>
      <c r="G42" s="90" t="s">
        <v>507</v>
      </c>
      <c r="H42" s="92" t="s">
        <v>270</v>
      </c>
      <c r="I42" s="93">
        <v>5</v>
      </c>
      <c r="J42" s="90" t="s">
        <v>508</v>
      </c>
      <c r="K42" s="91"/>
      <c r="L42" s="91"/>
      <c r="M42" s="90" t="s">
        <v>509</v>
      </c>
      <c r="N42" s="90" t="s">
        <v>341</v>
      </c>
      <c r="O42" s="90" t="s">
        <v>510</v>
      </c>
      <c r="P42" s="90" t="s">
        <v>161</v>
      </c>
      <c r="Q42" s="90"/>
      <c r="R42" s="90"/>
      <c r="S42" s="90"/>
      <c r="T42" s="90"/>
      <c r="U42" s="90" t="s">
        <v>511</v>
      </c>
      <c r="V42" s="90" t="s">
        <v>309</v>
      </c>
      <c r="W42" s="90" t="s">
        <v>142</v>
      </c>
      <c r="X42" s="90" t="s">
        <v>275</v>
      </c>
      <c r="Y42" s="90" t="s">
        <v>166</v>
      </c>
      <c r="Z42" s="90" t="s">
        <v>182</v>
      </c>
      <c r="AA42" s="87">
        <v>45739</v>
      </c>
      <c r="AB42" s="85">
        <v>0.1736111111111111</v>
      </c>
      <c r="AC42" s="85">
        <v>0.16666666666666666</v>
      </c>
      <c r="AD42" s="90" t="s">
        <v>385</v>
      </c>
      <c r="AE42" s="90" t="s">
        <v>512</v>
      </c>
      <c r="AF42" s="93" t="s">
        <v>169</v>
      </c>
      <c r="AG42" s="85">
        <v>0.1736111111111111</v>
      </c>
      <c r="AH42" s="86">
        <v>45739</v>
      </c>
      <c r="AI42" s="90" t="s">
        <v>385</v>
      </c>
      <c r="AJ42" s="90" t="s">
        <v>311</v>
      </c>
      <c r="AK42" s="90" t="s">
        <v>445</v>
      </c>
      <c r="AL42" s="91">
        <v>2025</v>
      </c>
      <c r="AM42" s="91">
        <v>13</v>
      </c>
      <c r="AN42" s="91">
        <v>23</v>
      </c>
      <c r="AO42" s="90" t="s">
        <v>513</v>
      </c>
      <c r="AP42" s="90" t="s">
        <v>151</v>
      </c>
    </row>
    <row r="43" spans="1:42" x14ac:dyDescent="0.25">
      <c r="A43" s="92" t="s">
        <v>514</v>
      </c>
      <c r="B43" s="87">
        <v>45739</v>
      </c>
      <c r="C43" s="89">
        <v>0.62013888888888891</v>
      </c>
      <c r="D43" s="90" t="s">
        <v>188</v>
      </c>
      <c r="E43" s="90"/>
      <c r="F43" s="90"/>
      <c r="G43" s="90" t="s">
        <v>515</v>
      </c>
      <c r="H43" s="92" t="s">
        <v>516</v>
      </c>
      <c r="I43" s="93">
        <v>9</v>
      </c>
      <c r="J43" s="90" t="s">
        <v>517</v>
      </c>
      <c r="K43" s="91"/>
      <c r="L43" s="91"/>
      <c r="M43" s="90"/>
      <c r="N43" s="90"/>
      <c r="O43" s="90"/>
      <c r="P43" s="90"/>
      <c r="Q43" s="90"/>
      <c r="R43" s="90"/>
      <c r="S43" s="90"/>
      <c r="T43" s="90"/>
      <c r="U43" s="90" t="s">
        <v>518</v>
      </c>
      <c r="V43" s="90" t="s">
        <v>443</v>
      </c>
      <c r="W43" s="90" t="s">
        <v>142</v>
      </c>
      <c r="X43" s="90" t="s">
        <v>275</v>
      </c>
      <c r="Y43" s="90" t="s">
        <v>166</v>
      </c>
      <c r="Z43" s="90" t="s">
        <v>197</v>
      </c>
      <c r="AA43" s="87">
        <v>45739</v>
      </c>
      <c r="AB43" s="85">
        <v>0.62013888888888891</v>
      </c>
      <c r="AC43" s="85">
        <v>0.58333333333333337</v>
      </c>
      <c r="AD43" s="90" t="s">
        <v>146</v>
      </c>
      <c r="AE43" s="90" t="s">
        <v>188</v>
      </c>
      <c r="AF43" s="93" t="s">
        <v>169</v>
      </c>
      <c r="AG43" s="85">
        <v>0.62013888888888891</v>
      </c>
      <c r="AH43" s="86">
        <v>45739</v>
      </c>
      <c r="AI43" s="90" t="s">
        <v>146</v>
      </c>
      <c r="AJ43" s="90" t="s">
        <v>311</v>
      </c>
      <c r="AK43" s="90" t="s">
        <v>445</v>
      </c>
      <c r="AL43" s="91">
        <v>2025</v>
      </c>
      <c r="AM43" s="91">
        <v>13</v>
      </c>
      <c r="AN43" s="91">
        <v>23</v>
      </c>
      <c r="AO43" s="90" t="s">
        <v>519</v>
      </c>
      <c r="AP43" s="90" t="s">
        <v>151</v>
      </c>
    </row>
    <row r="44" spans="1:42" x14ac:dyDescent="0.25">
      <c r="A44" s="92" t="s">
        <v>520</v>
      </c>
      <c r="B44" s="87">
        <v>45741</v>
      </c>
      <c r="C44" s="89">
        <v>0.48402777777777778</v>
      </c>
      <c r="D44" s="90" t="s">
        <v>206</v>
      </c>
      <c r="E44" s="90" t="s">
        <v>295</v>
      </c>
      <c r="F44" s="90" t="s">
        <v>521</v>
      </c>
      <c r="G44" s="90" t="s">
        <v>220</v>
      </c>
      <c r="H44" s="92" t="s">
        <v>221</v>
      </c>
      <c r="I44" s="93">
        <v>9</v>
      </c>
      <c r="J44" s="90" t="s">
        <v>522</v>
      </c>
      <c r="K44" s="91"/>
      <c r="L44" s="91"/>
      <c r="M44" s="90" t="s">
        <v>523</v>
      </c>
      <c r="N44" s="90" t="s">
        <v>486</v>
      </c>
      <c r="O44" s="90" t="s">
        <v>524</v>
      </c>
      <c r="P44" s="90" t="s">
        <v>161</v>
      </c>
      <c r="Q44" s="90"/>
      <c r="R44" s="90"/>
      <c r="S44" s="90"/>
      <c r="T44" s="90"/>
      <c r="U44" s="90" t="s">
        <v>162</v>
      </c>
      <c r="V44" s="90" t="s">
        <v>525</v>
      </c>
      <c r="W44" s="90" t="s">
        <v>211</v>
      </c>
      <c r="X44" s="90" t="s">
        <v>228</v>
      </c>
      <c r="Y44" s="90" t="s">
        <v>166</v>
      </c>
      <c r="Z44" s="90" t="s">
        <v>213</v>
      </c>
      <c r="AA44" s="87">
        <v>45741</v>
      </c>
      <c r="AB44" s="85">
        <v>0.48402777777777778</v>
      </c>
      <c r="AC44" s="85">
        <v>0.45833333333333331</v>
      </c>
      <c r="AD44" s="90" t="s">
        <v>276</v>
      </c>
      <c r="AE44" s="90" t="s">
        <v>526</v>
      </c>
      <c r="AF44" s="93" t="s">
        <v>169</v>
      </c>
      <c r="AG44" s="85">
        <v>0.48402777777777778</v>
      </c>
      <c r="AH44" s="86">
        <v>45741</v>
      </c>
      <c r="AI44" s="90" t="s">
        <v>276</v>
      </c>
      <c r="AJ44" s="90" t="s">
        <v>148</v>
      </c>
      <c r="AK44" s="90" t="s">
        <v>445</v>
      </c>
      <c r="AL44" s="91">
        <v>2025</v>
      </c>
      <c r="AM44" s="91">
        <v>13</v>
      </c>
      <c r="AN44" s="91">
        <v>25</v>
      </c>
      <c r="AO44" s="90" t="s">
        <v>230</v>
      </c>
      <c r="AP44" s="90" t="s">
        <v>216</v>
      </c>
    </row>
    <row r="45" spans="1:42" x14ac:dyDescent="0.25">
      <c r="A45" s="92" t="s">
        <v>527</v>
      </c>
      <c r="B45" s="87">
        <v>45743</v>
      </c>
      <c r="C45" s="89">
        <v>0.94666666666666666</v>
      </c>
      <c r="D45" s="90" t="s">
        <v>367</v>
      </c>
      <c r="E45" s="90" t="s">
        <v>528</v>
      </c>
      <c r="F45" s="90" t="s">
        <v>218</v>
      </c>
      <c r="G45" s="90" t="s">
        <v>529</v>
      </c>
      <c r="H45" s="92" t="s">
        <v>315</v>
      </c>
      <c r="I45" s="93">
        <v>6</v>
      </c>
      <c r="J45" s="90" t="s">
        <v>13</v>
      </c>
      <c r="K45" s="91"/>
      <c r="L45" s="91"/>
      <c r="M45" s="90"/>
      <c r="N45" s="90"/>
      <c r="O45" s="90"/>
      <c r="P45" s="90"/>
      <c r="Q45" s="90"/>
      <c r="R45" s="90"/>
      <c r="S45" s="90"/>
      <c r="T45" s="90"/>
      <c r="U45" s="90" t="s">
        <v>281</v>
      </c>
      <c r="V45" s="90" t="s">
        <v>530</v>
      </c>
      <c r="W45" s="90" t="s">
        <v>384</v>
      </c>
      <c r="X45" s="90" t="s">
        <v>257</v>
      </c>
      <c r="Y45" s="90" t="s">
        <v>144</v>
      </c>
      <c r="Z45" s="90" t="s">
        <v>246</v>
      </c>
      <c r="AA45" s="87">
        <v>45743</v>
      </c>
      <c r="AB45" s="85">
        <v>0.94666666666666666</v>
      </c>
      <c r="AC45" s="85">
        <v>0.91666666666666663</v>
      </c>
      <c r="AD45" s="90" t="s">
        <v>168</v>
      </c>
      <c r="AE45" s="90" t="s">
        <v>531</v>
      </c>
      <c r="AF45" s="93" t="s">
        <v>169</v>
      </c>
      <c r="AG45" s="85">
        <v>0.94666666666666666</v>
      </c>
      <c r="AH45" s="86">
        <v>45743</v>
      </c>
      <c r="AI45" s="90" t="s">
        <v>168</v>
      </c>
      <c r="AJ45" s="90" t="s">
        <v>247</v>
      </c>
      <c r="AK45" s="90" t="s">
        <v>445</v>
      </c>
      <c r="AL45" s="91">
        <v>2025</v>
      </c>
      <c r="AM45" s="91">
        <v>13</v>
      </c>
      <c r="AN45" s="91">
        <v>27</v>
      </c>
      <c r="AO45" s="90" t="s">
        <v>461</v>
      </c>
      <c r="AP45" s="90" t="s">
        <v>151</v>
      </c>
    </row>
    <row r="46" spans="1:42" x14ac:dyDescent="0.25">
      <c r="A46" s="92" t="s">
        <v>532</v>
      </c>
      <c r="B46" s="87">
        <v>45743</v>
      </c>
      <c r="C46" s="89">
        <v>0.97916666666666663</v>
      </c>
      <c r="D46" s="90" t="s">
        <v>242</v>
      </c>
      <c r="E46" s="90"/>
      <c r="F46" s="90"/>
      <c r="G46" s="90" t="s">
        <v>533</v>
      </c>
      <c r="H46" s="92" t="s">
        <v>358</v>
      </c>
      <c r="I46" s="93">
        <v>8</v>
      </c>
      <c r="J46" s="90" t="s">
        <v>17</v>
      </c>
      <c r="K46" s="91">
        <v>50300</v>
      </c>
      <c r="L46" s="91"/>
      <c r="M46" s="90"/>
      <c r="N46" s="90"/>
      <c r="O46" s="90"/>
      <c r="P46" s="90"/>
      <c r="Q46" s="90"/>
      <c r="R46" s="90"/>
      <c r="S46" s="90"/>
      <c r="T46" s="90"/>
      <c r="U46" s="90" t="s">
        <v>162</v>
      </c>
      <c r="V46" s="90" t="s">
        <v>475</v>
      </c>
      <c r="W46" s="90" t="s">
        <v>211</v>
      </c>
      <c r="X46" s="90" t="s">
        <v>534</v>
      </c>
      <c r="Y46" s="90" t="s">
        <v>166</v>
      </c>
      <c r="Z46" s="90" t="s">
        <v>246</v>
      </c>
      <c r="AA46" s="87">
        <v>45743</v>
      </c>
      <c r="AB46" s="85">
        <v>0.97916666666666663</v>
      </c>
      <c r="AC46" s="85">
        <v>0.95833333333333337</v>
      </c>
      <c r="AD46" s="90" t="s">
        <v>168</v>
      </c>
      <c r="AE46" s="90" t="s">
        <v>242</v>
      </c>
      <c r="AF46" s="93" t="s">
        <v>169</v>
      </c>
      <c r="AG46" s="85">
        <v>0.97916666666666663</v>
      </c>
      <c r="AH46" s="86">
        <v>45743</v>
      </c>
      <c r="AI46" s="90" t="s">
        <v>168</v>
      </c>
      <c r="AJ46" s="90" t="s">
        <v>247</v>
      </c>
      <c r="AK46" s="90" t="s">
        <v>445</v>
      </c>
      <c r="AL46" s="91">
        <v>2025</v>
      </c>
      <c r="AM46" s="91">
        <v>13</v>
      </c>
      <c r="AN46" s="91">
        <v>27</v>
      </c>
      <c r="AO46" s="90" t="s">
        <v>481</v>
      </c>
      <c r="AP46" s="90" t="s">
        <v>151</v>
      </c>
    </row>
    <row r="47" spans="1:42" x14ac:dyDescent="0.25">
      <c r="A47" s="92" t="s">
        <v>535</v>
      </c>
      <c r="B47" s="87">
        <v>45744</v>
      </c>
      <c r="C47" s="89">
        <v>0.85416666666666663</v>
      </c>
      <c r="D47" s="90" t="s">
        <v>154</v>
      </c>
      <c r="E47" s="90"/>
      <c r="F47" s="90"/>
      <c r="G47" s="90" t="s">
        <v>536</v>
      </c>
      <c r="H47" s="92" t="s">
        <v>425</v>
      </c>
      <c r="I47" s="93">
        <v>8</v>
      </c>
      <c r="J47" s="90" t="s">
        <v>537</v>
      </c>
      <c r="K47" s="91"/>
      <c r="L47" s="91"/>
      <c r="M47" s="90" t="s">
        <v>538</v>
      </c>
      <c r="N47" s="90" t="s">
        <v>539</v>
      </c>
      <c r="O47" s="90" t="s">
        <v>540</v>
      </c>
      <c r="P47" s="90" t="s">
        <v>161</v>
      </c>
      <c r="Q47" s="90"/>
      <c r="R47" s="90"/>
      <c r="S47" s="90"/>
      <c r="T47" s="90"/>
      <c r="U47" s="90" t="s">
        <v>511</v>
      </c>
      <c r="V47" s="90" t="s">
        <v>541</v>
      </c>
      <c r="W47" s="90" t="s">
        <v>542</v>
      </c>
      <c r="X47" s="90" t="s">
        <v>228</v>
      </c>
      <c r="Y47" s="90" t="s">
        <v>166</v>
      </c>
      <c r="Z47" s="90" t="s">
        <v>167</v>
      </c>
      <c r="AA47" s="87">
        <v>45744</v>
      </c>
      <c r="AB47" s="85">
        <v>0.85416666666666663</v>
      </c>
      <c r="AC47" s="85">
        <v>0.83333333333333337</v>
      </c>
      <c r="AD47" s="90" t="s">
        <v>168</v>
      </c>
      <c r="AE47" s="90" t="s">
        <v>154</v>
      </c>
      <c r="AF47" s="93" t="s">
        <v>169</v>
      </c>
      <c r="AG47" s="85">
        <v>0.85416666666666663</v>
      </c>
      <c r="AH47" s="86">
        <v>45744</v>
      </c>
      <c r="AI47" s="90" t="s">
        <v>168</v>
      </c>
      <c r="AJ47" s="90" t="s">
        <v>170</v>
      </c>
      <c r="AK47" s="90" t="s">
        <v>445</v>
      </c>
      <c r="AL47" s="91">
        <v>2025</v>
      </c>
      <c r="AM47" s="91">
        <v>13</v>
      </c>
      <c r="AN47" s="91">
        <v>28</v>
      </c>
      <c r="AO47" s="90" t="s">
        <v>543</v>
      </c>
      <c r="AP47" s="90" t="s">
        <v>151</v>
      </c>
    </row>
    <row r="48" spans="1:42" x14ac:dyDescent="0.25">
      <c r="A48" s="92" t="s">
        <v>544</v>
      </c>
      <c r="B48" s="87">
        <v>45745</v>
      </c>
      <c r="C48" s="89">
        <v>0.20515046296296297</v>
      </c>
      <c r="D48" s="90" t="s">
        <v>347</v>
      </c>
      <c r="E48" s="90" t="s">
        <v>545</v>
      </c>
      <c r="F48" s="90"/>
      <c r="G48" s="90" t="s">
        <v>546</v>
      </c>
      <c r="H48" s="92" t="s">
        <v>338</v>
      </c>
      <c r="I48" s="93">
        <v>6</v>
      </c>
      <c r="J48" s="90" t="s">
        <v>547</v>
      </c>
      <c r="K48" s="91"/>
      <c r="L48" s="91"/>
      <c r="M48" s="90" t="s">
        <v>548</v>
      </c>
      <c r="N48" s="90" t="s">
        <v>539</v>
      </c>
      <c r="O48" s="90" t="s">
        <v>540</v>
      </c>
      <c r="P48" s="90" t="s">
        <v>161</v>
      </c>
      <c r="Q48" s="90"/>
      <c r="R48" s="90"/>
      <c r="S48" s="90"/>
      <c r="T48" s="90"/>
      <c r="U48" s="90" t="s">
        <v>511</v>
      </c>
      <c r="V48" s="90" t="s">
        <v>530</v>
      </c>
      <c r="W48" s="90" t="s">
        <v>384</v>
      </c>
      <c r="X48" s="90" t="s">
        <v>488</v>
      </c>
      <c r="Y48" s="90" t="s">
        <v>166</v>
      </c>
      <c r="Z48" s="90"/>
      <c r="AA48" s="87">
        <v>45745</v>
      </c>
      <c r="AB48" s="85">
        <v>0.20515046296296297</v>
      </c>
      <c r="AC48" s="85">
        <v>0.16666666666666666</v>
      </c>
      <c r="AD48" s="90" t="s">
        <v>385</v>
      </c>
      <c r="AE48" s="90" t="s">
        <v>549</v>
      </c>
      <c r="AF48" s="93" t="s">
        <v>169</v>
      </c>
      <c r="AG48" s="85">
        <v>0.20515046296296297</v>
      </c>
      <c r="AH48" s="86">
        <v>45745</v>
      </c>
      <c r="AI48" s="90" t="s">
        <v>385</v>
      </c>
      <c r="AJ48" s="90" t="s">
        <v>292</v>
      </c>
      <c r="AK48" s="90" t="s">
        <v>445</v>
      </c>
      <c r="AL48" s="91">
        <v>2025</v>
      </c>
      <c r="AM48" s="91">
        <v>13</v>
      </c>
      <c r="AN48" s="91">
        <v>29</v>
      </c>
      <c r="AO48" s="90" t="s">
        <v>550</v>
      </c>
      <c r="AP48" s="90" t="s">
        <v>231</v>
      </c>
    </row>
    <row r="49" spans="1:42" x14ac:dyDescent="0.25">
      <c r="A49" s="92" t="s">
        <v>551</v>
      </c>
      <c r="B49" s="87">
        <v>45747</v>
      </c>
      <c r="C49" s="89">
        <v>0.5</v>
      </c>
      <c r="D49" s="90" t="s">
        <v>242</v>
      </c>
      <c r="E49" s="90"/>
      <c r="F49" s="90"/>
      <c r="G49" s="90" t="s">
        <v>552</v>
      </c>
      <c r="H49" s="92" t="s">
        <v>553</v>
      </c>
      <c r="I49" s="93">
        <v>7</v>
      </c>
      <c r="J49" s="90" t="s">
        <v>23</v>
      </c>
      <c r="K49" s="91"/>
      <c r="L49" s="91"/>
      <c r="M49" s="90"/>
      <c r="N49" s="90"/>
      <c r="O49" s="90"/>
      <c r="P49" s="90"/>
      <c r="Q49" s="90"/>
      <c r="R49" s="90"/>
      <c r="S49" s="90"/>
      <c r="T49" s="90"/>
      <c r="U49" s="90" t="s">
        <v>511</v>
      </c>
      <c r="V49" s="90" t="s">
        <v>554</v>
      </c>
      <c r="W49" s="90" t="s">
        <v>256</v>
      </c>
      <c r="X49" s="90" t="s">
        <v>350</v>
      </c>
      <c r="Y49" s="90" t="s">
        <v>301</v>
      </c>
      <c r="Z49" s="90" t="s">
        <v>246</v>
      </c>
      <c r="AA49" s="87">
        <v>45747</v>
      </c>
      <c r="AB49" s="85">
        <v>0.5</v>
      </c>
      <c r="AC49" s="85">
        <v>0.5</v>
      </c>
      <c r="AD49" s="90" t="s">
        <v>146</v>
      </c>
      <c r="AE49" s="90" t="s">
        <v>242</v>
      </c>
      <c r="AF49" s="93" t="s">
        <v>169</v>
      </c>
      <c r="AG49" s="85">
        <v>0.5</v>
      </c>
      <c r="AH49" s="86">
        <v>45747</v>
      </c>
      <c r="AI49" s="90" t="s">
        <v>146</v>
      </c>
      <c r="AJ49" s="90" t="s">
        <v>183</v>
      </c>
      <c r="AK49" s="90" t="s">
        <v>445</v>
      </c>
      <c r="AL49" s="91">
        <v>2025</v>
      </c>
      <c r="AM49" s="91">
        <v>14</v>
      </c>
      <c r="AN49" s="91">
        <v>31</v>
      </c>
      <c r="AO49" s="90" t="s">
        <v>322</v>
      </c>
      <c r="AP49" s="90" t="s">
        <v>151</v>
      </c>
    </row>
    <row r="50" spans="1:42" x14ac:dyDescent="0.25">
      <c r="A50" s="92" t="s">
        <v>555</v>
      </c>
      <c r="B50" s="87">
        <v>45747</v>
      </c>
      <c r="C50" s="89">
        <v>0.77777777777777779</v>
      </c>
      <c r="D50" s="90" t="s">
        <v>174</v>
      </c>
      <c r="E50" s="90" t="s">
        <v>295</v>
      </c>
      <c r="F50" s="90" t="s">
        <v>556</v>
      </c>
      <c r="G50" s="90" t="s">
        <v>557</v>
      </c>
      <c r="H50" s="92" t="s">
        <v>191</v>
      </c>
      <c r="I50" s="93">
        <v>7</v>
      </c>
      <c r="J50" s="90" t="s">
        <v>558</v>
      </c>
      <c r="K50" s="91"/>
      <c r="L50" s="91"/>
      <c r="M50" s="90" t="s">
        <v>559</v>
      </c>
      <c r="N50" s="90" t="s">
        <v>560</v>
      </c>
      <c r="O50" s="90" t="s">
        <v>561</v>
      </c>
      <c r="P50" s="90" t="s">
        <v>161</v>
      </c>
      <c r="Q50" s="90"/>
      <c r="R50" s="90"/>
      <c r="S50" s="90"/>
      <c r="T50" s="90"/>
      <c r="U50" s="90" t="s">
        <v>467</v>
      </c>
      <c r="V50" s="90" t="s">
        <v>562</v>
      </c>
      <c r="W50" s="90" t="s">
        <v>256</v>
      </c>
      <c r="X50" s="90" t="s">
        <v>228</v>
      </c>
      <c r="Y50" s="90" t="s">
        <v>166</v>
      </c>
      <c r="Z50" s="90" t="s">
        <v>563</v>
      </c>
      <c r="AA50" s="87">
        <v>45747</v>
      </c>
      <c r="AB50" s="85">
        <v>0.77777777777777779</v>
      </c>
      <c r="AC50" s="85">
        <v>0.75</v>
      </c>
      <c r="AD50" s="90" t="s">
        <v>266</v>
      </c>
      <c r="AE50" s="90" t="s">
        <v>564</v>
      </c>
      <c r="AF50" s="93" t="s">
        <v>169</v>
      </c>
      <c r="AG50" s="85">
        <v>0.77777777777777779</v>
      </c>
      <c r="AH50" s="86">
        <v>45747</v>
      </c>
      <c r="AI50" s="90" t="s">
        <v>266</v>
      </c>
      <c r="AJ50" s="90" t="s">
        <v>183</v>
      </c>
      <c r="AK50" s="90" t="s">
        <v>445</v>
      </c>
      <c r="AL50" s="91">
        <v>2025</v>
      </c>
      <c r="AM50" s="91">
        <v>14</v>
      </c>
      <c r="AN50" s="91">
        <v>31</v>
      </c>
      <c r="AO50" s="90" t="s">
        <v>565</v>
      </c>
      <c r="AP50" s="90" t="s">
        <v>151</v>
      </c>
    </row>
    <row r="51" spans="1:42" x14ac:dyDescent="0.25">
      <c r="A51" s="92" t="s">
        <v>566</v>
      </c>
      <c r="B51" s="87">
        <v>45747</v>
      </c>
      <c r="C51" s="89">
        <v>0.75</v>
      </c>
      <c r="D51" s="90" t="s">
        <v>174</v>
      </c>
      <c r="E51" s="90"/>
      <c r="F51" s="90"/>
      <c r="G51" s="90" t="s">
        <v>567</v>
      </c>
      <c r="H51" s="92" t="s">
        <v>156</v>
      </c>
      <c r="I51" s="93"/>
      <c r="J51" s="90" t="s">
        <v>568</v>
      </c>
      <c r="K51" s="91">
        <v>2</v>
      </c>
      <c r="L51" s="91">
        <v>0</v>
      </c>
      <c r="M51" s="90" t="s">
        <v>569</v>
      </c>
      <c r="N51" s="90" t="s">
        <v>273</v>
      </c>
      <c r="O51" s="90" t="s">
        <v>570</v>
      </c>
      <c r="P51" s="90" t="s">
        <v>161</v>
      </c>
      <c r="Q51" s="90"/>
      <c r="R51" s="90"/>
      <c r="S51" s="90"/>
      <c r="T51" s="90"/>
      <c r="U51" s="90" t="s">
        <v>467</v>
      </c>
      <c r="V51" s="90" t="s">
        <v>571</v>
      </c>
      <c r="W51" s="90" t="s">
        <v>444</v>
      </c>
      <c r="X51" s="90" t="s">
        <v>228</v>
      </c>
      <c r="Y51" s="90" t="s">
        <v>364</v>
      </c>
      <c r="Z51" s="90" t="s">
        <v>563</v>
      </c>
      <c r="AA51" s="87">
        <v>45747</v>
      </c>
      <c r="AB51" s="85">
        <v>0.75</v>
      </c>
      <c r="AC51" s="85">
        <v>0.75</v>
      </c>
      <c r="AD51" s="90" t="s">
        <v>266</v>
      </c>
      <c r="AE51" s="90" t="s">
        <v>174</v>
      </c>
      <c r="AF51" s="93" t="s">
        <v>169</v>
      </c>
      <c r="AG51" s="85">
        <v>0.75</v>
      </c>
      <c r="AH51" s="86">
        <v>45747</v>
      </c>
      <c r="AI51" s="90" t="s">
        <v>266</v>
      </c>
      <c r="AJ51" s="90" t="s">
        <v>183</v>
      </c>
      <c r="AK51" s="90" t="s">
        <v>445</v>
      </c>
      <c r="AL51" s="91">
        <v>2025</v>
      </c>
      <c r="AM51" s="91">
        <v>14</v>
      </c>
      <c r="AN51" s="91">
        <v>31</v>
      </c>
      <c r="AO51" s="90" t="s">
        <v>172</v>
      </c>
      <c r="AP51" s="90" t="s">
        <v>151</v>
      </c>
    </row>
    <row r="52" spans="1:42" x14ac:dyDescent="0.25">
      <c r="A52" s="92" t="s">
        <v>572</v>
      </c>
      <c r="B52" s="87">
        <v>45747</v>
      </c>
      <c r="C52" s="89">
        <v>0.83333333333333337</v>
      </c>
      <c r="D52" s="90" t="s">
        <v>174</v>
      </c>
      <c r="E52" s="90"/>
      <c r="F52" s="90"/>
      <c r="G52" s="90" t="s">
        <v>567</v>
      </c>
      <c r="H52" s="92" t="s">
        <v>156</v>
      </c>
      <c r="I52" s="93">
        <v>9</v>
      </c>
      <c r="J52" s="90" t="s">
        <v>573</v>
      </c>
      <c r="K52" s="91">
        <v>5</v>
      </c>
      <c r="L52" s="91">
        <v>0</v>
      </c>
      <c r="M52" s="90" t="s">
        <v>574</v>
      </c>
      <c r="N52" s="90" t="s">
        <v>273</v>
      </c>
      <c r="O52" s="90" t="s">
        <v>575</v>
      </c>
      <c r="P52" s="90" t="s">
        <v>161</v>
      </c>
      <c r="Q52" s="90"/>
      <c r="R52" s="90"/>
      <c r="S52" s="90"/>
      <c r="T52" s="90"/>
      <c r="U52" s="90" t="s">
        <v>467</v>
      </c>
      <c r="V52" s="90" t="s">
        <v>571</v>
      </c>
      <c r="W52" s="90" t="s">
        <v>444</v>
      </c>
      <c r="X52" s="90" t="s">
        <v>228</v>
      </c>
      <c r="Y52" s="90" t="s">
        <v>364</v>
      </c>
      <c r="Z52" s="90" t="s">
        <v>563</v>
      </c>
      <c r="AA52" s="87">
        <v>45747</v>
      </c>
      <c r="AB52" s="85">
        <v>0.83333333333333337</v>
      </c>
      <c r="AC52" s="85">
        <v>0.83333333333333337</v>
      </c>
      <c r="AD52" s="90" t="s">
        <v>168</v>
      </c>
      <c r="AE52" s="90" t="s">
        <v>174</v>
      </c>
      <c r="AF52" s="93" t="s">
        <v>169</v>
      </c>
      <c r="AG52" s="85">
        <v>0.83333333333333337</v>
      </c>
      <c r="AH52" s="86">
        <v>45747</v>
      </c>
      <c r="AI52" s="90" t="s">
        <v>168</v>
      </c>
      <c r="AJ52" s="90" t="s">
        <v>183</v>
      </c>
      <c r="AK52" s="90" t="s">
        <v>445</v>
      </c>
      <c r="AL52" s="91">
        <v>2025</v>
      </c>
      <c r="AM52" s="91">
        <v>14</v>
      </c>
      <c r="AN52" s="91">
        <v>31</v>
      </c>
      <c r="AO52" s="90" t="s">
        <v>172</v>
      </c>
      <c r="AP52" s="90" t="s">
        <v>151</v>
      </c>
    </row>
    <row r="53" spans="1:42" x14ac:dyDescent="0.25">
      <c r="A53" s="92" t="s">
        <v>576</v>
      </c>
      <c r="B53" s="87">
        <v>45748</v>
      </c>
      <c r="C53" s="89">
        <v>0.85324074074074074</v>
      </c>
      <c r="D53" s="90" t="s">
        <v>174</v>
      </c>
      <c r="E53" s="90"/>
      <c r="F53" s="90"/>
      <c r="G53" s="90" t="s">
        <v>577</v>
      </c>
      <c r="H53" s="92" t="s">
        <v>414</v>
      </c>
      <c r="I53" s="93">
        <v>7</v>
      </c>
      <c r="J53" s="90" t="s">
        <v>578</v>
      </c>
      <c r="K53" s="91"/>
      <c r="L53" s="91"/>
      <c r="M53" s="90" t="s">
        <v>579</v>
      </c>
      <c r="N53" s="90" t="s">
        <v>580</v>
      </c>
      <c r="O53" s="90" t="s">
        <v>581</v>
      </c>
      <c r="P53" s="90" t="s">
        <v>161</v>
      </c>
      <c r="Q53" s="90"/>
      <c r="R53" s="90"/>
      <c r="S53" s="90"/>
      <c r="T53" s="90"/>
      <c r="U53" s="90" t="s">
        <v>140</v>
      </c>
      <c r="V53" s="90" t="s">
        <v>417</v>
      </c>
      <c r="W53" s="90" t="s">
        <v>142</v>
      </c>
      <c r="X53" s="90" t="s">
        <v>228</v>
      </c>
      <c r="Y53" s="90" t="s">
        <v>166</v>
      </c>
      <c r="Z53" s="90" t="s">
        <v>182</v>
      </c>
      <c r="AA53" s="87">
        <v>45748</v>
      </c>
      <c r="AB53" s="85">
        <v>0.85324074074074074</v>
      </c>
      <c r="AC53" s="85">
        <v>0.83333333333333337</v>
      </c>
      <c r="AD53" s="90" t="s">
        <v>168</v>
      </c>
      <c r="AE53" s="90" t="s">
        <v>174</v>
      </c>
      <c r="AF53" s="93" t="s">
        <v>169</v>
      </c>
      <c r="AG53" s="85">
        <v>0.85324074074074074</v>
      </c>
      <c r="AH53" s="86">
        <v>45748</v>
      </c>
      <c r="AI53" s="90" t="s">
        <v>168</v>
      </c>
      <c r="AJ53" s="90" t="s">
        <v>148</v>
      </c>
      <c r="AK53" s="90" t="s">
        <v>582</v>
      </c>
      <c r="AL53" s="91">
        <v>2025</v>
      </c>
      <c r="AM53" s="91">
        <v>14</v>
      </c>
      <c r="AN53" s="91">
        <v>1</v>
      </c>
      <c r="AO53" s="90" t="s">
        <v>184</v>
      </c>
      <c r="AP53" s="90" t="s">
        <v>151</v>
      </c>
    </row>
    <row r="54" spans="1:42" x14ac:dyDescent="0.25">
      <c r="A54" s="92" t="s">
        <v>583</v>
      </c>
      <c r="B54" s="87">
        <v>45748</v>
      </c>
      <c r="C54" s="89">
        <v>0.5</v>
      </c>
      <c r="D54" s="90" t="s">
        <v>242</v>
      </c>
      <c r="E54" s="90"/>
      <c r="F54" s="90"/>
      <c r="G54" s="90" t="s">
        <v>584</v>
      </c>
      <c r="H54" s="92" t="s">
        <v>288</v>
      </c>
      <c r="I54" s="93">
        <v>5</v>
      </c>
      <c r="J54" s="90" t="s">
        <v>26</v>
      </c>
      <c r="K54" s="91"/>
      <c r="L54" s="91"/>
      <c r="M54" s="90"/>
      <c r="N54" s="90"/>
      <c r="O54" s="90"/>
      <c r="P54" s="90"/>
      <c r="Q54" s="90"/>
      <c r="R54" s="90"/>
      <c r="S54" s="90"/>
      <c r="T54" s="90"/>
      <c r="U54" s="90" t="s">
        <v>162</v>
      </c>
      <c r="V54" s="90" t="s">
        <v>585</v>
      </c>
      <c r="W54" s="90" t="s">
        <v>164</v>
      </c>
      <c r="X54" s="90" t="s">
        <v>488</v>
      </c>
      <c r="Y54" s="90" t="s">
        <v>166</v>
      </c>
      <c r="Z54" s="90" t="s">
        <v>246</v>
      </c>
      <c r="AA54" s="87">
        <v>45748</v>
      </c>
      <c r="AB54" s="85">
        <v>0.5</v>
      </c>
      <c r="AC54" s="85">
        <v>0.5</v>
      </c>
      <c r="AD54" s="90" t="s">
        <v>146</v>
      </c>
      <c r="AE54" s="90" t="s">
        <v>242</v>
      </c>
      <c r="AF54" s="93" t="s">
        <v>169</v>
      </c>
      <c r="AG54" s="85">
        <v>0.5</v>
      </c>
      <c r="AH54" s="86">
        <v>45748</v>
      </c>
      <c r="AI54" s="90" t="s">
        <v>146</v>
      </c>
      <c r="AJ54" s="90" t="s">
        <v>148</v>
      </c>
      <c r="AK54" s="90" t="s">
        <v>582</v>
      </c>
      <c r="AL54" s="91">
        <v>2025</v>
      </c>
      <c r="AM54" s="91">
        <v>14</v>
      </c>
      <c r="AN54" s="91">
        <v>1</v>
      </c>
      <c r="AO54" s="90" t="s">
        <v>586</v>
      </c>
      <c r="AP54" s="90" t="s">
        <v>151</v>
      </c>
    </row>
    <row r="55" spans="1:42" x14ac:dyDescent="0.25">
      <c r="A55" s="92" t="s">
        <v>587</v>
      </c>
      <c r="B55" s="87">
        <v>45749</v>
      </c>
      <c r="C55" s="89">
        <v>0.89930555555555558</v>
      </c>
      <c r="D55" s="90" t="s">
        <v>588</v>
      </c>
      <c r="E55" s="90" t="s">
        <v>136</v>
      </c>
      <c r="F55" s="90" t="s">
        <v>189</v>
      </c>
      <c r="G55" s="90" t="s">
        <v>589</v>
      </c>
      <c r="H55" s="92" t="s">
        <v>138</v>
      </c>
      <c r="I55" s="93">
        <v>8</v>
      </c>
      <c r="J55" s="90" t="s">
        <v>590</v>
      </c>
      <c r="K55" s="91"/>
      <c r="L55" s="91"/>
      <c r="M55" s="90"/>
      <c r="N55" s="90"/>
      <c r="O55" s="90"/>
      <c r="P55" s="90"/>
      <c r="Q55" s="90"/>
      <c r="R55" s="90"/>
      <c r="S55" s="90"/>
      <c r="T55" s="90"/>
      <c r="U55" s="90" t="s">
        <v>162</v>
      </c>
      <c r="V55" s="90" t="s">
        <v>525</v>
      </c>
      <c r="W55" s="90" t="s">
        <v>211</v>
      </c>
      <c r="X55" s="90" t="s">
        <v>143</v>
      </c>
      <c r="Y55" s="90" t="s">
        <v>283</v>
      </c>
      <c r="Z55" s="90"/>
      <c r="AA55" s="87">
        <v>45749</v>
      </c>
      <c r="AB55" s="85">
        <v>0.89930555555555558</v>
      </c>
      <c r="AC55" s="85">
        <v>0.875</v>
      </c>
      <c r="AD55" s="90" t="s">
        <v>168</v>
      </c>
      <c r="AE55" s="90" t="s">
        <v>591</v>
      </c>
      <c r="AF55" s="93" t="s">
        <v>169</v>
      </c>
      <c r="AG55" s="85">
        <v>0.89930555555555558</v>
      </c>
      <c r="AH55" s="86">
        <v>45749</v>
      </c>
      <c r="AI55" s="90" t="s">
        <v>168</v>
      </c>
      <c r="AJ55" s="90" t="s">
        <v>239</v>
      </c>
      <c r="AK55" s="90" t="s">
        <v>582</v>
      </c>
      <c r="AL55" s="91">
        <v>2025</v>
      </c>
      <c r="AM55" s="91">
        <v>14</v>
      </c>
      <c r="AN55" s="91">
        <v>2</v>
      </c>
      <c r="AO55" s="90" t="s">
        <v>592</v>
      </c>
      <c r="AP55" s="90" t="s">
        <v>200</v>
      </c>
    </row>
    <row r="56" spans="1:42" x14ac:dyDescent="0.25">
      <c r="A56" s="92" t="s">
        <v>593</v>
      </c>
      <c r="B56" s="87">
        <v>45755</v>
      </c>
      <c r="C56" s="89">
        <v>3.2638888888888891E-2</v>
      </c>
      <c r="D56" s="90" t="s">
        <v>174</v>
      </c>
      <c r="E56" s="90" t="s">
        <v>219</v>
      </c>
      <c r="F56" s="90" t="s">
        <v>594</v>
      </c>
      <c r="G56" s="90" t="s">
        <v>595</v>
      </c>
      <c r="H56" s="92" t="s">
        <v>553</v>
      </c>
      <c r="I56" s="93">
        <v>7</v>
      </c>
      <c r="J56" s="90" t="s">
        <v>596</v>
      </c>
      <c r="K56" s="91"/>
      <c r="L56" s="91"/>
      <c r="M56" s="90" t="s">
        <v>597</v>
      </c>
      <c r="N56" s="90" t="s">
        <v>452</v>
      </c>
      <c r="O56" s="90" t="s">
        <v>598</v>
      </c>
      <c r="P56" s="90" t="s">
        <v>161</v>
      </c>
      <c r="Q56" s="90"/>
      <c r="R56" s="90"/>
      <c r="S56" s="90"/>
      <c r="T56" s="90"/>
      <c r="U56" s="90" t="s">
        <v>599</v>
      </c>
      <c r="V56" s="90" t="s">
        <v>255</v>
      </c>
      <c r="W56" s="90" t="s">
        <v>256</v>
      </c>
      <c r="X56" s="90" t="s">
        <v>310</v>
      </c>
      <c r="Y56" s="90" t="s">
        <v>166</v>
      </c>
      <c r="Z56" s="90" t="s">
        <v>182</v>
      </c>
      <c r="AA56" s="87">
        <v>45755</v>
      </c>
      <c r="AB56" s="85">
        <v>3.2638888888888891E-2</v>
      </c>
      <c r="AC56" s="85">
        <v>0</v>
      </c>
      <c r="AD56" s="90" t="s">
        <v>343</v>
      </c>
      <c r="AE56" s="90" t="s">
        <v>600</v>
      </c>
      <c r="AF56" s="93" t="s">
        <v>169</v>
      </c>
      <c r="AG56" s="85">
        <v>3.2638888888888891E-2</v>
      </c>
      <c r="AH56" s="86">
        <v>45755</v>
      </c>
      <c r="AI56" s="90" t="s">
        <v>343</v>
      </c>
      <c r="AJ56" s="90" t="s">
        <v>148</v>
      </c>
      <c r="AK56" s="90" t="s">
        <v>582</v>
      </c>
      <c r="AL56" s="91">
        <v>2025</v>
      </c>
      <c r="AM56" s="91">
        <v>15</v>
      </c>
      <c r="AN56" s="91">
        <v>8</v>
      </c>
      <c r="AO56" s="90" t="s">
        <v>601</v>
      </c>
      <c r="AP56" s="90" t="s">
        <v>231</v>
      </c>
    </row>
    <row r="57" spans="1:42" x14ac:dyDescent="0.25">
      <c r="A57" s="92" t="s">
        <v>602</v>
      </c>
      <c r="B57" s="87">
        <v>45755</v>
      </c>
      <c r="C57" s="89">
        <v>0.5</v>
      </c>
      <c r="D57" s="90" t="s">
        <v>242</v>
      </c>
      <c r="E57" s="90"/>
      <c r="F57" s="90"/>
      <c r="G57" s="90" t="s">
        <v>603</v>
      </c>
      <c r="H57" s="92" t="s">
        <v>288</v>
      </c>
      <c r="I57" s="93">
        <v>5</v>
      </c>
      <c r="J57" s="90" t="s">
        <v>29</v>
      </c>
      <c r="K57" s="91"/>
      <c r="L57" s="91"/>
      <c r="M57" s="90"/>
      <c r="N57" s="90"/>
      <c r="O57" s="90"/>
      <c r="P57" s="90"/>
      <c r="Q57" s="90"/>
      <c r="R57" s="90"/>
      <c r="S57" s="90"/>
      <c r="T57" s="90"/>
      <c r="U57" s="90" t="s">
        <v>281</v>
      </c>
      <c r="V57" s="90" t="s">
        <v>530</v>
      </c>
      <c r="W57" s="90" t="s">
        <v>384</v>
      </c>
      <c r="X57" s="90" t="s">
        <v>310</v>
      </c>
      <c r="Y57" s="90" t="s">
        <v>166</v>
      </c>
      <c r="Z57" s="90" t="s">
        <v>246</v>
      </c>
      <c r="AA57" s="87">
        <v>45755</v>
      </c>
      <c r="AB57" s="85">
        <v>0.5</v>
      </c>
      <c r="AC57" s="85">
        <v>0.5</v>
      </c>
      <c r="AD57" s="90" t="s">
        <v>146</v>
      </c>
      <c r="AE57" s="90" t="s">
        <v>242</v>
      </c>
      <c r="AF57" s="93" t="s">
        <v>169</v>
      </c>
      <c r="AG57" s="85">
        <v>0.5</v>
      </c>
      <c r="AH57" s="86">
        <v>45755</v>
      </c>
      <c r="AI57" s="90" t="s">
        <v>146</v>
      </c>
      <c r="AJ57" s="90" t="s">
        <v>148</v>
      </c>
      <c r="AK57" s="90" t="s">
        <v>582</v>
      </c>
      <c r="AL57" s="91">
        <v>2025</v>
      </c>
      <c r="AM57" s="91">
        <v>15</v>
      </c>
      <c r="AN57" s="91">
        <v>8</v>
      </c>
      <c r="AO57" s="90" t="s">
        <v>352</v>
      </c>
      <c r="AP57" s="90" t="s">
        <v>151</v>
      </c>
    </row>
    <row r="58" spans="1:42" x14ac:dyDescent="0.25">
      <c r="A58" s="92" t="s">
        <v>604</v>
      </c>
      <c r="B58" s="87">
        <v>45755</v>
      </c>
      <c r="C58" s="89">
        <v>0.20833333333333334</v>
      </c>
      <c r="D58" s="90" t="s">
        <v>174</v>
      </c>
      <c r="E58" s="90"/>
      <c r="F58" s="90"/>
      <c r="G58" s="90" t="s">
        <v>605</v>
      </c>
      <c r="H58" s="92" t="s">
        <v>270</v>
      </c>
      <c r="I58" s="93">
        <v>5</v>
      </c>
      <c r="J58" s="90" t="s">
        <v>606</v>
      </c>
      <c r="K58" s="91"/>
      <c r="L58" s="91"/>
      <c r="M58" s="90" t="s">
        <v>607</v>
      </c>
      <c r="N58" s="90" t="s">
        <v>608</v>
      </c>
      <c r="O58" s="90" t="s">
        <v>609</v>
      </c>
      <c r="P58" s="90" t="s">
        <v>161</v>
      </c>
      <c r="Q58" s="90"/>
      <c r="R58" s="90"/>
      <c r="S58" s="90"/>
      <c r="T58" s="90"/>
      <c r="U58" s="90" t="s">
        <v>610</v>
      </c>
      <c r="V58" s="90" t="s">
        <v>585</v>
      </c>
      <c r="W58" s="90" t="s">
        <v>164</v>
      </c>
      <c r="X58" s="90" t="s">
        <v>180</v>
      </c>
      <c r="Y58" s="90" t="s">
        <v>166</v>
      </c>
      <c r="Z58" s="90" t="s">
        <v>182</v>
      </c>
      <c r="AA58" s="87">
        <v>45755</v>
      </c>
      <c r="AB58" s="85">
        <v>0.20833333333333334</v>
      </c>
      <c r="AC58" s="85">
        <v>0.20833333333333334</v>
      </c>
      <c r="AD58" s="90" t="s">
        <v>385</v>
      </c>
      <c r="AE58" s="90" t="s">
        <v>174</v>
      </c>
      <c r="AF58" s="93" t="s">
        <v>169</v>
      </c>
      <c r="AG58" s="85">
        <v>0.20833333333333334</v>
      </c>
      <c r="AH58" s="86">
        <v>45755</v>
      </c>
      <c r="AI58" s="90" t="s">
        <v>385</v>
      </c>
      <c r="AJ58" s="90" t="s">
        <v>148</v>
      </c>
      <c r="AK58" s="90" t="s">
        <v>582</v>
      </c>
      <c r="AL58" s="91">
        <v>2025</v>
      </c>
      <c r="AM58" s="91">
        <v>15</v>
      </c>
      <c r="AN58" s="91">
        <v>8</v>
      </c>
      <c r="AO58" s="90" t="s">
        <v>611</v>
      </c>
      <c r="AP58" s="90" t="s">
        <v>151</v>
      </c>
    </row>
    <row r="59" spans="1:42" x14ac:dyDescent="0.25">
      <c r="A59" s="92" t="s">
        <v>612</v>
      </c>
      <c r="B59" s="87">
        <v>45756</v>
      </c>
      <c r="C59" s="89">
        <v>0.96527777777777779</v>
      </c>
      <c r="D59" s="90" t="s">
        <v>174</v>
      </c>
      <c r="E59" s="90"/>
      <c r="F59" s="90"/>
      <c r="G59" s="90" t="s">
        <v>613</v>
      </c>
      <c r="H59" s="92" t="s">
        <v>325</v>
      </c>
      <c r="I59" s="93">
        <v>8</v>
      </c>
      <c r="J59" s="90" t="s">
        <v>614</v>
      </c>
      <c r="K59" s="91"/>
      <c r="L59" s="91"/>
      <c r="M59" s="90" t="s">
        <v>615</v>
      </c>
      <c r="N59" s="90" t="s">
        <v>503</v>
      </c>
      <c r="O59" s="90" t="s">
        <v>616</v>
      </c>
      <c r="P59" s="90" t="s">
        <v>161</v>
      </c>
      <c r="Q59" s="90"/>
      <c r="R59" s="90"/>
      <c r="S59" s="90"/>
      <c r="T59" s="90"/>
      <c r="U59" s="90" t="s">
        <v>281</v>
      </c>
      <c r="V59" s="90" t="s">
        <v>265</v>
      </c>
      <c r="W59" s="90" t="s">
        <v>164</v>
      </c>
      <c r="X59" s="90" t="s">
        <v>488</v>
      </c>
      <c r="Y59" s="90" t="s">
        <v>166</v>
      </c>
      <c r="Z59" s="90" t="s">
        <v>182</v>
      </c>
      <c r="AA59" s="87">
        <v>45756</v>
      </c>
      <c r="AB59" s="85">
        <v>0.96527777777777779</v>
      </c>
      <c r="AC59" s="85">
        <v>0.95833333333333337</v>
      </c>
      <c r="AD59" s="90" t="s">
        <v>168</v>
      </c>
      <c r="AE59" s="90" t="s">
        <v>174</v>
      </c>
      <c r="AF59" s="93" t="s">
        <v>169</v>
      </c>
      <c r="AG59" s="85">
        <v>0.96527777777777779</v>
      </c>
      <c r="AH59" s="86">
        <v>45756</v>
      </c>
      <c r="AI59" s="90" t="s">
        <v>168</v>
      </c>
      <c r="AJ59" s="90" t="s">
        <v>239</v>
      </c>
      <c r="AK59" s="90" t="s">
        <v>582</v>
      </c>
      <c r="AL59" s="91">
        <v>2025</v>
      </c>
      <c r="AM59" s="91">
        <v>15</v>
      </c>
      <c r="AN59" s="91">
        <v>9</v>
      </c>
      <c r="AO59" s="90" t="s">
        <v>617</v>
      </c>
      <c r="AP59" s="90" t="s">
        <v>151</v>
      </c>
    </row>
    <row r="60" spans="1:42" x14ac:dyDescent="0.25">
      <c r="A60" s="92" t="s">
        <v>618</v>
      </c>
      <c r="B60" s="87"/>
      <c r="C60" s="89"/>
      <c r="D60" s="90" t="s">
        <v>174</v>
      </c>
      <c r="E60" s="90" t="s">
        <v>619</v>
      </c>
      <c r="F60" s="90"/>
      <c r="G60" s="90" t="s">
        <v>620</v>
      </c>
      <c r="H60" s="92" t="s">
        <v>191</v>
      </c>
      <c r="I60" s="93">
        <v>7</v>
      </c>
      <c r="J60" s="90" t="s">
        <v>621</v>
      </c>
      <c r="K60" s="91"/>
      <c r="L60" s="91"/>
      <c r="M60" s="90" t="s">
        <v>622</v>
      </c>
      <c r="N60" s="90" t="s">
        <v>159</v>
      </c>
      <c r="O60" s="90" t="s">
        <v>160</v>
      </c>
      <c r="P60" s="90" t="s">
        <v>161</v>
      </c>
      <c r="Q60" s="90" t="s">
        <v>623</v>
      </c>
      <c r="R60" s="90" t="s">
        <v>161</v>
      </c>
      <c r="S60" s="90" t="s">
        <v>341</v>
      </c>
      <c r="T60" s="90" t="s">
        <v>624</v>
      </c>
      <c r="U60" s="90" t="s">
        <v>162</v>
      </c>
      <c r="V60" s="90" t="s">
        <v>625</v>
      </c>
      <c r="W60" s="90" t="s">
        <v>328</v>
      </c>
      <c r="X60" s="90" t="s">
        <v>228</v>
      </c>
      <c r="Y60" s="90" t="s">
        <v>144</v>
      </c>
      <c r="Z60" s="90" t="s">
        <v>182</v>
      </c>
      <c r="AA60" s="87">
        <v>45760</v>
      </c>
      <c r="AB60" s="85">
        <v>0.6875</v>
      </c>
      <c r="AC60" s="85">
        <v>0.66666666666666663</v>
      </c>
      <c r="AD60" s="90" t="s">
        <v>266</v>
      </c>
      <c r="AE60" s="90" t="s">
        <v>626</v>
      </c>
      <c r="AF60" s="93" t="s">
        <v>169</v>
      </c>
      <c r="AG60" s="85">
        <v>0.6875</v>
      </c>
      <c r="AH60" s="86">
        <v>45760</v>
      </c>
      <c r="AI60" s="90" t="s">
        <v>266</v>
      </c>
      <c r="AJ60" s="90" t="s">
        <v>311</v>
      </c>
      <c r="AK60" s="90" t="s">
        <v>582</v>
      </c>
      <c r="AL60" s="91">
        <v>2025</v>
      </c>
      <c r="AM60" s="91">
        <v>16</v>
      </c>
      <c r="AN60" s="91">
        <v>13</v>
      </c>
      <c r="AO60" s="90" t="s">
        <v>627</v>
      </c>
      <c r="AP60" s="90" t="s">
        <v>151</v>
      </c>
    </row>
    <row r="61" spans="1:42" x14ac:dyDescent="0.25">
      <c r="A61" s="92" t="s">
        <v>628</v>
      </c>
      <c r="B61" s="87">
        <v>45760</v>
      </c>
      <c r="C61" s="89">
        <v>0.78115740740740736</v>
      </c>
      <c r="D61" s="90" t="s">
        <v>242</v>
      </c>
      <c r="E61" s="90" t="s">
        <v>629</v>
      </c>
      <c r="F61" s="90" t="s">
        <v>556</v>
      </c>
      <c r="G61" s="90" t="s">
        <v>630</v>
      </c>
      <c r="H61" s="92" t="s">
        <v>414</v>
      </c>
      <c r="I61" s="93">
        <v>7</v>
      </c>
      <c r="J61" s="90" t="s">
        <v>34</v>
      </c>
      <c r="K61" s="91"/>
      <c r="L61" s="91"/>
      <c r="M61" s="90"/>
      <c r="N61" s="90"/>
      <c r="O61" s="90"/>
      <c r="P61" s="90"/>
      <c r="Q61" s="90"/>
      <c r="R61" s="90"/>
      <c r="S61" s="90"/>
      <c r="T61" s="90"/>
      <c r="U61" s="90" t="s">
        <v>162</v>
      </c>
      <c r="V61" s="90" t="s">
        <v>291</v>
      </c>
      <c r="W61" s="90" t="s">
        <v>256</v>
      </c>
      <c r="X61" s="90" t="s">
        <v>228</v>
      </c>
      <c r="Y61" s="90" t="s">
        <v>144</v>
      </c>
      <c r="Z61" s="90" t="s">
        <v>246</v>
      </c>
      <c r="AA61" s="87">
        <v>45760</v>
      </c>
      <c r="AB61" s="85">
        <v>0.78115740740740736</v>
      </c>
      <c r="AC61" s="85">
        <v>0.75</v>
      </c>
      <c r="AD61" s="90" t="s">
        <v>266</v>
      </c>
      <c r="AE61" s="90" t="s">
        <v>631</v>
      </c>
      <c r="AF61" s="93" t="s">
        <v>169</v>
      </c>
      <c r="AG61" s="85">
        <v>0.78115740740740736</v>
      </c>
      <c r="AH61" s="86">
        <v>45760</v>
      </c>
      <c r="AI61" s="90" t="s">
        <v>266</v>
      </c>
      <c r="AJ61" s="90" t="s">
        <v>311</v>
      </c>
      <c r="AK61" s="90" t="s">
        <v>582</v>
      </c>
      <c r="AL61" s="91">
        <v>2025</v>
      </c>
      <c r="AM61" s="91">
        <v>16</v>
      </c>
      <c r="AN61" s="91">
        <v>13</v>
      </c>
      <c r="AO61" s="90" t="s">
        <v>184</v>
      </c>
      <c r="AP61" s="90" t="s">
        <v>151</v>
      </c>
    </row>
    <row r="62" spans="1:42" x14ac:dyDescent="0.25">
      <c r="A62" s="92" t="s">
        <v>632</v>
      </c>
      <c r="B62" s="87">
        <v>45761</v>
      </c>
      <c r="C62" s="89">
        <v>0.95833333333333337</v>
      </c>
      <c r="D62" s="90" t="s">
        <v>242</v>
      </c>
      <c r="E62" s="90" t="s">
        <v>295</v>
      </c>
      <c r="F62" s="90" t="s">
        <v>556</v>
      </c>
      <c r="G62" s="90" t="s">
        <v>633</v>
      </c>
      <c r="H62" s="92" t="s">
        <v>138</v>
      </c>
      <c r="I62" s="93">
        <v>8</v>
      </c>
      <c r="J62" s="90" t="s">
        <v>634</v>
      </c>
      <c r="K62" s="91"/>
      <c r="L62" s="91"/>
      <c r="M62" s="90"/>
      <c r="N62" s="90"/>
      <c r="O62" s="90"/>
      <c r="P62" s="90"/>
      <c r="Q62" s="90"/>
      <c r="R62" s="90"/>
      <c r="S62" s="90"/>
      <c r="T62" s="90"/>
      <c r="U62" s="90" t="s">
        <v>599</v>
      </c>
      <c r="V62" s="90" t="s">
        <v>635</v>
      </c>
      <c r="W62" s="90" t="s">
        <v>542</v>
      </c>
      <c r="X62" s="90" t="s">
        <v>228</v>
      </c>
      <c r="Y62" s="90" t="s">
        <v>320</v>
      </c>
      <c r="Z62" s="90" t="s">
        <v>246</v>
      </c>
      <c r="AA62" s="87">
        <v>45761</v>
      </c>
      <c r="AB62" s="85">
        <v>0.95833333333333337</v>
      </c>
      <c r="AC62" s="85">
        <v>0.95833333333333337</v>
      </c>
      <c r="AD62" s="90" t="s">
        <v>168</v>
      </c>
      <c r="AE62" s="90" t="s">
        <v>636</v>
      </c>
      <c r="AF62" s="93" t="s">
        <v>169</v>
      </c>
      <c r="AG62" s="85">
        <v>0.95833333333333337</v>
      </c>
      <c r="AH62" s="86">
        <v>45761</v>
      </c>
      <c r="AI62" s="90" t="s">
        <v>168</v>
      </c>
      <c r="AJ62" s="90" t="s">
        <v>183</v>
      </c>
      <c r="AK62" s="90" t="s">
        <v>582</v>
      </c>
      <c r="AL62" s="91">
        <v>2025</v>
      </c>
      <c r="AM62" s="91">
        <v>16</v>
      </c>
      <c r="AN62" s="91">
        <v>14</v>
      </c>
      <c r="AO62" s="90" t="s">
        <v>150</v>
      </c>
      <c r="AP62" s="90" t="s">
        <v>151</v>
      </c>
    </row>
    <row r="63" spans="1:42" x14ac:dyDescent="0.25">
      <c r="A63" s="92" t="s">
        <v>637</v>
      </c>
      <c r="B63" s="87">
        <v>45763</v>
      </c>
      <c r="C63" s="89">
        <v>0.25</v>
      </c>
      <c r="D63" s="90" t="s">
        <v>242</v>
      </c>
      <c r="E63" s="90"/>
      <c r="F63" s="90"/>
      <c r="G63" s="90" t="s">
        <v>638</v>
      </c>
      <c r="H63" s="92" t="s">
        <v>414</v>
      </c>
      <c r="I63" s="93">
        <v>7</v>
      </c>
      <c r="J63" s="90" t="s">
        <v>639</v>
      </c>
      <c r="K63" s="91"/>
      <c r="L63" s="91"/>
      <c r="M63" s="90"/>
      <c r="N63" s="90"/>
      <c r="O63" s="90"/>
      <c r="P63" s="90"/>
      <c r="Q63" s="90"/>
      <c r="R63" s="90"/>
      <c r="S63" s="90"/>
      <c r="T63" s="90"/>
      <c r="U63" s="90" t="s">
        <v>480</v>
      </c>
      <c r="V63" s="90" t="s">
        <v>327</v>
      </c>
      <c r="W63" s="90" t="s">
        <v>328</v>
      </c>
      <c r="X63" s="90" t="s">
        <v>275</v>
      </c>
      <c r="Y63" s="90" t="s">
        <v>166</v>
      </c>
      <c r="Z63" s="90" t="s">
        <v>246</v>
      </c>
      <c r="AA63" s="87">
        <v>45763</v>
      </c>
      <c r="AB63" s="85">
        <v>0.25</v>
      </c>
      <c r="AC63" s="85">
        <v>0.25</v>
      </c>
      <c r="AD63" s="90" t="s">
        <v>385</v>
      </c>
      <c r="AE63" s="90" t="s">
        <v>242</v>
      </c>
      <c r="AF63" s="93" t="s">
        <v>169</v>
      </c>
      <c r="AG63" s="85">
        <v>0.25</v>
      </c>
      <c r="AH63" s="86">
        <v>45763</v>
      </c>
      <c r="AI63" s="90" t="s">
        <v>385</v>
      </c>
      <c r="AJ63" s="90" t="s">
        <v>239</v>
      </c>
      <c r="AK63" s="90" t="s">
        <v>582</v>
      </c>
      <c r="AL63" s="91">
        <v>2025</v>
      </c>
      <c r="AM63" s="91">
        <v>16</v>
      </c>
      <c r="AN63" s="91">
        <v>16</v>
      </c>
      <c r="AO63" s="90" t="s">
        <v>640</v>
      </c>
      <c r="AP63" s="90" t="s">
        <v>151</v>
      </c>
    </row>
    <row r="64" spans="1:42" x14ac:dyDescent="0.25">
      <c r="A64" s="92" t="s">
        <v>641</v>
      </c>
      <c r="B64" s="87">
        <v>45765</v>
      </c>
      <c r="C64" s="89">
        <v>0.85416666666666663</v>
      </c>
      <c r="D64" s="90" t="s">
        <v>206</v>
      </c>
      <c r="E64" s="90" t="s">
        <v>642</v>
      </c>
      <c r="F64" s="90" t="s">
        <v>387</v>
      </c>
      <c r="G64" s="90" t="s">
        <v>643</v>
      </c>
      <c r="H64" s="92" t="s">
        <v>644</v>
      </c>
      <c r="I64" s="93">
        <v>7</v>
      </c>
      <c r="J64" s="90" t="s">
        <v>645</v>
      </c>
      <c r="K64" s="91"/>
      <c r="L64" s="91"/>
      <c r="M64" s="90"/>
      <c r="N64" s="90"/>
      <c r="O64" s="90"/>
      <c r="P64" s="90"/>
      <c r="Q64" s="90"/>
      <c r="R64" s="90"/>
      <c r="S64" s="90"/>
      <c r="T64" s="90"/>
      <c r="U64" s="90" t="s">
        <v>480</v>
      </c>
      <c r="V64" s="90" t="s">
        <v>646</v>
      </c>
      <c r="W64" s="90" t="s">
        <v>328</v>
      </c>
      <c r="X64" s="90" t="s">
        <v>534</v>
      </c>
      <c r="Y64" s="90" t="s">
        <v>301</v>
      </c>
      <c r="Z64" s="90" t="s">
        <v>213</v>
      </c>
      <c r="AA64" s="87">
        <v>45765</v>
      </c>
      <c r="AB64" s="85">
        <v>0.85416666666666663</v>
      </c>
      <c r="AC64" s="85">
        <v>0.83333333333333337</v>
      </c>
      <c r="AD64" s="90" t="s">
        <v>168</v>
      </c>
      <c r="AE64" s="90" t="s">
        <v>647</v>
      </c>
      <c r="AF64" s="93" t="s">
        <v>169</v>
      </c>
      <c r="AG64" s="85">
        <v>0.85416666666666663</v>
      </c>
      <c r="AH64" s="86">
        <v>45765</v>
      </c>
      <c r="AI64" s="90" t="s">
        <v>168</v>
      </c>
      <c r="AJ64" s="90" t="s">
        <v>170</v>
      </c>
      <c r="AK64" s="90" t="s">
        <v>582</v>
      </c>
      <c r="AL64" s="91">
        <v>2025</v>
      </c>
      <c r="AM64" s="91">
        <v>16</v>
      </c>
      <c r="AN64" s="91">
        <v>18</v>
      </c>
      <c r="AO64" s="90" t="s">
        <v>648</v>
      </c>
      <c r="AP64" s="90" t="s">
        <v>397</v>
      </c>
    </row>
    <row r="65" spans="1:42" x14ac:dyDescent="0.25">
      <c r="A65" s="92" t="s">
        <v>649</v>
      </c>
      <c r="B65" s="87">
        <v>45766</v>
      </c>
      <c r="C65" s="89">
        <v>0.58333333333333337</v>
      </c>
      <c r="D65" s="90" t="s">
        <v>174</v>
      </c>
      <c r="E65" s="90" t="s">
        <v>295</v>
      </c>
      <c r="F65" s="90"/>
      <c r="G65" s="90" t="s">
        <v>650</v>
      </c>
      <c r="H65" s="92" t="s">
        <v>358</v>
      </c>
      <c r="I65" s="93">
        <v>8</v>
      </c>
      <c r="J65" s="90" t="s">
        <v>651</v>
      </c>
      <c r="K65" s="91"/>
      <c r="L65" s="91"/>
      <c r="M65" s="90" t="s">
        <v>652</v>
      </c>
      <c r="N65" s="90" t="s">
        <v>341</v>
      </c>
      <c r="O65" s="90" t="s">
        <v>653</v>
      </c>
      <c r="P65" s="90" t="s">
        <v>161</v>
      </c>
      <c r="Q65" s="90" t="s">
        <v>654</v>
      </c>
      <c r="R65" s="90" t="s">
        <v>161</v>
      </c>
      <c r="S65" s="90" t="s">
        <v>655</v>
      </c>
      <c r="T65" s="90" t="s">
        <v>656</v>
      </c>
      <c r="U65" s="90" t="s">
        <v>657</v>
      </c>
      <c r="V65" s="90" t="s">
        <v>530</v>
      </c>
      <c r="W65" s="90" t="s">
        <v>384</v>
      </c>
      <c r="X65" s="90" t="s">
        <v>488</v>
      </c>
      <c r="Y65" s="90" t="s">
        <v>166</v>
      </c>
      <c r="Z65" s="90" t="s">
        <v>182</v>
      </c>
      <c r="AA65" s="87">
        <v>45766</v>
      </c>
      <c r="AB65" s="85">
        <v>0.58333333333333337</v>
      </c>
      <c r="AC65" s="85">
        <v>0.58333333333333337</v>
      </c>
      <c r="AD65" s="90" t="s">
        <v>146</v>
      </c>
      <c r="AE65" s="90" t="s">
        <v>302</v>
      </c>
      <c r="AF65" s="93" t="s">
        <v>169</v>
      </c>
      <c r="AG65" s="85">
        <v>0.58333333333333337</v>
      </c>
      <c r="AH65" s="86">
        <v>45766</v>
      </c>
      <c r="AI65" s="90" t="s">
        <v>146</v>
      </c>
      <c r="AJ65" s="90" t="s">
        <v>292</v>
      </c>
      <c r="AK65" s="90" t="s">
        <v>582</v>
      </c>
      <c r="AL65" s="91">
        <v>2025</v>
      </c>
      <c r="AM65" s="91">
        <v>16</v>
      </c>
      <c r="AN65" s="91">
        <v>19</v>
      </c>
      <c r="AO65" s="90" t="s">
        <v>658</v>
      </c>
      <c r="AP65" s="90" t="s">
        <v>151</v>
      </c>
    </row>
    <row r="66" spans="1:42" x14ac:dyDescent="0.25">
      <c r="A66" s="92" t="s">
        <v>659</v>
      </c>
      <c r="B66" s="87">
        <v>45767</v>
      </c>
      <c r="C66" s="89">
        <v>0.14861111111111111</v>
      </c>
      <c r="D66" s="90" t="s">
        <v>367</v>
      </c>
      <c r="E66" s="90"/>
      <c r="F66" s="90"/>
      <c r="G66" s="90" t="s">
        <v>660</v>
      </c>
      <c r="H66" s="92" t="s">
        <v>516</v>
      </c>
      <c r="I66" s="93">
        <v>9</v>
      </c>
      <c r="J66" s="90" t="s">
        <v>661</v>
      </c>
      <c r="K66" s="91"/>
      <c r="L66" s="91"/>
      <c r="M66" s="90"/>
      <c r="N66" s="90"/>
      <c r="O66" s="90"/>
      <c r="P66" s="90"/>
      <c r="Q66" s="90"/>
      <c r="R66" s="90"/>
      <c r="S66" s="90"/>
      <c r="T66" s="90"/>
      <c r="U66" s="90" t="s">
        <v>610</v>
      </c>
      <c r="V66" s="90" t="s">
        <v>530</v>
      </c>
      <c r="W66" s="90" t="s">
        <v>384</v>
      </c>
      <c r="X66" s="90" t="s">
        <v>310</v>
      </c>
      <c r="Y66" s="90" t="s">
        <v>166</v>
      </c>
      <c r="Z66" s="90" t="s">
        <v>246</v>
      </c>
      <c r="AA66" s="87">
        <v>45767</v>
      </c>
      <c r="AB66" s="85">
        <v>0.14861111111111111</v>
      </c>
      <c r="AC66" s="85">
        <v>0.125</v>
      </c>
      <c r="AD66" s="90" t="s">
        <v>343</v>
      </c>
      <c r="AE66" s="90" t="s">
        <v>367</v>
      </c>
      <c r="AF66" s="93" t="s">
        <v>169</v>
      </c>
      <c r="AG66" s="85">
        <v>0.14861111111111111</v>
      </c>
      <c r="AH66" s="86">
        <v>45767</v>
      </c>
      <c r="AI66" s="90" t="s">
        <v>343</v>
      </c>
      <c r="AJ66" s="90" t="s">
        <v>311</v>
      </c>
      <c r="AK66" s="90" t="s">
        <v>582</v>
      </c>
      <c r="AL66" s="91">
        <v>2025</v>
      </c>
      <c r="AM66" s="91">
        <v>17</v>
      </c>
      <c r="AN66" s="91">
        <v>20</v>
      </c>
      <c r="AO66" s="90" t="s">
        <v>662</v>
      </c>
      <c r="AP66" s="90" t="s">
        <v>151</v>
      </c>
    </row>
    <row r="67" spans="1:42" x14ac:dyDescent="0.25">
      <c r="A67" s="92" t="s">
        <v>663</v>
      </c>
      <c r="B67" s="87"/>
      <c r="C67" s="89"/>
      <c r="D67" s="90" t="s">
        <v>242</v>
      </c>
      <c r="E67" s="90"/>
      <c r="F67" s="90"/>
      <c r="G67" s="90" t="s">
        <v>664</v>
      </c>
      <c r="H67" s="92" t="s">
        <v>414</v>
      </c>
      <c r="I67" s="93">
        <v>7</v>
      </c>
      <c r="J67" s="90" t="s">
        <v>665</v>
      </c>
      <c r="K67" s="91"/>
      <c r="L67" s="91"/>
      <c r="M67" s="90"/>
      <c r="N67" s="90"/>
      <c r="O67" s="90"/>
      <c r="P67" s="90"/>
      <c r="Q67" s="90"/>
      <c r="R67" s="90"/>
      <c r="S67" s="90"/>
      <c r="T67" s="90"/>
      <c r="U67" s="90" t="s">
        <v>610</v>
      </c>
      <c r="V67" s="90" t="s">
        <v>585</v>
      </c>
      <c r="W67" s="90" t="s">
        <v>164</v>
      </c>
      <c r="X67" s="90" t="s">
        <v>534</v>
      </c>
      <c r="Y67" s="90" t="s">
        <v>301</v>
      </c>
      <c r="Z67" s="90" t="s">
        <v>246</v>
      </c>
      <c r="AA67" s="87">
        <v>45768</v>
      </c>
      <c r="AB67" s="85">
        <v>0.40254629629629629</v>
      </c>
      <c r="AC67" s="85">
        <v>0.375</v>
      </c>
      <c r="AD67" s="90" t="s">
        <v>276</v>
      </c>
      <c r="AE67" s="90" t="s">
        <v>242</v>
      </c>
      <c r="AF67" s="93" t="s">
        <v>169</v>
      </c>
      <c r="AG67" s="85">
        <v>0.40254629629629629</v>
      </c>
      <c r="AH67" s="86">
        <v>45768</v>
      </c>
      <c r="AI67" s="90" t="s">
        <v>276</v>
      </c>
      <c r="AJ67" s="90" t="s">
        <v>183</v>
      </c>
      <c r="AK67" s="90" t="s">
        <v>582</v>
      </c>
      <c r="AL67" s="91">
        <v>2025</v>
      </c>
      <c r="AM67" s="91">
        <v>17</v>
      </c>
      <c r="AN67" s="91">
        <v>21</v>
      </c>
      <c r="AO67" s="90" t="s">
        <v>666</v>
      </c>
      <c r="AP67" s="90" t="s">
        <v>151</v>
      </c>
    </row>
    <row r="68" spans="1:42" x14ac:dyDescent="0.25">
      <c r="A68" s="92" t="s">
        <v>667</v>
      </c>
      <c r="B68" s="87">
        <v>45771</v>
      </c>
      <c r="C68" s="89">
        <v>0.45277777777777778</v>
      </c>
      <c r="D68" s="90" t="s">
        <v>423</v>
      </c>
      <c r="E68" s="90" t="s">
        <v>188</v>
      </c>
      <c r="F68" s="90" t="s">
        <v>189</v>
      </c>
      <c r="G68" s="90" t="s">
        <v>190</v>
      </c>
      <c r="H68" s="92" t="s">
        <v>191</v>
      </c>
      <c r="I68" s="93">
        <v>7</v>
      </c>
      <c r="J68" s="90" t="s">
        <v>668</v>
      </c>
      <c r="K68" s="91"/>
      <c r="L68" s="91"/>
      <c r="M68" s="90"/>
      <c r="N68" s="90"/>
      <c r="O68" s="90"/>
      <c r="P68" s="90"/>
      <c r="Q68" s="90"/>
      <c r="R68" s="90"/>
      <c r="S68" s="90"/>
      <c r="T68" s="90"/>
      <c r="U68" s="90" t="s">
        <v>193</v>
      </c>
      <c r="V68" s="90" t="s">
        <v>194</v>
      </c>
      <c r="W68" s="90" t="s">
        <v>195</v>
      </c>
      <c r="X68" s="90" t="s">
        <v>194</v>
      </c>
      <c r="Y68" s="90" t="s">
        <v>320</v>
      </c>
      <c r="Z68" s="90" t="s">
        <v>197</v>
      </c>
      <c r="AA68" s="87">
        <v>45771</v>
      </c>
      <c r="AB68" s="85">
        <v>0.45277777777777778</v>
      </c>
      <c r="AC68" s="85">
        <v>0.41666666666666669</v>
      </c>
      <c r="AD68" s="90" t="s">
        <v>276</v>
      </c>
      <c r="AE68" s="90" t="s">
        <v>669</v>
      </c>
      <c r="AF68" s="93" t="s">
        <v>169</v>
      </c>
      <c r="AG68" s="85">
        <v>0.45277777777777778</v>
      </c>
      <c r="AH68" s="86">
        <v>45771</v>
      </c>
      <c r="AI68" s="90" t="s">
        <v>276</v>
      </c>
      <c r="AJ68" s="90" t="s">
        <v>247</v>
      </c>
      <c r="AK68" s="90" t="s">
        <v>582</v>
      </c>
      <c r="AL68" s="91">
        <v>2025</v>
      </c>
      <c r="AM68" s="91">
        <v>17</v>
      </c>
      <c r="AN68" s="91">
        <v>24</v>
      </c>
      <c r="AO68" s="90" t="s">
        <v>199</v>
      </c>
      <c r="AP68" s="90" t="s">
        <v>200</v>
      </c>
    </row>
    <row r="69" spans="1:42" x14ac:dyDescent="0.25">
      <c r="A69" s="92" t="s">
        <v>670</v>
      </c>
      <c r="B69" s="87">
        <v>45772</v>
      </c>
      <c r="C69" s="89">
        <v>0.5</v>
      </c>
      <c r="D69" s="90" t="s">
        <v>154</v>
      </c>
      <c r="E69" s="90"/>
      <c r="F69" s="90"/>
      <c r="G69" s="90" t="s">
        <v>671</v>
      </c>
      <c r="H69" s="92" t="s">
        <v>156</v>
      </c>
      <c r="I69" s="93">
        <v>9</v>
      </c>
      <c r="J69" s="90" t="s">
        <v>672</v>
      </c>
      <c r="K69" s="91"/>
      <c r="L69" s="91"/>
      <c r="M69" s="90" t="s">
        <v>673</v>
      </c>
      <c r="N69" s="90" t="s">
        <v>674</v>
      </c>
      <c r="O69" s="90" t="s">
        <v>675</v>
      </c>
      <c r="P69" s="90" t="s">
        <v>161</v>
      </c>
      <c r="Q69" s="90"/>
      <c r="R69" s="90"/>
      <c r="S69" s="90"/>
      <c r="T69" s="90"/>
      <c r="U69" s="90" t="s">
        <v>162</v>
      </c>
      <c r="V69" s="90" t="s">
        <v>530</v>
      </c>
      <c r="W69" s="90" t="s">
        <v>384</v>
      </c>
      <c r="X69" s="90" t="s">
        <v>350</v>
      </c>
      <c r="Y69" s="90" t="s">
        <v>320</v>
      </c>
      <c r="Z69" s="90" t="s">
        <v>167</v>
      </c>
      <c r="AA69" s="87">
        <v>45772</v>
      </c>
      <c r="AB69" s="85">
        <v>0.5</v>
      </c>
      <c r="AC69" s="85">
        <v>0.5</v>
      </c>
      <c r="AD69" s="90" t="s">
        <v>146</v>
      </c>
      <c r="AE69" s="90" t="s">
        <v>154</v>
      </c>
      <c r="AF69" s="93" t="s">
        <v>169</v>
      </c>
      <c r="AG69" s="85">
        <v>0.5</v>
      </c>
      <c r="AH69" s="86">
        <v>45772</v>
      </c>
      <c r="AI69" s="90" t="s">
        <v>146</v>
      </c>
      <c r="AJ69" s="90" t="s">
        <v>170</v>
      </c>
      <c r="AK69" s="90" t="s">
        <v>582</v>
      </c>
      <c r="AL69" s="91">
        <v>2025</v>
      </c>
      <c r="AM69" s="91">
        <v>17</v>
      </c>
      <c r="AN69" s="91">
        <v>25</v>
      </c>
      <c r="AO69" s="90" t="s">
        <v>676</v>
      </c>
      <c r="AP69" s="90" t="s">
        <v>151</v>
      </c>
    </row>
    <row r="70" spans="1:42" x14ac:dyDescent="0.25">
      <c r="A70" s="92" t="s">
        <v>677</v>
      </c>
      <c r="B70" s="87">
        <v>45774</v>
      </c>
      <c r="C70" s="89">
        <v>0.77083333333333337</v>
      </c>
      <c r="D70" s="90" t="s">
        <v>206</v>
      </c>
      <c r="E70" s="90" t="s">
        <v>388</v>
      </c>
      <c r="F70" s="90"/>
      <c r="G70" s="90" t="s">
        <v>678</v>
      </c>
      <c r="H70" s="92" t="s">
        <v>400</v>
      </c>
      <c r="I70" s="93">
        <v>6</v>
      </c>
      <c r="J70" s="90" t="s">
        <v>679</v>
      </c>
      <c r="K70" s="91"/>
      <c r="L70" s="91"/>
      <c r="M70" s="90" t="s">
        <v>680</v>
      </c>
      <c r="N70" s="90" t="s">
        <v>452</v>
      </c>
      <c r="O70" s="90"/>
      <c r="P70" s="90"/>
      <c r="Q70" s="90" t="s">
        <v>680</v>
      </c>
      <c r="R70" s="90"/>
      <c r="S70" s="90" t="s">
        <v>681</v>
      </c>
      <c r="T70" s="90"/>
      <c r="U70" s="90" t="s">
        <v>682</v>
      </c>
      <c r="V70" s="90" t="s">
        <v>683</v>
      </c>
      <c r="W70" s="90" t="s">
        <v>684</v>
      </c>
      <c r="X70" s="90"/>
      <c r="Y70" s="90"/>
      <c r="Z70" s="90"/>
      <c r="AA70" s="87">
        <v>45774</v>
      </c>
      <c r="AB70" s="85">
        <v>0.77083333333333337</v>
      </c>
      <c r="AC70" s="85">
        <v>0.75</v>
      </c>
      <c r="AD70" s="90" t="s">
        <v>266</v>
      </c>
      <c r="AE70" s="90" t="s">
        <v>685</v>
      </c>
      <c r="AF70" s="93" t="s">
        <v>169</v>
      </c>
      <c r="AG70" s="85">
        <v>0.77083333333333337</v>
      </c>
      <c r="AH70" s="86">
        <v>45774</v>
      </c>
      <c r="AI70" s="90" t="s">
        <v>266</v>
      </c>
      <c r="AJ70" s="90" t="s">
        <v>311</v>
      </c>
      <c r="AK70" s="90" t="s">
        <v>582</v>
      </c>
      <c r="AL70" s="91">
        <v>2025</v>
      </c>
      <c r="AM70" s="91">
        <v>18</v>
      </c>
      <c r="AN70" s="91">
        <v>27</v>
      </c>
      <c r="AO70" s="90" t="s">
        <v>686</v>
      </c>
      <c r="AP70" s="90" t="s">
        <v>151</v>
      </c>
    </row>
    <row r="71" spans="1:42" x14ac:dyDescent="0.25">
      <c r="A71" s="92" t="s">
        <v>687</v>
      </c>
      <c r="B71" s="87">
        <v>45774</v>
      </c>
      <c r="C71" s="89">
        <v>0.79166666666666663</v>
      </c>
      <c r="D71" s="90" t="s">
        <v>242</v>
      </c>
      <c r="E71" s="90"/>
      <c r="F71" s="90"/>
      <c r="G71" s="90" t="s">
        <v>287</v>
      </c>
      <c r="H71" s="92" t="s">
        <v>288</v>
      </c>
      <c r="I71" s="93">
        <v>5</v>
      </c>
      <c r="J71" s="90" t="s">
        <v>688</v>
      </c>
      <c r="K71" s="91"/>
      <c r="L71" s="91"/>
      <c r="M71" s="90"/>
      <c r="N71" s="90"/>
      <c r="O71" s="90"/>
      <c r="P71" s="90"/>
      <c r="Q71" s="90"/>
      <c r="R71" s="90"/>
      <c r="S71" s="90"/>
      <c r="T71" s="90"/>
      <c r="U71" s="90" t="s">
        <v>518</v>
      </c>
      <c r="V71" s="90" t="s">
        <v>689</v>
      </c>
      <c r="W71" s="90" t="s">
        <v>211</v>
      </c>
      <c r="X71" s="90" t="s">
        <v>488</v>
      </c>
      <c r="Y71" s="90" t="s">
        <v>166</v>
      </c>
      <c r="Z71" s="90" t="s">
        <v>246</v>
      </c>
      <c r="AA71" s="87">
        <v>45774</v>
      </c>
      <c r="AB71" s="85">
        <v>0.79166666666666663</v>
      </c>
      <c r="AC71" s="85">
        <v>0.79166666666666663</v>
      </c>
      <c r="AD71" s="90" t="s">
        <v>266</v>
      </c>
      <c r="AE71" s="90" t="s">
        <v>242</v>
      </c>
      <c r="AF71" s="93" t="s">
        <v>169</v>
      </c>
      <c r="AG71" s="85">
        <v>0.79166666666666663</v>
      </c>
      <c r="AH71" s="86">
        <v>45774</v>
      </c>
      <c r="AI71" s="90" t="s">
        <v>266</v>
      </c>
      <c r="AJ71" s="90" t="s">
        <v>311</v>
      </c>
      <c r="AK71" s="90" t="s">
        <v>582</v>
      </c>
      <c r="AL71" s="91">
        <v>2025</v>
      </c>
      <c r="AM71" s="91">
        <v>18</v>
      </c>
      <c r="AN71" s="91">
        <v>27</v>
      </c>
      <c r="AO71" s="90" t="s">
        <v>293</v>
      </c>
      <c r="AP71" s="90" t="s">
        <v>151</v>
      </c>
    </row>
    <row r="72" spans="1:42" x14ac:dyDescent="0.25">
      <c r="A72" s="92" t="s">
        <v>690</v>
      </c>
      <c r="B72" s="87">
        <v>45776</v>
      </c>
      <c r="C72" s="89">
        <v>0.5625</v>
      </c>
      <c r="D72" s="90" t="s">
        <v>154</v>
      </c>
      <c r="E72" s="90"/>
      <c r="F72" s="90"/>
      <c r="G72" s="90" t="s">
        <v>691</v>
      </c>
      <c r="H72" s="92" t="s">
        <v>425</v>
      </c>
      <c r="I72" s="93">
        <v>8</v>
      </c>
      <c r="J72" s="90" t="s">
        <v>692</v>
      </c>
      <c r="K72" s="91"/>
      <c r="L72" s="91"/>
      <c r="M72" s="90" t="s">
        <v>693</v>
      </c>
      <c r="N72" s="90" t="s">
        <v>253</v>
      </c>
      <c r="O72" s="90" t="s">
        <v>694</v>
      </c>
      <c r="P72" s="90" t="s">
        <v>161</v>
      </c>
      <c r="Q72" s="90"/>
      <c r="R72" s="90"/>
      <c r="S72" s="90"/>
      <c r="T72" s="90"/>
      <c r="U72" s="90" t="s">
        <v>657</v>
      </c>
      <c r="V72" s="90" t="s">
        <v>585</v>
      </c>
      <c r="W72" s="90" t="s">
        <v>164</v>
      </c>
      <c r="X72" s="90" t="s">
        <v>228</v>
      </c>
      <c r="Y72" s="90" t="s">
        <v>435</v>
      </c>
      <c r="Z72" s="90" t="s">
        <v>167</v>
      </c>
      <c r="AA72" s="87">
        <v>45776</v>
      </c>
      <c r="AB72" s="85">
        <v>0.5625</v>
      </c>
      <c r="AC72" s="85">
        <v>0.54166666666666663</v>
      </c>
      <c r="AD72" s="90" t="s">
        <v>146</v>
      </c>
      <c r="AE72" s="90" t="s">
        <v>154</v>
      </c>
      <c r="AF72" s="93" t="s">
        <v>169</v>
      </c>
      <c r="AG72" s="85">
        <v>0.5625</v>
      </c>
      <c r="AH72" s="86">
        <v>45776</v>
      </c>
      <c r="AI72" s="90" t="s">
        <v>146</v>
      </c>
      <c r="AJ72" s="90" t="s">
        <v>148</v>
      </c>
      <c r="AK72" s="90" t="s">
        <v>582</v>
      </c>
      <c r="AL72" s="91">
        <v>2025</v>
      </c>
      <c r="AM72" s="91">
        <v>18</v>
      </c>
      <c r="AN72" s="91">
        <v>29</v>
      </c>
      <c r="AO72" s="90" t="s">
        <v>428</v>
      </c>
      <c r="AP72" s="90" t="s">
        <v>151</v>
      </c>
    </row>
    <row r="73" spans="1:42" x14ac:dyDescent="0.25">
      <c r="A73" s="92" t="s">
        <v>695</v>
      </c>
      <c r="B73" s="87">
        <v>45777</v>
      </c>
      <c r="C73" s="89">
        <v>0.68012731481481481</v>
      </c>
      <c r="D73" s="90" t="s">
        <v>206</v>
      </c>
      <c r="E73" s="90"/>
      <c r="F73" s="90"/>
      <c r="G73" s="90" t="s">
        <v>696</v>
      </c>
      <c r="H73" s="92"/>
      <c r="I73" s="93"/>
      <c r="J73" s="90" t="s">
        <v>697</v>
      </c>
      <c r="K73" s="91"/>
      <c r="L73" s="91"/>
      <c r="M73" s="90"/>
      <c r="N73" s="90"/>
      <c r="O73" s="90"/>
      <c r="P73" s="90"/>
      <c r="Q73" s="90"/>
      <c r="R73" s="90"/>
      <c r="S73" s="90"/>
      <c r="T73" s="90"/>
      <c r="U73" s="90" t="s">
        <v>290</v>
      </c>
      <c r="V73" s="90" t="s">
        <v>141</v>
      </c>
      <c r="W73" s="90" t="s">
        <v>142</v>
      </c>
      <c r="X73" s="90" t="s">
        <v>698</v>
      </c>
      <c r="Y73" s="90" t="s">
        <v>320</v>
      </c>
      <c r="Z73" s="90" t="s">
        <v>213</v>
      </c>
      <c r="AA73" s="87">
        <v>45777</v>
      </c>
      <c r="AB73" s="85">
        <v>0.68012731481481481</v>
      </c>
      <c r="AC73" s="85">
        <v>0.66666666666666663</v>
      </c>
      <c r="AD73" s="90" t="s">
        <v>266</v>
      </c>
      <c r="AE73" s="90" t="s">
        <v>206</v>
      </c>
      <c r="AF73" s="93" t="s">
        <v>169</v>
      </c>
      <c r="AG73" s="85">
        <v>0.68012731481481481</v>
      </c>
      <c r="AH73" s="86">
        <v>45777</v>
      </c>
      <c r="AI73" s="90" t="s">
        <v>266</v>
      </c>
      <c r="AJ73" s="90" t="s">
        <v>239</v>
      </c>
      <c r="AK73" s="90" t="s">
        <v>582</v>
      </c>
      <c r="AL73" s="91">
        <v>2025</v>
      </c>
      <c r="AM73" s="91">
        <v>18</v>
      </c>
      <c r="AN73" s="91">
        <v>30</v>
      </c>
      <c r="AO73" s="90" t="s">
        <v>699</v>
      </c>
      <c r="AP73" s="90" t="s">
        <v>151</v>
      </c>
    </row>
    <row r="74" spans="1:42" x14ac:dyDescent="0.25">
      <c r="A74" s="92" t="s">
        <v>700</v>
      </c>
      <c r="B74" s="87">
        <v>45778</v>
      </c>
      <c r="C74" s="89">
        <v>0.93593749999999998</v>
      </c>
      <c r="D74" s="90" t="s">
        <v>242</v>
      </c>
      <c r="E74" s="90" t="s">
        <v>295</v>
      </c>
      <c r="F74" s="90" t="s">
        <v>701</v>
      </c>
      <c r="G74" s="90" t="s">
        <v>702</v>
      </c>
      <c r="H74" s="92" t="s">
        <v>191</v>
      </c>
      <c r="I74" s="93">
        <v>7</v>
      </c>
      <c r="J74" s="90" t="s">
        <v>703</v>
      </c>
      <c r="K74" s="91"/>
      <c r="L74" s="91"/>
      <c r="M74" s="90"/>
      <c r="N74" s="90"/>
      <c r="O74" s="90"/>
      <c r="P74" s="90"/>
      <c r="Q74" s="90"/>
      <c r="R74" s="90"/>
      <c r="S74" s="90"/>
      <c r="T74" s="90"/>
      <c r="U74" s="90" t="s">
        <v>290</v>
      </c>
      <c r="V74" s="90" t="s">
        <v>635</v>
      </c>
      <c r="W74" s="90" t="s">
        <v>256</v>
      </c>
      <c r="X74" s="90" t="s">
        <v>228</v>
      </c>
      <c r="Y74" s="90" t="s">
        <v>166</v>
      </c>
      <c r="Z74" s="90" t="s">
        <v>246</v>
      </c>
      <c r="AA74" s="87">
        <v>45778</v>
      </c>
      <c r="AB74" s="85">
        <v>0.93593749999999998</v>
      </c>
      <c r="AC74" s="85">
        <v>0.91666666666666663</v>
      </c>
      <c r="AD74" s="90" t="s">
        <v>168</v>
      </c>
      <c r="AE74" s="90" t="s">
        <v>704</v>
      </c>
      <c r="AF74" s="93" t="s">
        <v>169</v>
      </c>
      <c r="AG74" s="85">
        <v>0.93593749999999998</v>
      </c>
      <c r="AH74" s="86">
        <v>45778</v>
      </c>
      <c r="AI74" s="90" t="s">
        <v>168</v>
      </c>
      <c r="AJ74" s="90" t="s">
        <v>247</v>
      </c>
      <c r="AK74" s="90" t="s">
        <v>705</v>
      </c>
      <c r="AL74" s="91">
        <v>2025</v>
      </c>
      <c r="AM74" s="91">
        <v>18</v>
      </c>
      <c r="AN74" s="91">
        <v>1</v>
      </c>
      <c r="AO74" s="90" t="s">
        <v>627</v>
      </c>
      <c r="AP74" s="90" t="s">
        <v>151</v>
      </c>
    </row>
    <row r="75" spans="1:42" x14ac:dyDescent="0.25">
      <c r="A75" s="92" t="s">
        <v>706</v>
      </c>
      <c r="B75" s="87">
        <v>45781</v>
      </c>
      <c r="C75" s="89">
        <v>0.54166666666666663</v>
      </c>
      <c r="D75" s="90" t="s">
        <v>242</v>
      </c>
      <c r="E75" s="90"/>
      <c r="F75" s="90"/>
      <c r="G75" s="90" t="s">
        <v>707</v>
      </c>
      <c r="H75" s="92" t="s">
        <v>138</v>
      </c>
      <c r="I75" s="93">
        <v>8</v>
      </c>
      <c r="J75" s="90" t="s">
        <v>708</v>
      </c>
      <c r="K75" s="91"/>
      <c r="L75" s="91"/>
      <c r="M75" s="90"/>
      <c r="N75" s="90"/>
      <c r="O75" s="90"/>
      <c r="P75" s="90"/>
      <c r="Q75" s="90"/>
      <c r="R75" s="90"/>
      <c r="S75" s="90"/>
      <c r="T75" s="90"/>
      <c r="U75" s="90" t="s">
        <v>709</v>
      </c>
      <c r="V75" s="90" t="s">
        <v>475</v>
      </c>
      <c r="W75" s="90" t="s">
        <v>211</v>
      </c>
      <c r="X75" s="90" t="s">
        <v>350</v>
      </c>
      <c r="Y75" s="90" t="s">
        <v>301</v>
      </c>
      <c r="Z75" s="90" t="s">
        <v>246</v>
      </c>
      <c r="AA75" s="87">
        <v>45781</v>
      </c>
      <c r="AB75" s="85">
        <v>0.54166666666666663</v>
      </c>
      <c r="AC75" s="85">
        <v>0.54166666666666663</v>
      </c>
      <c r="AD75" s="90" t="s">
        <v>146</v>
      </c>
      <c r="AE75" s="90" t="s">
        <v>242</v>
      </c>
      <c r="AF75" s="93" t="s">
        <v>169</v>
      </c>
      <c r="AG75" s="85">
        <v>0.54166666666666663</v>
      </c>
      <c r="AH75" s="86">
        <v>45781</v>
      </c>
      <c r="AI75" s="90" t="s">
        <v>146</v>
      </c>
      <c r="AJ75" s="90" t="s">
        <v>311</v>
      </c>
      <c r="AK75" s="90" t="s">
        <v>705</v>
      </c>
      <c r="AL75" s="91">
        <v>2025</v>
      </c>
      <c r="AM75" s="91">
        <v>19</v>
      </c>
      <c r="AN75" s="91">
        <v>4</v>
      </c>
      <c r="AO75" s="90" t="s">
        <v>710</v>
      </c>
      <c r="AP75" s="90" t="s">
        <v>151</v>
      </c>
    </row>
    <row r="76" spans="1:42" x14ac:dyDescent="0.25">
      <c r="A76" s="92" t="s">
        <v>711</v>
      </c>
      <c r="B76" s="87">
        <v>45782</v>
      </c>
      <c r="C76" s="89">
        <v>0.625</v>
      </c>
      <c r="D76" s="90" t="s">
        <v>154</v>
      </c>
      <c r="E76" s="90" t="s">
        <v>712</v>
      </c>
      <c r="F76" s="90"/>
      <c r="G76" s="90" t="s">
        <v>713</v>
      </c>
      <c r="H76" s="92" t="s">
        <v>516</v>
      </c>
      <c r="I76" s="93">
        <v>9</v>
      </c>
      <c r="J76" s="90" t="s">
        <v>714</v>
      </c>
      <c r="K76" s="91"/>
      <c r="L76" s="91"/>
      <c r="M76" s="90" t="s">
        <v>715</v>
      </c>
      <c r="N76" s="90" t="s">
        <v>224</v>
      </c>
      <c r="O76" s="90" t="s">
        <v>716</v>
      </c>
      <c r="P76" s="90" t="s">
        <v>161</v>
      </c>
      <c r="Q76" s="90"/>
      <c r="R76" s="90"/>
      <c r="S76" s="90"/>
      <c r="T76" s="90"/>
      <c r="U76" s="90" t="s">
        <v>599</v>
      </c>
      <c r="V76" s="90" t="s">
        <v>393</v>
      </c>
      <c r="W76" s="90" t="s">
        <v>384</v>
      </c>
      <c r="X76" s="90"/>
      <c r="Y76" s="90"/>
      <c r="Z76" s="90"/>
      <c r="AA76" s="87">
        <v>45782</v>
      </c>
      <c r="AB76" s="85">
        <v>0.625</v>
      </c>
      <c r="AC76" s="85">
        <v>0.625</v>
      </c>
      <c r="AD76" s="90" t="s">
        <v>146</v>
      </c>
      <c r="AE76" s="90" t="s">
        <v>717</v>
      </c>
      <c r="AF76" s="93" t="s">
        <v>169</v>
      </c>
      <c r="AG76" s="85">
        <v>0.625</v>
      </c>
      <c r="AH76" s="86">
        <v>45782</v>
      </c>
      <c r="AI76" s="90" t="s">
        <v>146</v>
      </c>
      <c r="AJ76" s="90" t="s">
        <v>183</v>
      </c>
      <c r="AK76" s="90" t="s">
        <v>705</v>
      </c>
      <c r="AL76" s="91">
        <v>2025</v>
      </c>
      <c r="AM76" s="91">
        <v>19</v>
      </c>
      <c r="AN76" s="91">
        <v>5</v>
      </c>
      <c r="AO76" s="90" t="s">
        <v>718</v>
      </c>
      <c r="AP76" s="90" t="s">
        <v>151</v>
      </c>
    </row>
    <row r="77" spans="1:42" x14ac:dyDescent="0.25">
      <c r="A77" s="92" t="s">
        <v>719</v>
      </c>
      <c r="B77" s="87">
        <v>45782</v>
      </c>
      <c r="C77" s="89">
        <v>0.74097222222222225</v>
      </c>
      <c r="D77" s="90" t="s">
        <v>154</v>
      </c>
      <c r="E77" s="90" t="s">
        <v>347</v>
      </c>
      <c r="F77" s="90"/>
      <c r="G77" s="90" t="s">
        <v>720</v>
      </c>
      <c r="H77" s="92" t="s">
        <v>251</v>
      </c>
      <c r="I77" s="93">
        <v>9</v>
      </c>
      <c r="J77" s="90" t="s">
        <v>721</v>
      </c>
      <c r="K77" s="91"/>
      <c r="L77" s="91"/>
      <c r="M77" s="90"/>
      <c r="N77" s="90" t="s">
        <v>341</v>
      </c>
      <c r="O77" s="90" t="s">
        <v>722</v>
      </c>
      <c r="P77" s="90"/>
      <c r="Q77" s="90"/>
      <c r="R77" s="90"/>
      <c r="S77" s="90"/>
      <c r="T77" s="90"/>
      <c r="U77" s="90" t="s">
        <v>162</v>
      </c>
      <c r="V77" s="90" t="s">
        <v>646</v>
      </c>
      <c r="W77" s="90" t="s">
        <v>328</v>
      </c>
      <c r="X77" s="90" t="s">
        <v>350</v>
      </c>
      <c r="Y77" s="90" t="s">
        <v>181</v>
      </c>
      <c r="Z77" s="90" t="s">
        <v>167</v>
      </c>
      <c r="AA77" s="87">
        <v>45782</v>
      </c>
      <c r="AB77" s="85">
        <v>0.74097222222222225</v>
      </c>
      <c r="AC77" s="85">
        <v>0.70833333333333337</v>
      </c>
      <c r="AD77" s="90" t="s">
        <v>266</v>
      </c>
      <c r="AE77" s="90" t="s">
        <v>723</v>
      </c>
      <c r="AF77" s="93" t="s">
        <v>169</v>
      </c>
      <c r="AG77" s="85">
        <v>0.74097222222222225</v>
      </c>
      <c r="AH77" s="86">
        <v>45782</v>
      </c>
      <c r="AI77" s="90" t="s">
        <v>266</v>
      </c>
      <c r="AJ77" s="90" t="s">
        <v>183</v>
      </c>
      <c r="AK77" s="90" t="s">
        <v>705</v>
      </c>
      <c r="AL77" s="91">
        <v>2025</v>
      </c>
      <c r="AM77" s="91">
        <v>19</v>
      </c>
      <c r="AN77" s="91">
        <v>5</v>
      </c>
      <c r="AO77" s="90" t="s">
        <v>724</v>
      </c>
      <c r="AP77" s="90" t="s">
        <v>231</v>
      </c>
    </row>
    <row r="78" spans="1:42" x14ac:dyDescent="0.25">
      <c r="A78" s="92" t="s">
        <v>725</v>
      </c>
      <c r="B78" s="87">
        <v>45786</v>
      </c>
      <c r="C78" s="89">
        <v>0.60416666666666663</v>
      </c>
      <c r="D78" s="90" t="s">
        <v>206</v>
      </c>
      <c r="E78" s="90" t="s">
        <v>726</v>
      </c>
      <c r="F78" s="90"/>
      <c r="G78" s="90" t="s">
        <v>727</v>
      </c>
      <c r="H78" s="92" t="s">
        <v>270</v>
      </c>
      <c r="I78" s="93">
        <v>5</v>
      </c>
      <c r="J78" s="90" t="s">
        <v>728</v>
      </c>
      <c r="K78" s="91"/>
      <c r="L78" s="91"/>
      <c r="M78" s="90"/>
      <c r="N78" s="90"/>
      <c r="O78" s="90"/>
      <c r="P78" s="90"/>
      <c r="Q78" s="90"/>
      <c r="R78" s="90"/>
      <c r="S78" s="90"/>
      <c r="T78" s="90"/>
      <c r="U78" s="90" t="s">
        <v>518</v>
      </c>
      <c r="V78" s="90" t="s">
        <v>729</v>
      </c>
      <c r="W78" s="90" t="s">
        <v>256</v>
      </c>
      <c r="X78" s="90" t="s">
        <v>310</v>
      </c>
      <c r="Y78" s="90" t="s">
        <v>144</v>
      </c>
      <c r="Z78" s="90" t="s">
        <v>213</v>
      </c>
      <c r="AA78" s="87">
        <v>45786</v>
      </c>
      <c r="AB78" s="85">
        <v>0.60416666666666663</v>
      </c>
      <c r="AC78" s="85">
        <v>0.58333333333333337</v>
      </c>
      <c r="AD78" s="90" t="s">
        <v>146</v>
      </c>
      <c r="AE78" s="90" t="s">
        <v>730</v>
      </c>
      <c r="AF78" s="93" t="s">
        <v>169</v>
      </c>
      <c r="AG78" s="85">
        <v>0.60416666666666663</v>
      </c>
      <c r="AH78" s="86">
        <v>45786</v>
      </c>
      <c r="AI78" s="90" t="s">
        <v>146</v>
      </c>
      <c r="AJ78" s="90" t="s">
        <v>170</v>
      </c>
      <c r="AK78" s="90" t="s">
        <v>705</v>
      </c>
      <c r="AL78" s="91">
        <v>2025</v>
      </c>
      <c r="AM78" s="91">
        <v>19</v>
      </c>
      <c r="AN78" s="91">
        <v>9</v>
      </c>
      <c r="AO78" s="90" t="s">
        <v>731</v>
      </c>
      <c r="AP78" s="90" t="s">
        <v>151</v>
      </c>
    </row>
    <row r="79" spans="1:42" x14ac:dyDescent="0.25">
      <c r="A79" s="92" t="s">
        <v>732</v>
      </c>
      <c r="B79" s="87">
        <v>45788</v>
      </c>
      <c r="C79" s="89">
        <v>0.16666666666666666</v>
      </c>
      <c r="D79" s="90" t="s">
        <v>174</v>
      </c>
      <c r="E79" s="90"/>
      <c r="F79" s="90"/>
      <c r="G79" s="90" t="s">
        <v>733</v>
      </c>
      <c r="H79" s="92" t="s">
        <v>270</v>
      </c>
      <c r="I79" s="93">
        <v>5</v>
      </c>
      <c r="J79" s="90" t="s">
        <v>734</v>
      </c>
      <c r="K79" s="91"/>
      <c r="L79" s="91"/>
      <c r="M79" s="90" t="s">
        <v>735</v>
      </c>
      <c r="N79" s="90" t="s">
        <v>560</v>
      </c>
      <c r="O79" s="90" t="s">
        <v>736</v>
      </c>
      <c r="P79" s="90" t="s">
        <v>161</v>
      </c>
      <c r="Q79" s="90"/>
      <c r="R79" s="90"/>
      <c r="S79" s="90"/>
      <c r="T79" s="90"/>
      <c r="U79" s="90" t="s">
        <v>480</v>
      </c>
      <c r="V79" s="90" t="s">
        <v>210</v>
      </c>
      <c r="W79" s="90" t="s">
        <v>211</v>
      </c>
      <c r="X79" s="90" t="s">
        <v>228</v>
      </c>
      <c r="Y79" s="90" t="s">
        <v>166</v>
      </c>
      <c r="Z79" s="90" t="s">
        <v>182</v>
      </c>
      <c r="AA79" s="87">
        <v>45788</v>
      </c>
      <c r="AB79" s="85">
        <v>0.16666666666666666</v>
      </c>
      <c r="AC79" s="85">
        <v>0.16666666666666666</v>
      </c>
      <c r="AD79" s="90" t="s">
        <v>385</v>
      </c>
      <c r="AE79" s="90" t="s">
        <v>174</v>
      </c>
      <c r="AF79" s="93" t="s">
        <v>169</v>
      </c>
      <c r="AG79" s="85">
        <v>0.16666666666666666</v>
      </c>
      <c r="AH79" s="86">
        <v>45788</v>
      </c>
      <c r="AI79" s="90" t="s">
        <v>385</v>
      </c>
      <c r="AJ79" s="90" t="s">
        <v>311</v>
      </c>
      <c r="AK79" s="90" t="s">
        <v>705</v>
      </c>
      <c r="AL79" s="91">
        <v>2025</v>
      </c>
      <c r="AM79" s="91">
        <v>20</v>
      </c>
      <c r="AN79" s="91">
        <v>11</v>
      </c>
      <c r="AO79" s="90" t="s">
        <v>737</v>
      </c>
      <c r="AP79" s="90" t="s">
        <v>151</v>
      </c>
    </row>
    <row r="80" spans="1:42" x14ac:dyDescent="0.25">
      <c r="A80" s="92" t="s">
        <v>738</v>
      </c>
      <c r="B80" s="87">
        <v>45788</v>
      </c>
      <c r="C80" s="89"/>
      <c r="D80" s="90" t="s">
        <v>136</v>
      </c>
      <c r="E80" s="90" t="s">
        <v>189</v>
      </c>
      <c r="F80" s="90"/>
      <c r="G80" s="90" t="s">
        <v>190</v>
      </c>
      <c r="H80" s="92" t="s">
        <v>191</v>
      </c>
      <c r="I80" s="93"/>
      <c r="J80" s="90" t="s">
        <v>739</v>
      </c>
      <c r="K80" s="91"/>
      <c r="L80" s="91"/>
      <c r="M80" s="90"/>
      <c r="N80" s="90"/>
      <c r="O80" s="90"/>
      <c r="P80" s="90"/>
      <c r="Q80" s="90"/>
      <c r="R80" s="90"/>
      <c r="S80" s="90"/>
      <c r="T80" s="90"/>
      <c r="U80" s="90" t="s">
        <v>740</v>
      </c>
      <c r="V80" s="90" t="s">
        <v>194</v>
      </c>
      <c r="W80" s="90" t="s">
        <v>444</v>
      </c>
      <c r="X80" s="90" t="s">
        <v>194</v>
      </c>
      <c r="Y80" s="90" t="s">
        <v>166</v>
      </c>
      <c r="Z80" s="90" t="s">
        <v>741</v>
      </c>
      <c r="AA80" s="87">
        <v>45788</v>
      </c>
      <c r="AB80" s="85">
        <v>0.63552083333333331</v>
      </c>
      <c r="AC80" s="85">
        <v>0.625</v>
      </c>
      <c r="AD80" s="90" t="s">
        <v>146</v>
      </c>
      <c r="AE80" s="90" t="s">
        <v>284</v>
      </c>
      <c r="AF80" s="93" t="s">
        <v>169</v>
      </c>
      <c r="AG80" s="85">
        <v>0.63552083333333331</v>
      </c>
      <c r="AH80" s="86">
        <v>45788</v>
      </c>
      <c r="AI80" s="90" t="s">
        <v>146</v>
      </c>
      <c r="AJ80" s="90" t="s">
        <v>311</v>
      </c>
      <c r="AK80" s="90" t="s">
        <v>705</v>
      </c>
      <c r="AL80" s="91">
        <v>2025</v>
      </c>
      <c r="AM80" s="91">
        <v>20</v>
      </c>
      <c r="AN80" s="91">
        <v>11</v>
      </c>
      <c r="AO80" s="90" t="s">
        <v>199</v>
      </c>
      <c r="AP80" s="90" t="s">
        <v>200</v>
      </c>
    </row>
    <row r="81" spans="1:42" x14ac:dyDescent="0.25">
      <c r="A81" s="92" t="s">
        <v>742</v>
      </c>
      <c r="B81" s="87">
        <v>45789</v>
      </c>
      <c r="C81" s="89">
        <v>0.2722222222222222</v>
      </c>
      <c r="D81" s="90" t="s">
        <v>242</v>
      </c>
      <c r="E81" s="90" t="s">
        <v>388</v>
      </c>
      <c r="F81" s="90" t="s">
        <v>743</v>
      </c>
      <c r="G81" s="90" t="s">
        <v>744</v>
      </c>
      <c r="H81" s="92" t="s">
        <v>390</v>
      </c>
      <c r="I81" s="93">
        <v>9</v>
      </c>
      <c r="J81" s="90" t="s">
        <v>745</v>
      </c>
      <c r="K81" s="91"/>
      <c r="L81" s="91"/>
      <c r="M81" s="90" t="s">
        <v>746</v>
      </c>
      <c r="N81" s="90" t="s">
        <v>159</v>
      </c>
      <c r="O81" s="90" t="s">
        <v>178</v>
      </c>
      <c r="P81" s="90" t="s">
        <v>161</v>
      </c>
      <c r="Q81" s="90"/>
      <c r="R81" s="90"/>
      <c r="S81" s="90"/>
      <c r="T81" s="90"/>
      <c r="U81" s="90" t="s">
        <v>709</v>
      </c>
      <c r="V81" s="90" t="s">
        <v>163</v>
      </c>
      <c r="W81" s="90" t="s">
        <v>328</v>
      </c>
      <c r="X81" s="90" t="s">
        <v>350</v>
      </c>
      <c r="Y81" s="90" t="s">
        <v>364</v>
      </c>
      <c r="Z81" s="90" t="s">
        <v>747</v>
      </c>
      <c r="AA81" s="87">
        <v>45789</v>
      </c>
      <c r="AB81" s="85">
        <v>0.2722222222222222</v>
      </c>
      <c r="AC81" s="85">
        <v>0.25</v>
      </c>
      <c r="AD81" s="90" t="s">
        <v>385</v>
      </c>
      <c r="AE81" s="90" t="s">
        <v>748</v>
      </c>
      <c r="AF81" s="93" t="s">
        <v>169</v>
      </c>
      <c r="AG81" s="85">
        <v>0.2722222222222222</v>
      </c>
      <c r="AH81" s="86">
        <v>45789</v>
      </c>
      <c r="AI81" s="90" t="s">
        <v>385</v>
      </c>
      <c r="AJ81" s="90" t="s">
        <v>183</v>
      </c>
      <c r="AK81" s="90" t="s">
        <v>705</v>
      </c>
      <c r="AL81" s="91">
        <v>2025</v>
      </c>
      <c r="AM81" s="91">
        <v>20</v>
      </c>
      <c r="AN81" s="91">
        <v>12</v>
      </c>
      <c r="AO81" s="90" t="s">
        <v>749</v>
      </c>
      <c r="AP81" s="90" t="s">
        <v>151</v>
      </c>
    </row>
    <row r="82" spans="1:42" x14ac:dyDescent="0.25">
      <c r="A82" s="92" t="s">
        <v>750</v>
      </c>
      <c r="B82" s="87">
        <v>45789</v>
      </c>
      <c r="C82" s="89">
        <v>0.8125</v>
      </c>
      <c r="D82" s="90" t="s">
        <v>154</v>
      </c>
      <c r="E82" s="90"/>
      <c r="F82" s="90"/>
      <c r="G82" s="90" t="s">
        <v>751</v>
      </c>
      <c r="H82" s="92" t="s">
        <v>553</v>
      </c>
      <c r="I82" s="93"/>
      <c r="J82" s="90" t="s">
        <v>752</v>
      </c>
      <c r="K82" s="91"/>
      <c r="L82" s="91"/>
      <c r="M82" s="90" t="s">
        <v>753</v>
      </c>
      <c r="N82" s="90" t="s">
        <v>754</v>
      </c>
      <c r="O82" s="90" t="s">
        <v>755</v>
      </c>
      <c r="P82" s="90" t="s">
        <v>161</v>
      </c>
      <c r="Q82" s="90"/>
      <c r="R82" s="90"/>
      <c r="S82" s="90"/>
      <c r="T82" s="90"/>
      <c r="U82" s="90" t="s">
        <v>709</v>
      </c>
      <c r="V82" s="90" t="s">
        <v>525</v>
      </c>
      <c r="W82" s="90" t="s">
        <v>211</v>
      </c>
      <c r="X82" s="90" t="s">
        <v>488</v>
      </c>
      <c r="Y82" s="90" t="s">
        <v>166</v>
      </c>
      <c r="Z82" s="90" t="s">
        <v>167</v>
      </c>
      <c r="AA82" s="87">
        <v>45789</v>
      </c>
      <c r="AB82" s="85">
        <v>0.8125</v>
      </c>
      <c r="AC82" s="85">
        <v>0.79166666666666663</v>
      </c>
      <c r="AD82" s="90" t="s">
        <v>266</v>
      </c>
      <c r="AE82" s="90" t="s">
        <v>154</v>
      </c>
      <c r="AF82" s="93" t="s">
        <v>169</v>
      </c>
      <c r="AG82" s="85">
        <v>0.8125</v>
      </c>
      <c r="AH82" s="86">
        <v>45789</v>
      </c>
      <c r="AI82" s="90" t="s">
        <v>266</v>
      </c>
      <c r="AJ82" s="90" t="s">
        <v>183</v>
      </c>
      <c r="AK82" s="90" t="s">
        <v>705</v>
      </c>
      <c r="AL82" s="91">
        <v>2025</v>
      </c>
      <c r="AM82" s="91">
        <v>20</v>
      </c>
      <c r="AN82" s="91">
        <v>12</v>
      </c>
      <c r="AO82" s="90" t="s">
        <v>756</v>
      </c>
      <c r="AP82" s="90" t="s">
        <v>151</v>
      </c>
    </row>
    <row r="83" spans="1:42" x14ac:dyDescent="0.25">
      <c r="A83" s="92" t="s">
        <v>757</v>
      </c>
      <c r="B83" s="87">
        <v>45789</v>
      </c>
      <c r="C83" s="89">
        <v>0.33333333333333331</v>
      </c>
      <c r="D83" s="90" t="s">
        <v>242</v>
      </c>
      <c r="E83" s="90"/>
      <c r="F83" s="90"/>
      <c r="G83" s="90" t="s">
        <v>758</v>
      </c>
      <c r="H83" s="92" t="s">
        <v>270</v>
      </c>
      <c r="I83" s="93">
        <v>5</v>
      </c>
      <c r="J83" s="90" t="s">
        <v>759</v>
      </c>
      <c r="K83" s="91"/>
      <c r="L83" s="91"/>
      <c r="M83" s="90"/>
      <c r="N83" s="90"/>
      <c r="O83" s="90"/>
      <c r="P83" s="90"/>
      <c r="Q83" s="90"/>
      <c r="R83" s="90"/>
      <c r="S83" s="90"/>
      <c r="T83" s="90"/>
      <c r="U83" s="90" t="s">
        <v>290</v>
      </c>
      <c r="V83" s="90" t="s">
        <v>635</v>
      </c>
      <c r="W83" s="90" t="s">
        <v>256</v>
      </c>
      <c r="X83" s="90" t="s">
        <v>350</v>
      </c>
      <c r="Y83" s="90" t="s">
        <v>301</v>
      </c>
      <c r="Z83" s="90" t="s">
        <v>246</v>
      </c>
      <c r="AA83" s="87">
        <v>45789</v>
      </c>
      <c r="AB83" s="85">
        <v>0.33333333333333331</v>
      </c>
      <c r="AC83" s="85">
        <v>0.33333333333333331</v>
      </c>
      <c r="AD83" s="90" t="s">
        <v>276</v>
      </c>
      <c r="AE83" s="90" t="s">
        <v>242</v>
      </c>
      <c r="AF83" s="93" t="s">
        <v>169</v>
      </c>
      <c r="AG83" s="85">
        <v>0.33333333333333331</v>
      </c>
      <c r="AH83" s="86">
        <v>45789</v>
      </c>
      <c r="AI83" s="90" t="s">
        <v>276</v>
      </c>
      <c r="AJ83" s="90" t="s">
        <v>183</v>
      </c>
      <c r="AK83" s="90" t="s">
        <v>705</v>
      </c>
      <c r="AL83" s="91">
        <v>2025</v>
      </c>
      <c r="AM83" s="91">
        <v>20</v>
      </c>
      <c r="AN83" s="91">
        <v>12</v>
      </c>
      <c r="AO83" s="90" t="s">
        <v>760</v>
      </c>
      <c r="AP83" s="90" t="s">
        <v>151</v>
      </c>
    </row>
    <row r="84" spans="1:42" x14ac:dyDescent="0.25">
      <c r="A84" s="92" t="s">
        <v>761</v>
      </c>
      <c r="B84" s="87">
        <v>45790</v>
      </c>
      <c r="C84" s="89">
        <v>0.64583333333333337</v>
      </c>
      <c r="D84" s="90" t="s">
        <v>188</v>
      </c>
      <c r="E84" s="90"/>
      <c r="F84" s="90"/>
      <c r="G84" s="90" t="s">
        <v>762</v>
      </c>
      <c r="H84" s="92" t="s">
        <v>251</v>
      </c>
      <c r="I84" s="93">
        <v>9</v>
      </c>
      <c r="J84" s="90" t="s">
        <v>763</v>
      </c>
      <c r="K84" s="91"/>
      <c r="L84" s="91"/>
      <c r="M84" s="90"/>
      <c r="N84" s="90"/>
      <c r="O84" s="90"/>
      <c r="P84" s="90"/>
      <c r="Q84" s="90"/>
      <c r="R84" s="90"/>
      <c r="S84" s="90"/>
      <c r="T84" s="90"/>
      <c r="U84" s="90" t="s">
        <v>480</v>
      </c>
      <c r="V84" s="90" t="s">
        <v>334</v>
      </c>
      <c r="W84" s="90" t="s">
        <v>164</v>
      </c>
      <c r="X84" s="90" t="s">
        <v>257</v>
      </c>
      <c r="Y84" s="90" t="s">
        <v>320</v>
      </c>
      <c r="Z84" s="90" t="s">
        <v>197</v>
      </c>
      <c r="AA84" s="87">
        <v>45790</v>
      </c>
      <c r="AB84" s="85">
        <v>0.64583333333333337</v>
      </c>
      <c r="AC84" s="85">
        <v>0.625</v>
      </c>
      <c r="AD84" s="90" t="s">
        <v>146</v>
      </c>
      <c r="AE84" s="90" t="s">
        <v>188</v>
      </c>
      <c r="AF84" s="93" t="s">
        <v>169</v>
      </c>
      <c r="AG84" s="85">
        <v>0.64583333333333337</v>
      </c>
      <c r="AH84" s="86">
        <v>45790</v>
      </c>
      <c r="AI84" s="90" t="s">
        <v>146</v>
      </c>
      <c r="AJ84" s="90" t="s">
        <v>148</v>
      </c>
      <c r="AK84" s="90" t="s">
        <v>705</v>
      </c>
      <c r="AL84" s="91">
        <v>2025</v>
      </c>
      <c r="AM84" s="91">
        <v>20</v>
      </c>
      <c r="AN84" s="91">
        <v>13</v>
      </c>
      <c r="AO84" s="90" t="s">
        <v>764</v>
      </c>
      <c r="AP84" s="90" t="s">
        <v>151</v>
      </c>
    </row>
    <row r="85" spans="1:42" x14ac:dyDescent="0.25">
      <c r="A85" s="92" t="s">
        <v>765</v>
      </c>
      <c r="B85" s="87">
        <v>45791</v>
      </c>
      <c r="C85" s="89">
        <v>0.46875</v>
      </c>
      <c r="D85" s="90" t="s">
        <v>174</v>
      </c>
      <c r="E85" s="90" t="s">
        <v>295</v>
      </c>
      <c r="F85" s="90"/>
      <c r="G85" s="90" t="s">
        <v>766</v>
      </c>
      <c r="H85" s="92" t="s">
        <v>325</v>
      </c>
      <c r="I85" s="93">
        <v>8</v>
      </c>
      <c r="J85" s="90" t="s">
        <v>767</v>
      </c>
      <c r="K85" s="91"/>
      <c r="L85" s="91"/>
      <c r="M85" s="90" t="s">
        <v>768</v>
      </c>
      <c r="N85" s="90"/>
      <c r="O85" s="90"/>
      <c r="P85" s="90"/>
      <c r="Q85" s="90"/>
      <c r="R85" s="90"/>
      <c r="S85" s="90"/>
      <c r="T85" s="90"/>
      <c r="U85" s="90" t="s">
        <v>480</v>
      </c>
      <c r="V85" s="90" t="s">
        <v>334</v>
      </c>
      <c r="W85" s="90" t="s">
        <v>164</v>
      </c>
      <c r="X85" s="90" t="s">
        <v>310</v>
      </c>
      <c r="Y85" s="90" t="s">
        <v>166</v>
      </c>
      <c r="Z85" s="90" t="s">
        <v>182</v>
      </c>
      <c r="AA85" s="87">
        <v>45791</v>
      </c>
      <c r="AB85" s="85">
        <v>0.46875</v>
      </c>
      <c r="AC85" s="85">
        <v>0.45833333333333331</v>
      </c>
      <c r="AD85" s="90" t="s">
        <v>276</v>
      </c>
      <c r="AE85" s="90" t="s">
        <v>302</v>
      </c>
      <c r="AF85" s="93" t="s">
        <v>169</v>
      </c>
      <c r="AG85" s="85">
        <v>0.46875</v>
      </c>
      <c r="AH85" s="86">
        <v>45791</v>
      </c>
      <c r="AI85" s="90" t="s">
        <v>276</v>
      </c>
      <c r="AJ85" s="90" t="s">
        <v>239</v>
      </c>
      <c r="AK85" s="90" t="s">
        <v>705</v>
      </c>
      <c r="AL85" s="91">
        <v>2025</v>
      </c>
      <c r="AM85" s="91">
        <v>20</v>
      </c>
      <c r="AN85" s="91">
        <v>14</v>
      </c>
      <c r="AO85" s="90" t="s">
        <v>374</v>
      </c>
      <c r="AP85" s="90" t="s">
        <v>151</v>
      </c>
    </row>
    <row r="86" spans="1:42" x14ac:dyDescent="0.25">
      <c r="A86" s="92" t="s">
        <v>769</v>
      </c>
      <c r="B86" s="87">
        <v>45795</v>
      </c>
      <c r="C86" s="89">
        <v>0.8125</v>
      </c>
      <c r="D86" s="90" t="s">
        <v>154</v>
      </c>
      <c r="E86" s="90"/>
      <c r="F86" s="90"/>
      <c r="G86" s="90" t="s">
        <v>770</v>
      </c>
      <c r="H86" s="92" t="s">
        <v>251</v>
      </c>
      <c r="I86" s="93">
        <v>9</v>
      </c>
      <c r="J86" s="90" t="s">
        <v>771</v>
      </c>
      <c r="K86" s="91"/>
      <c r="L86" s="91"/>
      <c r="M86" s="90" t="s">
        <v>772</v>
      </c>
      <c r="N86" s="90" t="s">
        <v>341</v>
      </c>
      <c r="O86" s="90" t="s">
        <v>773</v>
      </c>
      <c r="P86" s="90" t="s">
        <v>161</v>
      </c>
      <c r="Q86" s="90"/>
      <c r="R86" s="90"/>
      <c r="S86" s="90"/>
      <c r="T86" s="90"/>
      <c r="U86" s="90" t="s">
        <v>610</v>
      </c>
      <c r="V86" s="90" t="s">
        <v>245</v>
      </c>
      <c r="W86" s="90" t="s">
        <v>142</v>
      </c>
      <c r="X86" s="90" t="s">
        <v>350</v>
      </c>
      <c r="Y86" s="90" t="s">
        <v>181</v>
      </c>
      <c r="Z86" s="90" t="s">
        <v>167</v>
      </c>
      <c r="AA86" s="87">
        <v>45795</v>
      </c>
      <c r="AB86" s="85">
        <v>0.8125</v>
      </c>
      <c r="AC86" s="85">
        <v>0.79166666666666663</v>
      </c>
      <c r="AD86" s="90" t="s">
        <v>266</v>
      </c>
      <c r="AE86" s="90" t="s">
        <v>154</v>
      </c>
      <c r="AF86" s="93" t="s">
        <v>169</v>
      </c>
      <c r="AG86" s="85">
        <v>0.8125</v>
      </c>
      <c r="AH86" s="86">
        <v>45795</v>
      </c>
      <c r="AI86" s="90" t="s">
        <v>266</v>
      </c>
      <c r="AJ86" s="90" t="s">
        <v>311</v>
      </c>
      <c r="AK86" s="90" t="s">
        <v>705</v>
      </c>
      <c r="AL86" s="91">
        <v>2025</v>
      </c>
      <c r="AM86" s="91">
        <v>21</v>
      </c>
      <c r="AN86" s="91">
        <v>18</v>
      </c>
      <c r="AO86" s="90" t="s">
        <v>774</v>
      </c>
      <c r="AP86" s="90" t="s">
        <v>151</v>
      </c>
    </row>
    <row r="87" spans="1:42" x14ac:dyDescent="0.25">
      <c r="A87" s="92" t="s">
        <v>775</v>
      </c>
      <c r="B87" s="87">
        <v>45800</v>
      </c>
      <c r="C87" s="89">
        <v>0.33333333333333331</v>
      </c>
      <c r="D87" s="90" t="s">
        <v>242</v>
      </c>
      <c r="E87" s="90"/>
      <c r="F87" s="90"/>
      <c r="G87" s="90" t="s">
        <v>776</v>
      </c>
      <c r="H87" s="92"/>
      <c r="I87" s="93"/>
      <c r="J87" s="90" t="s">
        <v>777</v>
      </c>
      <c r="K87" s="91"/>
      <c r="L87" s="91"/>
      <c r="M87" s="90"/>
      <c r="N87" s="90"/>
      <c r="O87" s="90"/>
      <c r="P87" s="90"/>
      <c r="Q87" s="90"/>
      <c r="R87" s="90"/>
      <c r="S87" s="90"/>
      <c r="T87" s="90"/>
      <c r="U87" s="90" t="s">
        <v>480</v>
      </c>
      <c r="V87" s="90" t="s">
        <v>646</v>
      </c>
      <c r="W87" s="90" t="s">
        <v>328</v>
      </c>
      <c r="X87" s="90" t="s">
        <v>310</v>
      </c>
      <c r="Y87" s="90" t="s">
        <v>166</v>
      </c>
      <c r="Z87" s="90" t="s">
        <v>246</v>
      </c>
      <c r="AA87" s="87">
        <v>45800</v>
      </c>
      <c r="AB87" s="85">
        <v>0.33333333333333331</v>
      </c>
      <c r="AC87" s="85">
        <v>0.33333333333333331</v>
      </c>
      <c r="AD87" s="90" t="s">
        <v>276</v>
      </c>
      <c r="AE87" s="90" t="s">
        <v>242</v>
      </c>
      <c r="AF87" s="93" t="s">
        <v>169</v>
      </c>
      <c r="AG87" s="85">
        <v>0.33333333333333331</v>
      </c>
      <c r="AH87" s="86">
        <v>45800</v>
      </c>
      <c r="AI87" s="90" t="s">
        <v>276</v>
      </c>
      <c r="AJ87" s="90" t="s">
        <v>170</v>
      </c>
      <c r="AK87" s="90" t="s">
        <v>705</v>
      </c>
      <c r="AL87" s="91">
        <v>2025</v>
      </c>
      <c r="AM87" s="91">
        <v>21</v>
      </c>
      <c r="AN87" s="91">
        <v>23</v>
      </c>
      <c r="AO87" s="90" t="s">
        <v>648</v>
      </c>
      <c r="AP87" s="90" t="s">
        <v>151</v>
      </c>
    </row>
    <row r="88" spans="1:42" x14ac:dyDescent="0.25">
      <c r="A88" s="92" t="s">
        <v>778</v>
      </c>
      <c r="B88" s="87">
        <v>45801</v>
      </c>
      <c r="C88" s="89">
        <v>0.93333333333333335</v>
      </c>
      <c r="D88" s="90" t="s">
        <v>242</v>
      </c>
      <c r="E88" s="90" t="s">
        <v>556</v>
      </c>
      <c r="F88" s="90" t="s">
        <v>779</v>
      </c>
      <c r="G88" s="90" t="s">
        <v>780</v>
      </c>
      <c r="H88" s="92" t="s">
        <v>378</v>
      </c>
      <c r="I88" s="93">
        <v>5</v>
      </c>
      <c r="J88" s="90" t="s">
        <v>781</v>
      </c>
      <c r="K88" s="91"/>
      <c r="L88" s="91"/>
      <c r="M88" s="90"/>
      <c r="N88" s="90"/>
      <c r="O88" s="90"/>
      <c r="P88" s="90"/>
      <c r="Q88" s="90"/>
      <c r="R88" s="90"/>
      <c r="S88" s="90"/>
      <c r="T88" s="90"/>
      <c r="U88" s="90" t="s">
        <v>518</v>
      </c>
      <c r="V88" s="90" t="s">
        <v>562</v>
      </c>
      <c r="W88" s="90" t="s">
        <v>444</v>
      </c>
      <c r="X88" s="90" t="s">
        <v>228</v>
      </c>
      <c r="Y88" s="90" t="s">
        <v>166</v>
      </c>
      <c r="Z88" s="90" t="s">
        <v>246</v>
      </c>
      <c r="AA88" s="87">
        <v>45801</v>
      </c>
      <c r="AB88" s="85">
        <v>0.93333333333333335</v>
      </c>
      <c r="AC88" s="85">
        <v>0.91666666666666663</v>
      </c>
      <c r="AD88" s="90" t="s">
        <v>168</v>
      </c>
      <c r="AE88" s="90" t="s">
        <v>782</v>
      </c>
      <c r="AF88" s="93" t="s">
        <v>169</v>
      </c>
      <c r="AG88" s="85">
        <v>0.93333333333333335</v>
      </c>
      <c r="AH88" s="86">
        <v>45801</v>
      </c>
      <c r="AI88" s="90" t="s">
        <v>168</v>
      </c>
      <c r="AJ88" s="90" t="s">
        <v>292</v>
      </c>
      <c r="AK88" s="90" t="s">
        <v>705</v>
      </c>
      <c r="AL88" s="91">
        <v>2025</v>
      </c>
      <c r="AM88" s="91">
        <v>21</v>
      </c>
      <c r="AN88" s="91">
        <v>24</v>
      </c>
      <c r="AO88" s="90" t="s">
        <v>783</v>
      </c>
      <c r="AP88" s="90" t="s">
        <v>151</v>
      </c>
    </row>
    <row r="89" spans="1:42" x14ac:dyDescent="0.25">
      <c r="A89" s="92" t="s">
        <v>784</v>
      </c>
      <c r="B89" s="87">
        <v>45802</v>
      </c>
      <c r="C89" s="89">
        <v>0.23958333333333334</v>
      </c>
      <c r="D89" s="90" t="s">
        <v>367</v>
      </c>
      <c r="E89" s="90"/>
      <c r="F89" s="90"/>
      <c r="G89" s="90" t="s">
        <v>785</v>
      </c>
      <c r="H89" s="92" t="s">
        <v>414</v>
      </c>
      <c r="I89" s="93">
        <v>7</v>
      </c>
      <c r="J89" s="90" t="s">
        <v>786</v>
      </c>
      <c r="K89" s="91"/>
      <c r="L89" s="91"/>
      <c r="M89" s="90"/>
      <c r="N89" s="90"/>
      <c r="O89" s="90"/>
      <c r="P89" s="90"/>
      <c r="Q89" s="90"/>
      <c r="R89" s="90"/>
      <c r="S89" s="90"/>
      <c r="T89" s="90"/>
      <c r="U89" s="90" t="s">
        <v>599</v>
      </c>
      <c r="V89" s="90" t="s">
        <v>787</v>
      </c>
      <c r="W89" s="90" t="s">
        <v>542</v>
      </c>
      <c r="X89" s="90" t="s">
        <v>350</v>
      </c>
      <c r="Y89" s="90" t="s">
        <v>320</v>
      </c>
      <c r="Z89" s="90" t="s">
        <v>246</v>
      </c>
      <c r="AA89" s="87">
        <v>45802</v>
      </c>
      <c r="AB89" s="85">
        <v>0.23958333333333334</v>
      </c>
      <c r="AC89" s="85">
        <v>0.20833333333333334</v>
      </c>
      <c r="AD89" s="90" t="s">
        <v>385</v>
      </c>
      <c r="AE89" s="90" t="s">
        <v>367</v>
      </c>
      <c r="AF89" s="93" t="s">
        <v>169</v>
      </c>
      <c r="AG89" s="85">
        <v>0.23958333333333334</v>
      </c>
      <c r="AH89" s="86">
        <v>45802</v>
      </c>
      <c r="AI89" s="90" t="s">
        <v>385</v>
      </c>
      <c r="AJ89" s="90" t="s">
        <v>311</v>
      </c>
      <c r="AK89" s="90" t="s">
        <v>705</v>
      </c>
      <c r="AL89" s="91">
        <v>2025</v>
      </c>
      <c r="AM89" s="91">
        <v>22</v>
      </c>
      <c r="AN89" s="91">
        <v>25</v>
      </c>
      <c r="AO89" s="90" t="s">
        <v>184</v>
      </c>
      <c r="AP89" s="90" t="s">
        <v>151</v>
      </c>
    </row>
    <row r="90" spans="1:42" x14ac:dyDescent="0.25">
      <c r="A90" s="92" t="s">
        <v>788</v>
      </c>
      <c r="B90" s="87">
        <v>45802</v>
      </c>
      <c r="C90" s="89">
        <v>0.76041666666666663</v>
      </c>
      <c r="D90" s="90" t="s">
        <v>242</v>
      </c>
      <c r="E90" s="90" t="s">
        <v>219</v>
      </c>
      <c r="F90" s="90" t="s">
        <v>347</v>
      </c>
      <c r="G90" s="90" t="s">
        <v>789</v>
      </c>
      <c r="H90" s="92" t="s">
        <v>378</v>
      </c>
      <c r="I90" s="93">
        <v>5</v>
      </c>
      <c r="J90" s="90" t="s">
        <v>790</v>
      </c>
      <c r="K90" s="91"/>
      <c r="L90" s="91"/>
      <c r="M90" s="90"/>
      <c r="N90" s="90"/>
      <c r="O90" s="90"/>
      <c r="P90" s="90"/>
      <c r="Q90" s="90"/>
      <c r="R90" s="90"/>
      <c r="S90" s="90"/>
      <c r="T90" s="90"/>
      <c r="U90" s="90" t="s">
        <v>518</v>
      </c>
      <c r="V90" s="90" t="s">
        <v>309</v>
      </c>
      <c r="W90" s="90" t="s">
        <v>444</v>
      </c>
      <c r="X90" s="90" t="s">
        <v>228</v>
      </c>
      <c r="Y90" s="90" t="s">
        <v>166</v>
      </c>
      <c r="Z90" s="90" t="s">
        <v>246</v>
      </c>
      <c r="AA90" s="87">
        <v>45802</v>
      </c>
      <c r="AB90" s="85">
        <v>0.76041666666666663</v>
      </c>
      <c r="AC90" s="85">
        <v>0.75</v>
      </c>
      <c r="AD90" s="90" t="s">
        <v>266</v>
      </c>
      <c r="AE90" s="90" t="s">
        <v>791</v>
      </c>
      <c r="AF90" s="93" t="s">
        <v>169</v>
      </c>
      <c r="AG90" s="85">
        <v>0.76041666666666663</v>
      </c>
      <c r="AH90" s="86">
        <v>45802</v>
      </c>
      <c r="AI90" s="90" t="s">
        <v>266</v>
      </c>
      <c r="AJ90" s="90" t="s">
        <v>311</v>
      </c>
      <c r="AK90" s="90" t="s">
        <v>705</v>
      </c>
      <c r="AL90" s="91">
        <v>2025</v>
      </c>
      <c r="AM90" s="91">
        <v>22</v>
      </c>
      <c r="AN90" s="91">
        <v>25</v>
      </c>
      <c r="AO90" s="90" t="s">
        <v>792</v>
      </c>
      <c r="AP90" s="90" t="s">
        <v>231</v>
      </c>
    </row>
    <row r="91" spans="1:42" x14ac:dyDescent="0.25">
      <c r="A91" s="92" t="s">
        <v>793</v>
      </c>
      <c r="B91" s="87">
        <v>45804</v>
      </c>
      <c r="C91" s="89">
        <v>0.9770833333333333</v>
      </c>
      <c r="D91" s="90" t="s">
        <v>206</v>
      </c>
      <c r="E91" s="90" t="s">
        <v>779</v>
      </c>
      <c r="F91" s="90" t="s">
        <v>794</v>
      </c>
      <c r="G91" s="90" t="s">
        <v>795</v>
      </c>
      <c r="H91" s="92" t="s">
        <v>270</v>
      </c>
      <c r="I91" s="93">
        <v>5</v>
      </c>
      <c r="J91" s="90" t="s">
        <v>796</v>
      </c>
      <c r="K91" s="91"/>
      <c r="L91" s="91"/>
      <c r="M91" s="90"/>
      <c r="N91" s="90"/>
      <c r="O91" s="90"/>
      <c r="P91" s="90"/>
      <c r="Q91" s="90"/>
      <c r="R91" s="90"/>
      <c r="S91" s="90"/>
      <c r="T91" s="90"/>
      <c r="U91" s="90" t="s">
        <v>193</v>
      </c>
      <c r="V91" s="90" t="s">
        <v>443</v>
      </c>
      <c r="W91" s="90" t="s">
        <v>444</v>
      </c>
      <c r="X91" s="90" t="s">
        <v>275</v>
      </c>
      <c r="Y91" s="90" t="s">
        <v>166</v>
      </c>
      <c r="Z91" s="90" t="s">
        <v>213</v>
      </c>
      <c r="AA91" s="87">
        <v>45804</v>
      </c>
      <c r="AB91" s="85">
        <v>0.9770833333333333</v>
      </c>
      <c r="AC91" s="85">
        <v>0.95833333333333337</v>
      </c>
      <c r="AD91" s="90" t="s">
        <v>168</v>
      </c>
      <c r="AE91" s="90" t="s">
        <v>797</v>
      </c>
      <c r="AF91" s="93" t="s">
        <v>169</v>
      </c>
      <c r="AG91" s="85">
        <v>0.9770833333333333</v>
      </c>
      <c r="AH91" s="86">
        <v>45804</v>
      </c>
      <c r="AI91" s="90" t="s">
        <v>168</v>
      </c>
      <c r="AJ91" s="90" t="s">
        <v>148</v>
      </c>
      <c r="AK91" s="90" t="s">
        <v>705</v>
      </c>
      <c r="AL91" s="91">
        <v>2025</v>
      </c>
      <c r="AM91" s="91">
        <v>22</v>
      </c>
      <c r="AN91" s="91">
        <v>27</v>
      </c>
      <c r="AO91" s="90" t="s">
        <v>731</v>
      </c>
      <c r="AP91" s="90" t="s">
        <v>375</v>
      </c>
    </row>
    <row r="92" spans="1:42" x14ac:dyDescent="0.25">
      <c r="A92" s="92" t="s">
        <v>798</v>
      </c>
      <c r="B92" s="87">
        <v>45806</v>
      </c>
      <c r="C92" s="89">
        <v>0.15972222222222221</v>
      </c>
      <c r="D92" s="90" t="s">
        <v>206</v>
      </c>
      <c r="E92" s="90"/>
      <c r="F92" s="90"/>
      <c r="G92" s="90" t="s">
        <v>799</v>
      </c>
      <c r="H92" s="92" t="s">
        <v>138</v>
      </c>
      <c r="I92" s="93">
        <v>8</v>
      </c>
      <c r="J92" s="90" t="s">
        <v>800</v>
      </c>
      <c r="K92" s="91"/>
      <c r="L92" s="91"/>
      <c r="M92" s="90"/>
      <c r="N92" s="90"/>
      <c r="O92" s="90"/>
      <c r="P92" s="90"/>
      <c r="Q92" s="90"/>
      <c r="R92" s="90"/>
      <c r="S92" s="90"/>
      <c r="T92" s="90"/>
      <c r="U92" s="90" t="s">
        <v>264</v>
      </c>
      <c r="V92" s="90" t="s">
        <v>801</v>
      </c>
      <c r="W92" s="90" t="s">
        <v>164</v>
      </c>
      <c r="X92" s="90" t="s">
        <v>350</v>
      </c>
      <c r="Y92" s="90" t="s">
        <v>301</v>
      </c>
      <c r="Z92" s="90" t="s">
        <v>213</v>
      </c>
      <c r="AA92" s="87">
        <v>45806</v>
      </c>
      <c r="AB92" s="85">
        <v>0.15972222222222221</v>
      </c>
      <c r="AC92" s="85">
        <v>0.125</v>
      </c>
      <c r="AD92" s="90" t="s">
        <v>343</v>
      </c>
      <c r="AE92" s="90" t="s">
        <v>206</v>
      </c>
      <c r="AF92" s="93" t="s">
        <v>169</v>
      </c>
      <c r="AG92" s="85">
        <v>0.15972222222222221</v>
      </c>
      <c r="AH92" s="86">
        <v>45806</v>
      </c>
      <c r="AI92" s="90" t="s">
        <v>343</v>
      </c>
      <c r="AJ92" s="90" t="s">
        <v>247</v>
      </c>
      <c r="AK92" s="90" t="s">
        <v>705</v>
      </c>
      <c r="AL92" s="91">
        <v>2025</v>
      </c>
      <c r="AM92" s="91">
        <v>22</v>
      </c>
      <c r="AN92" s="91">
        <v>29</v>
      </c>
      <c r="AO92" s="90" t="s">
        <v>802</v>
      </c>
      <c r="AP92" s="90" t="s">
        <v>151</v>
      </c>
    </row>
    <row r="93" spans="1:42" x14ac:dyDescent="0.25">
      <c r="A93" s="92" t="s">
        <v>803</v>
      </c>
      <c r="B93" s="87">
        <v>45809</v>
      </c>
      <c r="C93" s="89">
        <v>0.5</v>
      </c>
      <c r="D93" s="90" t="s">
        <v>136</v>
      </c>
      <c r="E93" s="90" t="s">
        <v>804</v>
      </c>
      <c r="F93" s="90" t="s">
        <v>166</v>
      </c>
      <c r="G93" s="90" t="s">
        <v>805</v>
      </c>
      <c r="H93" s="92" t="s">
        <v>191</v>
      </c>
      <c r="I93" s="93">
        <v>7</v>
      </c>
      <c r="J93" s="90" t="s">
        <v>806</v>
      </c>
      <c r="K93" s="91"/>
      <c r="L93" s="91"/>
      <c r="M93" s="90"/>
      <c r="N93" s="90"/>
      <c r="O93" s="90"/>
      <c r="P93" s="90"/>
      <c r="Q93" s="90"/>
      <c r="R93" s="90"/>
      <c r="S93" s="90"/>
      <c r="T93" s="90"/>
      <c r="U93" s="90" t="s">
        <v>281</v>
      </c>
      <c r="V93" s="90" t="s">
        <v>228</v>
      </c>
      <c r="W93" s="90" t="s">
        <v>282</v>
      </c>
      <c r="X93" s="90" t="s">
        <v>228</v>
      </c>
      <c r="Y93" s="90" t="s">
        <v>166</v>
      </c>
      <c r="Z93" s="90" t="s">
        <v>807</v>
      </c>
      <c r="AA93" s="87">
        <v>45809</v>
      </c>
      <c r="AB93" s="85">
        <v>0.5</v>
      </c>
      <c r="AC93" s="85">
        <v>0.5</v>
      </c>
      <c r="AD93" s="90" t="s">
        <v>146</v>
      </c>
      <c r="AE93" s="90" t="s">
        <v>808</v>
      </c>
      <c r="AF93" s="93" t="s">
        <v>169</v>
      </c>
      <c r="AG93" s="85">
        <v>0.5</v>
      </c>
      <c r="AH93" s="86">
        <v>45809</v>
      </c>
      <c r="AI93" s="90" t="s">
        <v>146</v>
      </c>
      <c r="AJ93" s="90" t="s">
        <v>311</v>
      </c>
      <c r="AK93" s="90" t="s">
        <v>149</v>
      </c>
      <c r="AL93" s="91">
        <v>2025</v>
      </c>
      <c r="AM93" s="91">
        <v>23</v>
      </c>
      <c r="AN93" s="91">
        <v>1</v>
      </c>
      <c r="AO93" s="90" t="s">
        <v>627</v>
      </c>
      <c r="AP93" s="90" t="s">
        <v>231</v>
      </c>
    </row>
    <row r="94" spans="1:42" x14ac:dyDescent="0.25">
      <c r="A94" s="92" t="s">
        <v>810</v>
      </c>
      <c r="B94" s="87">
        <v>45810</v>
      </c>
      <c r="C94" s="89">
        <v>0.56944444444444442</v>
      </c>
      <c r="D94" s="90" t="s">
        <v>154</v>
      </c>
      <c r="E94" s="90"/>
      <c r="F94" s="90"/>
      <c r="G94" s="90" t="s">
        <v>811</v>
      </c>
      <c r="H94" s="92" t="s">
        <v>812</v>
      </c>
      <c r="I94" s="93">
        <v>9</v>
      </c>
      <c r="J94" s="90" t="s">
        <v>813</v>
      </c>
      <c r="K94" s="91"/>
      <c r="L94" s="91"/>
      <c r="M94" s="90" t="s">
        <v>814</v>
      </c>
      <c r="N94" s="90" t="s">
        <v>341</v>
      </c>
      <c r="O94" s="90" t="s">
        <v>815</v>
      </c>
      <c r="P94" s="90" t="s">
        <v>161</v>
      </c>
      <c r="Q94" s="90"/>
      <c r="R94" s="90"/>
      <c r="S94" s="90"/>
      <c r="T94" s="90"/>
      <c r="U94" s="90" t="s">
        <v>467</v>
      </c>
      <c r="V94" s="90" t="s">
        <v>141</v>
      </c>
      <c r="W94" s="90" t="s">
        <v>142</v>
      </c>
      <c r="X94" s="90" t="s">
        <v>488</v>
      </c>
      <c r="Y94" s="90" t="s">
        <v>166</v>
      </c>
      <c r="Z94" s="90" t="s">
        <v>167</v>
      </c>
      <c r="AA94" s="87">
        <v>45810</v>
      </c>
      <c r="AB94" s="85">
        <v>0.56944444444444442</v>
      </c>
      <c r="AC94" s="85">
        <v>0.54166666666666663</v>
      </c>
      <c r="AD94" s="90" t="s">
        <v>146</v>
      </c>
      <c r="AE94" s="90" t="s">
        <v>154</v>
      </c>
      <c r="AF94" s="93" t="s">
        <v>169</v>
      </c>
      <c r="AG94" s="85">
        <v>0.56944444444444442</v>
      </c>
      <c r="AH94" s="86">
        <v>45810</v>
      </c>
      <c r="AI94" s="90" t="s">
        <v>146</v>
      </c>
      <c r="AJ94" s="90" t="s">
        <v>183</v>
      </c>
      <c r="AK94" s="90" t="s">
        <v>149</v>
      </c>
      <c r="AL94" s="91">
        <v>2025</v>
      </c>
      <c r="AM94" s="91">
        <v>23</v>
      </c>
      <c r="AN94" s="91">
        <v>2</v>
      </c>
      <c r="AO94" s="90" t="s">
        <v>816</v>
      </c>
      <c r="AP94" s="90" t="s">
        <v>151</v>
      </c>
    </row>
    <row r="95" spans="1:42" x14ac:dyDescent="0.25">
      <c r="A95" s="92" t="s">
        <v>817</v>
      </c>
      <c r="B95" s="87">
        <v>45811</v>
      </c>
      <c r="C95" s="89">
        <v>0.81298611111111108</v>
      </c>
      <c r="D95" s="90" t="s">
        <v>154</v>
      </c>
      <c r="E95" s="90"/>
      <c r="F95" s="90"/>
      <c r="G95" s="90" t="s">
        <v>818</v>
      </c>
      <c r="H95" s="92" t="s">
        <v>414</v>
      </c>
      <c r="I95" s="93">
        <v>7</v>
      </c>
      <c r="J95" s="90" t="s">
        <v>819</v>
      </c>
      <c r="K95" s="91"/>
      <c r="L95" s="91"/>
      <c r="M95" s="90" t="s">
        <v>820</v>
      </c>
      <c r="N95" s="90" t="s">
        <v>821</v>
      </c>
      <c r="O95" s="90" t="s">
        <v>822</v>
      </c>
      <c r="P95" s="90" t="s">
        <v>161</v>
      </c>
      <c r="Q95" s="90"/>
      <c r="R95" s="90"/>
      <c r="S95" s="90"/>
      <c r="T95" s="90"/>
      <c r="U95" s="90" t="s">
        <v>511</v>
      </c>
      <c r="V95" s="90" t="s">
        <v>554</v>
      </c>
      <c r="W95" s="90" t="s">
        <v>256</v>
      </c>
      <c r="X95" s="90" t="s">
        <v>257</v>
      </c>
      <c r="Y95" s="90" t="s">
        <v>166</v>
      </c>
      <c r="Z95" s="90" t="s">
        <v>167</v>
      </c>
      <c r="AA95" s="87">
        <v>45811</v>
      </c>
      <c r="AB95" s="85">
        <v>0.81298611111111108</v>
      </c>
      <c r="AC95" s="85">
        <v>0.79166666666666663</v>
      </c>
      <c r="AD95" s="90" t="s">
        <v>266</v>
      </c>
      <c r="AE95" s="90" t="s">
        <v>154</v>
      </c>
      <c r="AF95" s="93" t="s">
        <v>169</v>
      </c>
      <c r="AG95" s="85">
        <v>0.81298611111111108</v>
      </c>
      <c r="AH95" s="86">
        <v>45811</v>
      </c>
      <c r="AI95" s="90" t="s">
        <v>266</v>
      </c>
      <c r="AJ95" s="90" t="s">
        <v>148</v>
      </c>
      <c r="AK95" s="90" t="s">
        <v>149</v>
      </c>
      <c r="AL95" s="91">
        <v>2025</v>
      </c>
      <c r="AM95" s="91">
        <v>23</v>
      </c>
      <c r="AN95" s="91">
        <v>3</v>
      </c>
      <c r="AO95" s="90" t="s">
        <v>666</v>
      </c>
      <c r="AP95" s="90" t="s">
        <v>151</v>
      </c>
    </row>
    <row r="96" spans="1:42" x14ac:dyDescent="0.25">
      <c r="A96" s="92" t="s">
        <v>823</v>
      </c>
      <c r="B96" s="87">
        <v>45813</v>
      </c>
      <c r="C96" s="89">
        <v>0.28472222222222221</v>
      </c>
      <c r="D96" s="90" t="s">
        <v>174</v>
      </c>
      <c r="E96" s="90" t="s">
        <v>556</v>
      </c>
      <c r="F96" s="90"/>
      <c r="G96" s="90" t="s">
        <v>824</v>
      </c>
      <c r="H96" s="92" t="s">
        <v>338</v>
      </c>
      <c r="I96" s="93">
        <v>6</v>
      </c>
      <c r="J96" s="90" t="s">
        <v>825</v>
      </c>
      <c r="K96" s="91"/>
      <c r="L96" s="91"/>
      <c r="M96" s="90" t="s">
        <v>826</v>
      </c>
      <c r="N96" s="90" t="s">
        <v>827</v>
      </c>
      <c r="O96" s="90" t="s">
        <v>828</v>
      </c>
      <c r="P96" s="90" t="s">
        <v>161</v>
      </c>
      <c r="Q96" s="90"/>
      <c r="R96" s="90"/>
      <c r="S96" s="90"/>
      <c r="T96" s="90"/>
      <c r="U96" s="90" t="s">
        <v>193</v>
      </c>
      <c r="V96" s="90" t="s">
        <v>393</v>
      </c>
      <c r="W96" s="90" t="s">
        <v>384</v>
      </c>
      <c r="X96" s="90" t="s">
        <v>228</v>
      </c>
      <c r="Y96" s="90" t="s">
        <v>166</v>
      </c>
      <c r="Z96" s="90" t="s">
        <v>182</v>
      </c>
      <c r="AA96" s="87">
        <v>45813</v>
      </c>
      <c r="AB96" s="85">
        <v>0.28472222222222221</v>
      </c>
      <c r="AC96" s="85">
        <v>0.25</v>
      </c>
      <c r="AD96" s="90" t="s">
        <v>385</v>
      </c>
      <c r="AE96" s="90" t="s">
        <v>829</v>
      </c>
      <c r="AF96" s="93" t="s">
        <v>169</v>
      </c>
      <c r="AG96" s="85">
        <v>0.28472222222222221</v>
      </c>
      <c r="AH96" s="86">
        <v>45813</v>
      </c>
      <c r="AI96" s="90" t="s">
        <v>385</v>
      </c>
      <c r="AJ96" s="90" t="s">
        <v>247</v>
      </c>
      <c r="AK96" s="90" t="s">
        <v>149</v>
      </c>
      <c r="AL96" s="91">
        <v>2025</v>
      </c>
      <c r="AM96" s="91">
        <v>23</v>
      </c>
      <c r="AN96" s="91">
        <v>5</v>
      </c>
      <c r="AO96" s="90" t="s">
        <v>830</v>
      </c>
      <c r="AP96" s="90" t="s">
        <v>151</v>
      </c>
    </row>
    <row r="97" spans="1:42" x14ac:dyDescent="0.25">
      <c r="A97" s="92" t="s">
        <v>831</v>
      </c>
      <c r="B97" s="87">
        <v>45813</v>
      </c>
      <c r="C97" s="89">
        <v>0.28194444444444444</v>
      </c>
      <c r="D97" s="90" t="s">
        <v>174</v>
      </c>
      <c r="E97" s="90" t="s">
        <v>556</v>
      </c>
      <c r="F97" s="90"/>
      <c r="G97" s="90" t="s">
        <v>832</v>
      </c>
      <c r="H97" s="92" t="s">
        <v>553</v>
      </c>
      <c r="I97" s="93">
        <v>7</v>
      </c>
      <c r="J97" s="90" t="s">
        <v>833</v>
      </c>
      <c r="K97" s="91"/>
      <c r="L97" s="91"/>
      <c r="M97" s="90" t="s">
        <v>834</v>
      </c>
      <c r="N97" s="90" t="s">
        <v>827</v>
      </c>
      <c r="O97" s="90" t="s">
        <v>828</v>
      </c>
      <c r="P97" s="90" t="s">
        <v>835</v>
      </c>
      <c r="Q97" s="90"/>
      <c r="R97" s="90"/>
      <c r="S97" s="90"/>
      <c r="T97" s="90"/>
      <c r="U97" s="90" t="s">
        <v>193</v>
      </c>
      <c r="V97" s="90" t="s">
        <v>265</v>
      </c>
      <c r="W97" s="90" t="s">
        <v>164</v>
      </c>
      <c r="X97" s="90" t="s">
        <v>228</v>
      </c>
      <c r="Y97" s="90" t="s">
        <v>166</v>
      </c>
      <c r="Z97" s="90" t="s">
        <v>167</v>
      </c>
      <c r="AA97" s="87">
        <v>45813</v>
      </c>
      <c r="AB97" s="85">
        <v>0.28194444444444444</v>
      </c>
      <c r="AC97" s="85">
        <v>0.25</v>
      </c>
      <c r="AD97" s="90" t="s">
        <v>385</v>
      </c>
      <c r="AE97" s="90" t="s">
        <v>829</v>
      </c>
      <c r="AF97" s="93" t="s">
        <v>169</v>
      </c>
      <c r="AG97" s="85">
        <v>0.28194444444444444</v>
      </c>
      <c r="AH97" s="86">
        <v>45813</v>
      </c>
      <c r="AI97" s="90" t="s">
        <v>385</v>
      </c>
      <c r="AJ97" s="90" t="s">
        <v>247</v>
      </c>
      <c r="AK97" s="90" t="s">
        <v>149</v>
      </c>
      <c r="AL97" s="91">
        <v>2025</v>
      </c>
      <c r="AM97" s="91">
        <v>23</v>
      </c>
      <c r="AN97" s="91">
        <v>5</v>
      </c>
      <c r="AO97" s="90" t="s">
        <v>836</v>
      </c>
      <c r="AP97" s="90" t="s">
        <v>151</v>
      </c>
    </row>
    <row r="98" spans="1:42" x14ac:dyDescent="0.25">
      <c r="A98" s="92" t="s">
        <v>837</v>
      </c>
      <c r="B98" s="87">
        <v>45815</v>
      </c>
      <c r="C98" s="89">
        <v>0.35416666666666669</v>
      </c>
      <c r="D98" s="90" t="s">
        <v>174</v>
      </c>
      <c r="E98" s="90" t="s">
        <v>556</v>
      </c>
      <c r="F98" s="90"/>
      <c r="G98" s="90" t="s">
        <v>491</v>
      </c>
      <c r="H98" s="92" t="s">
        <v>221</v>
      </c>
      <c r="I98" s="93">
        <v>9</v>
      </c>
      <c r="J98" s="90" t="s">
        <v>838</v>
      </c>
      <c r="K98" s="91"/>
      <c r="L98" s="91"/>
      <c r="M98" s="90" t="s">
        <v>839</v>
      </c>
      <c r="N98" s="90" t="s">
        <v>486</v>
      </c>
      <c r="O98" s="90" t="s">
        <v>840</v>
      </c>
      <c r="P98" s="90" t="s">
        <v>161</v>
      </c>
      <c r="Q98" s="90"/>
      <c r="R98" s="90"/>
      <c r="S98" s="90"/>
      <c r="T98" s="90"/>
      <c r="U98" s="90" t="s">
        <v>480</v>
      </c>
      <c r="V98" s="90" t="s">
        <v>841</v>
      </c>
      <c r="W98" s="90" t="s">
        <v>384</v>
      </c>
      <c r="X98" s="90" t="s">
        <v>310</v>
      </c>
      <c r="Y98" s="90" t="s">
        <v>166</v>
      </c>
      <c r="Z98" s="90" t="s">
        <v>182</v>
      </c>
      <c r="AA98" s="87">
        <v>45815</v>
      </c>
      <c r="AB98" s="85">
        <v>0.35416666666666669</v>
      </c>
      <c r="AC98" s="85">
        <v>0.33333333333333331</v>
      </c>
      <c r="AD98" s="90" t="s">
        <v>276</v>
      </c>
      <c r="AE98" s="90" t="s">
        <v>829</v>
      </c>
      <c r="AF98" s="93" t="s">
        <v>169</v>
      </c>
      <c r="AG98" s="85">
        <v>0.35416666666666669</v>
      </c>
      <c r="AH98" s="86">
        <v>45815</v>
      </c>
      <c r="AI98" s="90" t="s">
        <v>276</v>
      </c>
      <c r="AJ98" s="90" t="s">
        <v>292</v>
      </c>
      <c r="AK98" s="90" t="s">
        <v>149</v>
      </c>
      <c r="AL98" s="91">
        <v>2025</v>
      </c>
      <c r="AM98" s="91">
        <v>23</v>
      </c>
      <c r="AN98" s="91">
        <v>7</v>
      </c>
      <c r="AO98" s="90" t="s">
        <v>230</v>
      </c>
      <c r="AP98" s="90" t="s">
        <v>151</v>
      </c>
    </row>
    <row r="99" spans="1:42" x14ac:dyDescent="0.25">
      <c r="A99" s="92" t="s">
        <v>842</v>
      </c>
      <c r="B99" s="87">
        <v>45816</v>
      </c>
      <c r="C99" s="89">
        <v>6.25E-2</v>
      </c>
      <c r="D99" s="90" t="s">
        <v>174</v>
      </c>
      <c r="E99" s="90"/>
      <c r="F99" s="90"/>
      <c r="G99" s="90" t="s">
        <v>470</v>
      </c>
      <c r="H99" s="92" t="s">
        <v>191</v>
      </c>
      <c r="I99" s="93">
        <v>7</v>
      </c>
      <c r="J99" s="90" t="s">
        <v>843</v>
      </c>
      <c r="K99" s="91"/>
      <c r="L99" s="91"/>
      <c r="M99" s="90" t="s">
        <v>844</v>
      </c>
      <c r="N99" s="90"/>
      <c r="O99" s="90" t="s">
        <v>773</v>
      </c>
      <c r="P99" s="90" t="s">
        <v>161</v>
      </c>
      <c r="Q99" s="90"/>
      <c r="R99" s="90"/>
      <c r="S99" s="90"/>
      <c r="T99" s="90"/>
      <c r="U99" s="90" t="s">
        <v>193</v>
      </c>
      <c r="V99" s="90" t="s">
        <v>265</v>
      </c>
      <c r="W99" s="90" t="s">
        <v>164</v>
      </c>
      <c r="X99" s="90" t="s">
        <v>228</v>
      </c>
      <c r="Y99" s="90" t="s">
        <v>181</v>
      </c>
      <c r="Z99" s="90" t="s">
        <v>182</v>
      </c>
      <c r="AA99" s="87">
        <v>45816</v>
      </c>
      <c r="AB99" s="85">
        <v>6.25E-2</v>
      </c>
      <c r="AC99" s="85">
        <v>4.1666666666666664E-2</v>
      </c>
      <c r="AD99" s="90" t="s">
        <v>343</v>
      </c>
      <c r="AE99" s="90" t="s">
        <v>174</v>
      </c>
      <c r="AF99" s="93" t="s">
        <v>169</v>
      </c>
      <c r="AG99" s="85">
        <v>6.25E-2</v>
      </c>
      <c r="AH99" s="86">
        <v>45816</v>
      </c>
      <c r="AI99" s="90" t="s">
        <v>343</v>
      </c>
      <c r="AJ99" s="90" t="s">
        <v>311</v>
      </c>
      <c r="AK99" s="90" t="s">
        <v>149</v>
      </c>
      <c r="AL99" s="91">
        <v>2025</v>
      </c>
      <c r="AM99" s="91">
        <v>24</v>
      </c>
      <c r="AN99" s="91">
        <v>8</v>
      </c>
      <c r="AO99" s="90" t="s">
        <v>476</v>
      </c>
      <c r="AP99" s="90" t="s">
        <v>151</v>
      </c>
    </row>
    <row r="100" spans="1:42" x14ac:dyDescent="0.25">
      <c r="A100" s="92" t="s">
        <v>845</v>
      </c>
      <c r="B100" s="87">
        <v>45816</v>
      </c>
      <c r="C100" s="89">
        <v>0.98263888888888884</v>
      </c>
      <c r="D100" s="90" t="s">
        <v>206</v>
      </c>
      <c r="E100" s="90"/>
      <c r="F100" s="90"/>
      <c r="G100" s="90" t="s">
        <v>846</v>
      </c>
      <c r="H100" s="92" t="s">
        <v>644</v>
      </c>
      <c r="I100" s="93">
        <v>7</v>
      </c>
      <c r="J100" s="90" t="s">
        <v>847</v>
      </c>
      <c r="K100" s="91"/>
      <c r="L100" s="91"/>
      <c r="M100" s="90"/>
      <c r="N100" s="90"/>
      <c r="O100" s="90"/>
      <c r="P100" s="90"/>
      <c r="Q100" s="90"/>
      <c r="R100" s="90"/>
      <c r="S100" s="90"/>
      <c r="T100" s="90"/>
      <c r="U100" s="90" t="s">
        <v>480</v>
      </c>
      <c r="V100" s="90" t="s">
        <v>848</v>
      </c>
      <c r="W100" s="90" t="s">
        <v>211</v>
      </c>
      <c r="X100" s="90" t="s">
        <v>257</v>
      </c>
      <c r="Y100" s="90" t="s">
        <v>181</v>
      </c>
      <c r="Z100" s="90" t="s">
        <v>213</v>
      </c>
      <c r="AA100" s="87">
        <v>45816</v>
      </c>
      <c r="AB100" s="85">
        <v>0.98263888888888884</v>
      </c>
      <c r="AC100" s="85">
        <v>0.95833333333333337</v>
      </c>
      <c r="AD100" s="90" t="s">
        <v>168</v>
      </c>
      <c r="AE100" s="90" t="s">
        <v>206</v>
      </c>
      <c r="AF100" s="93" t="s">
        <v>169</v>
      </c>
      <c r="AG100" s="85">
        <v>0.98263888888888884</v>
      </c>
      <c r="AH100" s="86">
        <v>45816</v>
      </c>
      <c r="AI100" s="90" t="s">
        <v>168</v>
      </c>
      <c r="AJ100" s="90" t="s">
        <v>311</v>
      </c>
      <c r="AK100" s="90" t="s">
        <v>149</v>
      </c>
      <c r="AL100" s="91">
        <v>2025</v>
      </c>
      <c r="AM100" s="91">
        <v>24</v>
      </c>
      <c r="AN100" s="91">
        <v>8</v>
      </c>
      <c r="AO100" s="90" t="s">
        <v>648</v>
      </c>
      <c r="AP100" s="90" t="s">
        <v>151</v>
      </c>
    </row>
    <row r="101" spans="1:42" x14ac:dyDescent="0.25">
      <c r="A101" s="92" t="s">
        <v>849</v>
      </c>
      <c r="B101" s="87">
        <v>45819</v>
      </c>
      <c r="C101" s="89">
        <v>0.18819444444444444</v>
      </c>
      <c r="D101" s="90" t="s">
        <v>154</v>
      </c>
      <c r="E101" s="90"/>
      <c r="F101" s="90"/>
      <c r="G101" s="90" t="s">
        <v>850</v>
      </c>
      <c r="H101" s="92"/>
      <c r="I101" s="93"/>
      <c r="J101" s="90" t="s">
        <v>851</v>
      </c>
      <c r="K101" s="91"/>
      <c r="L101" s="91"/>
      <c r="M101" s="90" t="s">
        <v>852</v>
      </c>
      <c r="N101" s="90" t="s">
        <v>560</v>
      </c>
      <c r="O101" s="90" t="s">
        <v>853</v>
      </c>
      <c r="P101" s="90" t="s">
        <v>161</v>
      </c>
      <c r="Q101" s="90"/>
      <c r="R101" s="90"/>
      <c r="S101" s="90"/>
      <c r="T101" s="90"/>
      <c r="U101" s="90" t="s">
        <v>709</v>
      </c>
      <c r="V101" s="90" t="s">
        <v>255</v>
      </c>
      <c r="W101" s="90" t="s">
        <v>256</v>
      </c>
      <c r="X101" s="90" t="s">
        <v>310</v>
      </c>
      <c r="Y101" s="90" t="s">
        <v>181</v>
      </c>
      <c r="Z101" s="90" t="s">
        <v>167</v>
      </c>
      <c r="AA101" s="87">
        <v>45819</v>
      </c>
      <c r="AB101" s="85">
        <v>0.18819444444444444</v>
      </c>
      <c r="AC101" s="85">
        <v>0.16666666666666666</v>
      </c>
      <c r="AD101" s="90" t="s">
        <v>385</v>
      </c>
      <c r="AE101" s="90" t="s">
        <v>154</v>
      </c>
      <c r="AF101" s="93" t="s">
        <v>948</v>
      </c>
      <c r="AG101" s="85">
        <v>0.18819444444444444</v>
      </c>
      <c r="AH101" s="86">
        <v>45819</v>
      </c>
      <c r="AI101" s="90" t="s">
        <v>385</v>
      </c>
      <c r="AJ101" s="90" t="s">
        <v>239</v>
      </c>
      <c r="AK101" s="90" t="s">
        <v>149</v>
      </c>
      <c r="AL101" s="91">
        <v>2025</v>
      </c>
      <c r="AM101" s="91">
        <v>24</v>
      </c>
      <c r="AN101" s="91">
        <v>11</v>
      </c>
      <c r="AO101" s="90" t="s">
        <v>854</v>
      </c>
      <c r="AP101" s="90" t="s">
        <v>151</v>
      </c>
    </row>
    <row r="102" spans="1:42" x14ac:dyDescent="0.25">
      <c r="A102" s="92" t="s">
        <v>855</v>
      </c>
      <c r="B102" s="87">
        <v>45826</v>
      </c>
      <c r="C102" s="89">
        <v>0.38541666666666669</v>
      </c>
      <c r="D102" s="90" t="s">
        <v>242</v>
      </c>
      <c r="E102" s="90"/>
      <c r="F102" s="90"/>
      <c r="G102" s="90" t="s">
        <v>856</v>
      </c>
      <c r="H102" s="92" t="s">
        <v>138</v>
      </c>
      <c r="I102" s="93">
        <v>8</v>
      </c>
      <c r="J102" s="90" t="s">
        <v>857</v>
      </c>
      <c r="K102" s="91"/>
      <c r="L102" s="91"/>
      <c r="M102" s="90"/>
      <c r="N102" s="90"/>
      <c r="O102" s="90"/>
      <c r="P102" s="90"/>
      <c r="Q102" s="90"/>
      <c r="R102" s="90"/>
      <c r="S102" s="90"/>
      <c r="T102" s="90"/>
      <c r="U102" s="90" t="s">
        <v>709</v>
      </c>
      <c r="V102" s="90" t="s">
        <v>309</v>
      </c>
      <c r="W102" s="90" t="s">
        <v>444</v>
      </c>
      <c r="X102" s="90" t="s">
        <v>310</v>
      </c>
      <c r="Y102" s="90" t="s">
        <v>435</v>
      </c>
      <c r="Z102" s="90" t="s">
        <v>246</v>
      </c>
      <c r="AA102" s="87">
        <v>45826</v>
      </c>
      <c r="AB102" s="85">
        <v>0.38541666666666669</v>
      </c>
      <c r="AC102" s="85">
        <v>0.375</v>
      </c>
      <c r="AD102" s="90" t="s">
        <v>276</v>
      </c>
      <c r="AE102" s="90" t="s">
        <v>242</v>
      </c>
      <c r="AF102" s="93" t="s">
        <v>948</v>
      </c>
      <c r="AG102" s="85">
        <v>0.38541666666666669</v>
      </c>
      <c r="AH102" s="86">
        <v>45826</v>
      </c>
      <c r="AI102" s="90" t="s">
        <v>276</v>
      </c>
      <c r="AJ102" s="90" t="s">
        <v>239</v>
      </c>
      <c r="AK102" s="90" t="s">
        <v>149</v>
      </c>
      <c r="AL102" s="91">
        <v>2025</v>
      </c>
      <c r="AM102" s="91">
        <v>25</v>
      </c>
      <c r="AN102" s="91">
        <v>18</v>
      </c>
      <c r="AO102" s="90" t="s">
        <v>858</v>
      </c>
      <c r="AP102" s="90" t="s">
        <v>151</v>
      </c>
    </row>
    <row r="103" spans="1:42" x14ac:dyDescent="0.25">
      <c r="A103" s="92" t="s">
        <v>859</v>
      </c>
      <c r="B103" s="87">
        <v>45827</v>
      </c>
      <c r="C103" s="89">
        <v>0.48125000000000001</v>
      </c>
      <c r="D103" s="90" t="s">
        <v>206</v>
      </c>
      <c r="E103" s="90" t="s">
        <v>726</v>
      </c>
      <c r="F103" s="90" t="s">
        <v>388</v>
      </c>
      <c r="G103" s="90" t="s">
        <v>727</v>
      </c>
      <c r="H103" s="92" t="s">
        <v>270</v>
      </c>
      <c r="I103" s="93">
        <v>5</v>
      </c>
      <c r="J103" s="90" t="s">
        <v>860</v>
      </c>
      <c r="K103" s="91"/>
      <c r="L103" s="91"/>
      <c r="M103" s="90" t="s">
        <v>861</v>
      </c>
      <c r="N103" s="90" t="s">
        <v>273</v>
      </c>
      <c r="O103" s="90"/>
      <c r="P103" s="90" t="s">
        <v>862</v>
      </c>
      <c r="Q103" s="90"/>
      <c r="R103" s="90"/>
      <c r="S103" s="90"/>
      <c r="T103" s="90"/>
      <c r="U103" s="90" t="s">
        <v>709</v>
      </c>
      <c r="V103" s="90" t="s">
        <v>245</v>
      </c>
      <c r="W103" s="90" t="s">
        <v>142</v>
      </c>
      <c r="X103" s="90" t="s">
        <v>534</v>
      </c>
      <c r="Y103" s="90" t="s">
        <v>301</v>
      </c>
      <c r="Z103" s="90" t="s">
        <v>213</v>
      </c>
      <c r="AA103" s="87">
        <v>45827</v>
      </c>
      <c r="AB103" s="85">
        <v>0.48125000000000001</v>
      </c>
      <c r="AC103" s="85">
        <v>0.45833333333333331</v>
      </c>
      <c r="AD103" s="90" t="s">
        <v>276</v>
      </c>
      <c r="AE103" s="90" t="s">
        <v>863</v>
      </c>
      <c r="AF103" s="93" t="s">
        <v>948</v>
      </c>
      <c r="AG103" s="85">
        <v>0.48125000000000001</v>
      </c>
      <c r="AH103" s="86">
        <v>45827</v>
      </c>
      <c r="AI103" s="90" t="s">
        <v>276</v>
      </c>
      <c r="AJ103" s="90" t="s">
        <v>247</v>
      </c>
      <c r="AK103" s="90" t="s">
        <v>149</v>
      </c>
      <c r="AL103" s="91">
        <v>2025</v>
      </c>
      <c r="AM103" s="91">
        <v>25</v>
      </c>
      <c r="AN103" s="91">
        <v>19</v>
      </c>
      <c r="AO103" s="90" t="s">
        <v>731</v>
      </c>
      <c r="AP103" s="90" t="s">
        <v>151</v>
      </c>
    </row>
    <row r="104" spans="1:42" x14ac:dyDescent="0.25">
      <c r="A104" s="92" t="s">
        <v>864</v>
      </c>
      <c r="B104" s="87">
        <v>45828</v>
      </c>
      <c r="C104" s="89">
        <v>0.97916666666666663</v>
      </c>
      <c r="D104" s="90" t="s">
        <v>174</v>
      </c>
      <c r="E104" s="90" t="s">
        <v>205</v>
      </c>
      <c r="F104" s="90" t="s">
        <v>154</v>
      </c>
      <c r="G104" s="90" t="s">
        <v>865</v>
      </c>
      <c r="H104" s="92" t="s">
        <v>138</v>
      </c>
      <c r="I104" s="93">
        <v>8</v>
      </c>
      <c r="J104" s="90" t="s">
        <v>866</v>
      </c>
      <c r="K104" s="91"/>
      <c r="L104" s="91"/>
      <c r="M104" s="90" t="s">
        <v>867</v>
      </c>
      <c r="N104" s="90" t="s">
        <v>253</v>
      </c>
      <c r="O104" s="90" t="s">
        <v>868</v>
      </c>
      <c r="P104" s="90" t="s">
        <v>161</v>
      </c>
      <c r="Q104" s="90"/>
      <c r="R104" s="90"/>
      <c r="S104" s="90"/>
      <c r="T104" s="90"/>
      <c r="U104" s="90" t="s">
        <v>193</v>
      </c>
      <c r="V104" s="90" t="s">
        <v>585</v>
      </c>
      <c r="W104" s="90" t="s">
        <v>164</v>
      </c>
      <c r="X104" s="90" t="s">
        <v>228</v>
      </c>
      <c r="Y104" s="90" t="s">
        <v>181</v>
      </c>
      <c r="Z104" s="90" t="s">
        <v>167</v>
      </c>
      <c r="AA104" s="87">
        <v>45828</v>
      </c>
      <c r="AB104" s="85">
        <v>0.97916666666666663</v>
      </c>
      <c r="AC104" s="85">
        <v>0.95833333333333337</v>
      </c>
      <c r="AD104" s="90" t="s">
        <v>168</v>
      </c>
      <c r="AE104" s="90" t="s">
        <v>869</v>
      </c>
      <c r="AF104" s="93" t="s">
        <v>948</v>
      </c>
      <c r="AG104" s="85">
        <v>0.97916666666666663</v>
      </c>
      <c r="AH104" s="86">
        <v>45828</v>
      </c>
      <c r="AI104" s="90" t="s">
        <v>168</v>
      </c>
      <c r="AJ104" s="90" t="s">
        <v>170</v>
      </c>
      <c r="AK104" s="90" t="s">
        <v>149</v>
      </c>
      <c r="AL104" s="91">
        <v>2025</v>
      </c>
      <c r="AM104" s="91">
        <v>25</v>
      </c>
      <c r="AN104" s="91">
        <v>20</v>
      </c>
      <c r="AO104" s="90" t="s">
        <v>870</v>
      </c>
      <c r="AP104" s="90" t="s">
        <v>151</v>
      </c>
    </row>
    <row r="105" spans="1:42" x14ac:dyDescent="0.25">
      <c r="A105" s="92" t="s">
        <v>871</v>
      </c>
      <c r="B105" s="87">
        <v>45829</v>
      </c>
      <c r="C105" s="89">
        <v>0.15329861111111112</v>
      </c>
      <c r="D105" s="90" t="s">
        <v>154</v>
      </c>
      <c r="E105" s="90" t="s">
        <v>872</v>
      </c>
      <c r="F105" s="90"/>
      <c r="G105" s="90" t="s">
        <v>873</v>
      </c>
      <c r="H105" s="92"/>
      <c r="I105" s="93"/>
      <c r="J105" s="90" t="s">
        <v>874</v>
      </c>
      <c r="K105" s="91"/>
      <c r="L105" s="91"/>
      <c r="M105" s="90" t="s">
        <v>875</v>
      </c>
      <c r="N105" s="90" t="s">
        <v>494</v>
      </c>
      <c r="O105" s="90" t="s">
        <v>876</v>
      </c>
      <c r="P105" s="90" t="s">
        <v>161</v>
      </c>
      <c r="Q105" s="90"/>
      <c r="R105" s="90"/>
      <c r="S105" s="90"/>
      <c r="T105" s="90"/>
      <c r="U105" s="90" t="s">
        <v>193</v>
      </c>
      <c r="V105" s="90" t="s">
        <v>787</v>
      </c>
      <c r="W105" s="90" t="s">
        <v>542</v>
      </c>
      <c r="X105" s="90" t="s">
        <v>228</v>
      </c>
      <c r="Y105" s="90" t="s">
        <v>181</v>
      </c>
      <c r="Z105" s="90" t="s">
        <v>167</v>
      </c>
      <c r="AA105" s="87">
        <v>45829</v>
      </c>
      <c r="AB105" s="85">
        <v>0.15329861111111112</v>
      </c>
      <c r="AC105" s="85">
        <v>0.125</v>
      </c>
      <c r="AD105" s="90" t="s">
        <v>343</v>
      </c>
      <c r="AE105" s="90" t="s">
        <v>877</v>
      </c>
      <c r="AF105" s="93" t="s">
        <v>948</v>
      </c>
      <c r="AG105" s="85">
        <v>0.15329861111111112</v>
      </c>
      <c r="AH105" s="86">
        <v>45829</v>
      </c>
      <c r="AI105" s="90" t="s">
        <v>343</v>
      </c>
      <c r="AJ105" s="90" t="s">
        <v>292</v>
      </c>
      <c r="AK105" s="90" t="s">
        <v>149</v>
      </c>
      <c r="AL105" s="91">
        <v>2025</v>
      </c>
      <c r="AM105" s="91">
        <v>25</v>
      </c>
      <c r="AN105" s="91">
        <v>21</v>
      </c>
      <c r="AO105" s="90" t="s">
        <v>878</v>
      </c>
      <c r="AP105" s="90" t="s">
        <v>879</v>
      </c>
    </row>
    <row r="106" spans="1:42" x14ac:dyDescent="0.25">
      <c r="A106" s="92" t="s">
        <v>880</v>
      </c>
      <c r="B106" s="87">
        <v>45829</v>
      </c>
      <c r="C106" s="89">
        <v>0.4548611111111111</v>
      </c>
      <c r="D106" s="90" t="s">
        <v>154</v>
      </c>
      <c r="E106" s="90"/>
      <c r="F106" s="90"/>
      <c r="G106" s="90" t="s">
        <v>881</v>
      </c>
      <c r="H106" s="92" t="s">
        <v>358</v>
      </c>
      <c r="I106" s="93">
        <v>8</v>
      </c>
      <c r="J106" s="90" t="s">
        <v>882</v>
      </c>
      <c r="K106" s="91"/>
      <c r="L106" s="91"/>
      <c r="M106" s="90" t="s">
        <v>883</v>
      </c>
      <c r="N106" s="90" t="s">
        <v>560</v>
      </c>
      <c r="O106" s="90" t="s">
        <v>884</v>
      </c>
      <c r="P106" s="90" t="s">
        <v>161</v>
      </c>
      <c r="Q106" s="90"/>
      <c r="R106" s="90"/>
      <c r="S106" s="90"/>
      <c r="T106" s="90"/>
      <c r="U106" s="90" t="s">
        <v>193</v>
      </c>
      <c r="V106" s="90" t="s">
        <v>393</v>
      </c>
      <c r="W106" s="90" t="s">
        <v>384</v>
      </c>
      <c r="X106" s="90" t="s">
        <v>275</v>
      </c>
      <c r="Y106" s="90" t="s">
        <v>166</v>
      </c>
      <c r="Z106" s="90" t="s">
        <v>167</v>
      </c>
      <c r="AA106" s="87">
        <v>45829</v>
      </c>
      <c r="AB106" s="85">
        <v>0.4548611111111111</v>
      </c>
      <c r="AC106" s="85">
        <v>0.41666666666666669</v>
      </c>
      <c r="AD106" s="90" t="s">
        <v>276</v>
      </c>
      <c r="AE106" s="90" t="s">
        <v>154</v>
      </c>
      <c r="AF106" s="93" t="s">
        <v>948</v>
      </c>
      <c r="AG106" s="85">
        <v>0.4548611111111111</v>
      </c>
      <c r="AH106" s="86">
        <v>45829</v>
      </c>
      <c r="AI106" s="90" t="s">
        <v>276</v>
      </c>
      <c r="AJ106" s="90" t="s">
        <v>292</v>
      </c>
      <c r="AK106" s="90" t="s">
        <v>149</v>
      </c>
      <c r="AL106" s="91">
        <v>2025</v>
      </c>
      <c r="AM106" s="91">
        <v>25</v>
      </c>
      <c r="AN106" s="91">
        <v>21</v>
      </c>
      <c r="AO106" s="90" t="s">
        <v>885</v>
      </c>
      <c r="AP106" s="90" t="s">
        <v>151</v>
      </c>
    </row>
    <row r="107" spans="1:42" x14ac:dyDescent="0.25">
      <c r="A107" s="92" t="s">
        <v>886</v>
      </c>
      <c r="B107" s="87">
        <v>45829</v>
      </c>
      <c r="C107" s="89">
        <v>0.79166666666666663</v>
      </c>
      <c r="D107" s="90" t="s">
        <v>154</v>
      </c>
      <c r="E107" s="90"/>
      <c r="F107" s="90"/>
      <c r="G107" s="90" t="s">
        <v>887</v>
      </c>
      <c r="H107" s="92" t="s">
        <v>888</v>
      </c>
      <c r="I107" s="93">
        <v>7</v>
      </c>
      <c r="J107" s="90" t="s">
        <v>889</v>
      </c>
      <c r="K107" s="91"/>
      <c r="L107" s="91"/>
      <c r="M107" s="90" t="s">
        <v>890</v>
      </c>
      <c r="N107" s="90" t="s">
        <v>560</v>
      </c>
      <c r="O107" s="90" t="s">
        <v>891</v>
      </c>
      <c r="P107" s="90" t="s">
        <v>892</v>
      </c>
      <c r="Q107" s="90"/>
      <c r="R107" s="90"/>
      <c r="S107" s="90"/>
      <c r="T107" s="90"/>
      <c r="U107" s="90" t="s">
        <v>193</v>
      </c>
      <c r="V107" s="90" t="s">
        <v>801</v>
      </c>
      <c r="W107" s="90" t="s">
        <v>164</v>
      </c>
      <c r="X107" s="90" t="s">
        <v>275</v>
      </c>
      <c r="Y107" s="90" t="s">
        <v>364</v>
      </c>
      <c r="Z107" s="90" t="s">
        <v>167</v>
      </c>
      <c r="AA107" s="87">
        <v>45829</v>
      </c>
      <c r="AB107" s="85">
        <v>0.79166666666666663</v>
      </c>
      <c r="AC107" s="85">
        <v>0.79166666666666663</v>
      </c>
      <c r="AD107" s="90" t="s">
        <v>266</v>
      </c>
      <c r="AE107" s="90" t="s">
        <v>154</v>
      </c>
      <c r="AF107" s="93" t="s">
        <v>948</v>
      </c>
      <c r="AG107" s="85">
        <v>0.79166666666666663</v>
      </c>
      <c r="AH107" s="86">
        <v>45829</v>
      </c>
      <c r="AI107" s="90" t="s">
        <v>266</v>
      </c>
      <c r="AJ107" s="90" t="s">
        <v>292</v>
      </c>
      <c r="AK107" s="90" t="s">
        <v>149</v>
      </c>
      <c r="AL107" s="91">
        <v>2025</v>
      </c>
      <c r="AM107" s="91">
        <v>25</v>
      </c>
      <c r="AN107" s="91">
        <v>21</v>
      </c>
      <c r="AO107" s="90" t="s">
        <v>893</v>
      </c>
      <c r="AP107" s="90" t="s">
        <v>151</v>
      </c>
    </row>
    <row r="108" spans="1:42" x14ac:dyDescent="0.25">
      <c r="A108" s="92" t="s">
        <v>894</v>
      </c>
      <c r="B108" s="87">
        <v>45831</v>
      </c>
      <c r="C108" s="89">
        <v>0.33333333333333331</v>
      </c>
      <c r="D108" s="90" t="s">
        <v>242</v>
      </c>
      <c r="E108" s="90" t="s">
        <v>295</v>
      </c>
      <c r="F108" s="90"/>
      <c r="G108" s="90" t="s">
        <v>895</v>
      </c>
      <c r="H108" s="92" t="s">
        <v>358</v>
      </c>
      <c r="I108" s="93">
        <v>8</v>
      </c>
      <c r="J108" s="90" t="s">
        <v>896</v>
      </c>
      <c r="K108" s="91"/>
      <c r="L108" s="91"/>
      <c r="M108" s="90"/>
      <c r="N108" s="90"/>
      <c r="O108" s="90"/>
      <c r="P108" s="90"/>
      <c r="Q108" s="90"/>
      <c r="R108" s="90"/>
      <c r="S108" s="90"/>
      <c r="T108" s="90"/>
      <c r="U108" s="90" t="s">
        <v>193</v>
      </c>
      <c r="V108" s="90" t="s">
        <v>635</v>
      </c>
      <c r="W108" s="90" t="s">
        <v>256</v>
      </c>
      <c r="X108" s="90" t="s">
        <v>310</v>
      </c>
      <c r="Y108" s="90" t="s">
        <v>166</v>
      </c>
      <c r="Z108" s="90" t="s">
        <v>246</v>
      </c>
      <c r="AA108" s="87">
        <v>45831</v>
      </c>
      <c r="AB108" s="85">
        <v>0.33333333333333331</v>
      </c>
      <c r="AC108" s="85">
        <v>0.33333333333333331</v>
      </c>
      <c r="AD108" s="90" t="s">
        <v>276</v>
      </c>
      <c r="AE108" s="90" t="s">
        <v>897</v>
      </c>
      <c r="AF108" s="93" t="s">
        <v>948</v>
      </c>
      <c r="AG108" s="85">
        <v>0.33333333333333331</v>
      </c>
      <c r="AH108" s="86">
        <v>45831</v>
      </c>
      <c r="AI108" s="90" t="s">
        <v>276</v>
      </c>
      <c r="AJ108" s="90" t="s">
        <v>183</v>
      </c>
      <c r="AK108" s="90" t="s">
        <v>149</v>
      </c>
      <c r="AL108" s="91">
        <v>2025</v>
      </c>
      <c r="AM108" s="91">
        <v>26</v>
      </c>
      <c r="AN108" s="91">
        <v>23</v>
      </c>
      <c r="AO108" s="90" t="s">
        <v>885</v>
      </c>
      <c r="AP108" s="90" t="s">
        <v>151</v>
      </c>
    </row>
    <row r="109" spans="1:42" x14ac:dyDescent="0.25">
      <c r="A109" s="92" t="s">
        <v>898</v>
      </c>
      <c r="B109" s="87">
        <v>45833</v>
      </c>
      <c r="C109" s="89">
        <v>0.54166666666666663</v>
      </c>
      <c r="D109" s="90" t="s">
        <v>174</v>
      </c>
      <c r="E109" s="90"/>
      <c r="F109" s="90"/>
      <c r="G109" s="90" t="s">
        <v>899</v>
      </c>
      <c r="H109" s="92" t="s">
        <v>400</v>
      </c>
      <c r="I109" s="93">
        <v>6</v>
      </c>
      <c r="J109" s="90" t="s">
        <v>900</v>
      </c>
      <c r="K109" s="91"/>
      <c r="L109" s="91"/>
      <c r="M109" s="90" t="s">
        <v>901</v>
      </c>
      <c r="N109" s="90" t="s">
        <v>486</v>
      </c>
      <c r="O109" s="90" t="s">
        <v>342</v>
      </c>
      <c r="P109" s="90" t="s">
        <v>161</v>
      </c>
      <c r="Q109" s="90"/>
      <c r="R109" s="90"/>
      <c r="S109" s="90"/>
      <c r="T109" s="90"/>
      <c r="U109" s="90" t="s">
        <v>467</v>
      </c>
      <c r="V109" s="90" t="s">
        <v>417</v>
      </c>
      <c r="W109" s="90" t="s">
        <v>142</v>
      </c>
      <c r="X109" s="90" t="s">
        <v>350</v>
      </c>
      <c r="Y109" s="90" t="s">
        <v>301</v>
      </c>
      <c r="Z109" s="90" t="s">
        <v>182</v>
      </c>
      <c r="AA109" s="87">
        <v>45833</v>
      </c>
      <c r="AB109" s="85">
        <v>0.54166666666666663</v>
      </c>
      <c r="AC109" s="85">
        <v>0.54166666666666663</v>
      </c>
      <c r="AD109" s="90" t="s">
        <v>146</v>
      </c>
      <c r="AE109" s="90" t="s">
        <v>174</v>
      </c>
      <c r="AF109" s="93" t="s">
        <v>948</v>
      </c>
      <c r="AG109" s="85">
        <v>0.54166666666666663</v>
      </c>
      <c r="AH109" s="86">
        <v>45833</v>
      </c>
      <c r="AI109" s="90" t="s">
        <v>146</v>
      </c>
      <c r="AJ109" s="90" t="s">
        <v>239</v>
      </c>
      <c r="AK109" s="90" t="s">
        <v>149</v>
      </c>
      <c r="AL109" s="91">
        <v>2025</v>
      </c>
      <c r="AM109" s="91">
        <v>26</v>
      </c>
      <c r="AN109" s="91">
        <v>25</v>
      </c>
      <c r="AO109" s="90" t="s">
        <v>902</v>
      </c>
      <c r="AP109" s="90" t="s">
        <v>151</v>
      </c>
    </row>
    <row r="110" spans="1:42" x14ac:dyDescent="0.25">
      <c r="A110" s="92" t="s">
        <v>903</v>
      </c>
      <c r="B110" s="87">
        <v>45835</v>
      </c>
      <c r="C110" s="89">
        <v>0.59593750000000001</v>
      </c>
      <c r="D110" s="90" t="s">
        <v>242</v>
      </c>
      <c r="E110" s="90"/>
      <c r="F110" s="90"/>
      <c r="G110" s="90" t="s">
        <v>577</v>
      </c>
      <c r="H110" s="92" t="s">
        <v>414</v>
      </c>
      <c r="I110" s="93">
        <v>7</v>
      </c>
      <c r="J110" s="90" t="s">
        <v>904</v>
      </c>
      <c r="K110" s="91"/>
      <c r="L110" s="91"/>
      <c r="M110" s="90"/>
      <c r="N110" s="90"/>
      <c r="O110" s="90"/>
      <c r="P110" s="90"/>
      <c r="Q110" s="90"/>
      <c r="R110" s="90"/>
      <c r="S110" s="90"/>
      <c r="T110" s="90"/>
      <c r="U110" s="90" t="s">
        <v>610</v>
      </c>
      <c r="V110" s="90" t="s">
        <v>141</v>
      </c>
      <c r="W110" s="90" t="s">
        <v>142</v>
      </c>
      <c r="X110" s="90" t="s">
        <v>534</v>
      </c>
      <c r="Y110" s="90" t="s">
        <v>435</v>
      </c>
      <c r="Z110" s="90" t="s">
        <v>246</v>
      </c>
      <c r="AA110" s="87">
        <v>45835</v>
      </c>
      <c r="AB110" s="85">
        <v>0.59593750000000001</v>
      </c>
      <c r="AC110" s="85">
        <v>0.58333333333333337</v>
      </c>
      <c r="AD110" s="90" t="s">
        <v>146</v>
      </c>
      <c r="AE110" s="90" t="s">
        <v>242</v>
      </c>
      <c r="AF110" s="93" t="s">
        <v>948</v>
      </c>
      <c r="AG110" s="85">
        <v>0.59593750000000001</v>
      </c>
      <c r="AH110" s="86">
        <v>45835</v>
      </c>
      <c r="AI110" s="90" t="s">
        <v>146</v>
      </c>
      <c r="AJ110" s="90" t="s">
        <v>170</v>
      </c>
      <c r="AK110" s="90" t="s">
        <v>149</v>
      </c>
      <c r="AL110" s="91">
        <v>2025</v>
      </c>
      <c r="AM110" s="91">
        <v>26</v>
      </c>
      <c r="AN110" s="91">
        <v>27</v>
      </c>
      <c r="AO110" s="90" t="s">
        <v>184</v>
      </c>
      <c r="AP110" s="90" t="s">
        <v>151</v>
      </c>
    </row>
    <row r="111" spans="1:42" x14ac:dyDescent="0.25">
      <c r="A111" s="92" t="s">
        <v>1120</v>
      </c>
      <c r="B111" s="87">
        <v>45835</v>
      </c>
      <c r="C111" s="89">
        <v>0.39583333333333331</v>
      </c>
      <c r="D111" s="90" t="s">
        <v>367</v>
      </c>
      <c r="E111" s="90" t="s">
        <v>295</v>
      </c>
      <c r="F111" s="90"/>
      <c r="G111" s="90" t="s">
        <v>1121</v>
      </c>
      <c r="H111" s="92" t="s">
        <v>221</v>
      </c>
      <c r="I111" s="93">
        <v>9</v>
      </c>
      <c r="J111" s="90" t="s">
        <v>1122</v>
      </c>
      <c r="K111" s="91"/>
      <c r="L111" s="91"/>
      <c r="M111" s="90"/>
      <c r="N111" s="90"/>
      <c r="O111" s="90"/>
      <c r="P111" s="90"/>
      <c r="Q111" s="90"/>
      <c r="R111" s="90"/>
      <c r="S111" s="90"/>
      <c r="T111" s="90"/>
      <c r="U111" s="90" t="s">
        <v>709</v>
      </c>
      <c r="V111" s="90" t="s">
        <v>787</v>
      </c>
      <c r="W111" s="90" t="s">
        <v>542</v>
      </c>
      <c r="X111" s="90" t="s">
        <v>275</v>
      </c>
      <c r="Y111" s="90" t="s">
        <v>181</v>
      </c>
      <c r="Z111" s="90"/>
      <c r="AA111" s="87">
        <v>45835</v>
      </c>
      <c r="AB111" s="85">
        <v>0.39583333333333331</v>
      </c>
      <c r="AC111" s="85">
        <v>0.375</v>
      </c>
      <c r="AD111" s="90" t="s">
        <v>276</v>
      </c>
      <c r="AE111" s="90" t="s">
        <v>1123</v>
      </c>
      <c r="AF111" s="93" t="s">
        <v>948</v>
      </c>
      <c r="AG111" s="85">
        <v>0.39583333333333331</v>
      </c>
      <c r="AH111" s="86">
        <v>45835</v>
      </c>
      <c r="AI111" s="90" t="s">
        <v>276</v>
      </c>
      <c r="AJ111" s="90" t="s">
        <v>170</v>
      </c>
      <c r="AK111" s="90" t="s">
        <v>149</v>
      </c>
      <c r="AL111" s="91">
        <v>2025</v>
      </c>
      <c r="AM111" s="91">
        <v>26</v>
      </c>
      <c r="AN111" s="91">
        <v>27</v>
      </c>
      <c r="AO111" s="90" t="s">
        <v>230</v>
      </c>
      <c r="AP111" s="90" t="s">
        <v>151</v>
      </c>
    </row>
    <row r="112" spans="1:42" x14ac:dyDescent="0.25">
      <c r="A112" s="92" t="s">
        <v>906</v>
      </c>
      <c r="B112" s="87">
        <v>45837</v>
      </c>
      <c r="C112" s="89">
        <v>0.625</v>
      </c>
      <c r="D112" s="90" t="s">
        <v>174</v>
      </c>
      <c r="E112" s="90" t="s">
        <v>295</v>
      </c>
      <c r="F112" s="90"/>
      <c r="G112" s="90" t="s">
        <v>907</v>
      </c>
      <c r="H112" s="92" t="s">
        <v>378</v>
      </c>
      <c r="I112" s="93">
        <v>5</v>
      </c>
      <c r="J112" s="90" t="s">
        <v>908</v>
      </c>
      <c r="K112" s="91"/>
      <c r="L112" s="91"/>
      <c r="M112" s="90" t="s">
        <v>909</v>
      </c>
      <c r="N112" s="90" t="s">
        <v>341</v>
      </c>
      <c r="O112" s="90" t="s">
        <v>510</v>
      </c>
      <c r="P112" s="90" t="s">
        <v>161</v>
      </c>
      <c r="Q112" s="90"/>
      <c r="R112" s="90"/>
      <c r="S112" s="90"/>
      <c r="T112" s="90"/>
      <c r="U112" s="90" t="s">
        <v>193</v>
      </c>
      <c r="V112" s="90" t="s">
        <v>530</v>
      </c>
      <c r="W112" s="90" t="s">
        <v>384</v>
      </c>
      <c r="X112" s="90" t="s">
        <v>257</v>
      </c>
      <c r="Y112" s="90" t="s">
        <v>181</v>
      </c>
      <c r="Z112" s="90" t="s">
        <v>182</v>
      </c>
      <c r="AA112" s="87">
        <v>45837</v>
      </c>
      <c r="AB112" s="85">
        <v>0.625</v>
      </c>
      <c r="AC112" s="85">
        <v>0.625</v>
      </c>
      <c r="AD112" s="90" t="s">
        <v>146</v>
      </c>
      <c r="AE112" s="90" t="s">
        <v>302</v>
      </c>
      <c r="AF112" s="93" t="s">
        <v>948</v>
      </c>
      <c r="AG112" s="85">
        <v>0.625</v>
      </c>
      <c r="AH112" s="86">
        <v>45837</v>
      </c>
      <c r="AI112" s="90" t="s">
        <v>146</v>
      </c>
      <c r="AJ112" s="90" t="s">
        <v>311</v>
      </c>
      <c r="AK112" s="90" t="s">
        <v>149</v>
      </c>
      <c r="AL112" s="91">
        <v>2025</v>
      </c>
      <c r="AM112" s="91">
        <v>27</v>
      </c>
      <c r="AN112" s="91">
        <v>29</v>
      </c>
      <c r="AO112" s="90" t="s">
        <v>910</v>
      </c>
      <c r="AP112" s="90" t="s">
        <v>151</v>
      </c>
    </row>
    <row r="113" spans="1:42" x14ac:dyDescent="0.25">
      <c r="A113" s="92" t="s">
        <v>1110</v>
      </c>
      <c r="B113" s="87">
        <v>45838</v>
      </c>
      <c r="C113" s="89">
        <v>0.46982638888888889</v>
      </c>
      <c r="D113" s="90" t="s">
        <v>242</v>
      </c>
      <c r="E113" s="90"/>
      <c r="F113" s="90"/>
      <c r="G113" s="90" t="s">
        <v>552</v>
      </c>
      <c r="H113" s="92" t="s">
        <v>553</v>
      </c>
      <c r="I113" s="93">
        <v>7</v>
      </c>
      <c r="J113" s="90" t="s">
        <v>1111</v>
      </c>
      <c r="K113" s="91"/>
      <c r="L113" s="91"/>
      <c r="M113" s="90"/>
      <c r="N113" s="90"/>
      <c r="O113" s="90"/>
      <c r="P113" s="90"/>
      <c r="Q113" s="90"/>
      <c r="R113" s="90"/>
      <c r="S113" s="90"/>
      <c r="T113" s="90"/>
      <c r="U113" s="90" t="s">
        <v>264</v>
      </c>
      <c r="V113" s="90" t="s">
        <v>1112</v>
      </c>
      <c r="W113" s="90" t="s">
        <v>164</v>
      </c>
      <c r="X113" s="90" t="s">
        <v>310</v>
      </c>
      <c r="Y113" s="90" t="s">
        <v>181</v>
      </c>
      <c r="Z113" s="90" t="s">
        <v>246</v>
      </c>
      <c r="AA113" s="87">
        <v>45838</v>
      </c>
      <c r="AB113" s="85">
        <v>0.46982638888888889</v>
      </c>
      <c r="AC113" s="85">
        <v>0.45833333333333331</v>
      </c>
      <c r="AD113" s="90" t="s">
        <v>276</v>
      </c>
      <c r="AE113" s="90" t="s">
        <v>242</v>
      </c>
      <c r="AF113" s="93" t="s">
        <v>948</v>
      </c>
      <c r="AG113" s="85">
        <v>0.46982638888888889</v>
      </c>
      <c r="AH113" s="86">
        <v>45838</v>
      </c>
      <c r="AI113" s="90" t="s">
        <v>276</v>
      </c>
      <c r="AJ113" s="90" t="s">
        <v>183</v>
      </c>
      <c r="AK113" s="90" t="s">
        <v>149</v>
      </c>
      <c r="AL113" s="91">
        <v>2025</v>
      </c>
      <c r="AM113" s="91">
        <v>27</v>
      </c>
      <c r="AN113" s="91">
        <v>30</v>
      </c>
      <c r="AO113" s="90" t="s">
        <v>322</v>
      </c>
      <c r="AP113" s="90" t="s">
        <v>151</v>
      </c>
    </row>
    <row r="114" spans="1:42" x14ac:dyDescent="0.25">
      <c r="A114" s="92" t="s">
        <v>1113</v>
      </c>
      <c r="B114" s="87">
        <v>45839</v>
      </c>
      <c r="C114" s="89">
        <v>0.53263888888888888</v>
      </c>
      <c r="D114" s="90" t="s">
        <v>206</v>
      </c>
      <c r="E114" s="90" t="s">
        <v>726</v>
      </c>
      <c r="F114" s="90"/>
      <c r="G114" s="90" t="s">
        <v>727</v>
      </c>
      <c r="H114" s="92" t="s">
        <v>270</v>
      </c>
      <c r="I114" s="93">
        <v>5</v>
      </c>
      <c r="J114" s="90" t="s">
        <v>1114</v>
      </c>
      <c r="K114" s="91"/>
      <c r="L114" s="91"/>
      <c r="M114" s="90"/>
      <c r="N114" s="90"/>
      <c r="O114" s="90"/>
      <c r="P114" s="90"/>
      <c r="Q114" s="90"/>
      <c r="R114" s="90"/>
      <c r="S114" s="90"/>
      <c r="T114" s="90"/>
      <c r="U114" s="90" t="s">
        <v>162</v>
      </c>
      <c r="V114" s="90" t="s">
        <v>265</v>
      </c>
      <c r="W114" s="90" t="s">
        <v>164</v>
      </c>
      <c r="X114" s="90" t="s">
        <v>534</v>
      </c>
      <c r="Y114" s="90" t="s">
        <v>301</v>
      </c>
      <c r="Z114" s="90"/>
      <c r="AA114" s="87">
        <v>45839</v>
      </c>
      <c r="AB114" s="85">
        <v>0.53263888888888888</v>
      </c>
      <c r="AC114" s="85">
        <v>0.5</v>
      </c>
      <c r="AD114" s="90" t="s">
        <v>146</v>
      </c>
      <c r="AE114" s="90" t="s">
        <v>730</v>
      </c>
      <c r="AF114" s="93" t="s">
        <v>809</v>
      </c>
      <c r="AG114" s="85">
        <v>0.53263888888888888</v>
      </c>
      <c r="AH114" s="86">
        <v>45839</v>
      </c>
      <c r="AI114" s="90" t="s">
        <v>146</v>
      </c>
      <c r="AJ114" s="90" t="s">
        <v>148</v>
      </c>
      <c r="AK114" s="90" t="s">
        <v>1115</v>
      </c>
      <c r="AL114" s="91">
        <v>2025</v>
      </c>
      <c r="AM114" s="91">
        <v>27</v>
      </c>
      <c r="AN114" s="91">
        <v>1</v>
      </c>
      <c r="AO114" s="90" t="s">
        <v>731</v>
      </c>
      <c r="AP114" s="90" t="s">
        <v>151</v>
      </c>
    </row>
    <row r="115" spans="1:42" x14ac:dyDescent="0.25">
      <c r="A115" s="92" t="s">
        <v>1116</v>
      </c>
      <c r="B115" s="87">
        <v>45840</v>
      </c>
      <c r="C115" s="89">
        <v>0.48958333333333331</v>
      </c>
      <c r="D115" s="90" t="s">
        <v>242</v>
      </c>
      <c r="E115" s="90"/>
      <c r="F115" s="90"/>
      <c r="G115" s="90" t="s">
        <v>1117</v>
      </c>
      <c r="H115" s="92" t="s">
        <v>208</v>
      </c>
      <c r="I115" s="93">
        <v>8</v>
      </c>
      <c r="J115" s="90" t="s">
        <v>1118</v>
      </c>
      <c r="K115" s="91"/>
      <c r="L115" s="91"/>
      <c r="M115" s="90"/>
      <c r="N115" s="90"/>
      <c r="O115" s="90"/>
      <c r="P115" s="90"/>
      <c r="Q115" s="90"/>
      <c r="R115" s="90"/>
      <c r="S115" s="90"/>
      <c r="T115" s="90"/>
      <c r="U115" s="90" t="s">
        <v>480</v>
      </c>
      <c r="V115" s="90" t="s">
        <v>210</v>
      </c>
      <c r="W115" s="90" t="s">
        <v>211</v>
      </c>
      <c r="X115" s="90" t="s">
        <v>350</v>
      </c>
      <c r="Y115" s="90" t="s">
        <v>166</v>
      </c>
      <c r="Z115" s="90"/>
      <c r="AA115" s="87">
        <v>45840</v>
      </c>
      <c r="AB115" s="85">
        <v>0.48958333333333331</v>
      </c>
      <c r="AC115" s="85">
        <v>0.45833333333333331</v>
      </c>
      <c r="AD115" s="90" t="s">
        <v>276</v>
      </c>
      <c r="AE115" s="90" t="s">
        <v>242</v>
      </c>
      <c r="AF115" s="93" t="s">
        <v>809</v>
      </c>
      <c r="AG115" s="85">
        <v>0.48958333333333331</v>
      </c>
      <c r="AH115" s="86">
        <v>45840</v>
      </c>
      <c r="AI115" s="90" t="s">
        <v>276</v>
      </c>
      <c r="AJ115" s="90" t="s">
        <v>239</v>
      </c>
      <c r="AK115" s="90" t="s">
        <v>1115</v>
      </c>
      <c r="AL115" s="91">
        <v>2025</v>
      </c>
      <c r="AM115" s="91">
        <v>27</v>
      </c>
      <c r="AN115" s="91">
        <v>2</v>
      </c>
      <c r="AO115" s="90" t="s">
        <v>1119</v>
      </c>
      <c r="AP115" s="90" t="s">
        <v>151</v>
      </c>
    </row>
    <row r="116" spans="1:42" x14ac:dyDescent="0.25">
      <c r="A116" s="92" t="s">
        <v>1124</v>
      </c>
      <c r="B116" s="87">
        <v>45841</v>
      </c>
      <c r="C116" s="89">
        <v>0.625</v>
      </c>
      <c r="D116" s="90" t="s">
        <v>136</v>
      </c>
      <c r="E116" s="90" t="s">
        <v>189</v>
      </c>
      <c r="F116" s="90"/>
      <c r="G116" s="90" t="s">
        <v>1125</v>
      </c>
      <c r="H116" s="92" t="s">
        <v>414</v>
      </c>
      <c r="I116" s="93">
        <v>7</v>
      </c>
      <c r="J116" s="90" t="s">
        <v>1126</v>
      </c>
      <c r="K116" s="91"/>
      <c r="L116" s="91"/>
      <c r="M116" s="90"/>
      <c r="N116" s="90"/>
      <c r="O116" s="90"/>
      <c r="P116" s="90"/>
      <c r="Q116" s="90"/>
      <c r="R116" s="90"/>
      <c r="S116" s="90"/>
      <c r="T116" s="90"/>
      <c r="U116" s="90" t="s">
        <v>467</v>
      </c>
      <c r="V116" s="90" t="s">
        <v>1127</v>
      </c>
      <c r="W116" s="90" t="s">
        <v>142</v>
      </c>
      <c r="X116" s="90" t="s">
        <v>194</v>
      </c>
      <c r="Y116" s="90" t="s">
        <v>283</v>
      </c>
      <c r="Z116" s="90"/>
      <c r="AA116" s="87">
        <v>45841</v>
      </c>
      <c r="AB116" s="85">
        <v>0.625</v>
      </c>
      <c r="AC116" s="85">
        <v>0.625</v>
      </c>
      <c r="AD116" s="90" t="s">
        <v>146</v>
      </c>
      <c r="AE116" s="90" t="s">
        <v>284</v>
      </c>
      <c r="AF116" s="93" t="s">
        <v>809</v>
      </c>
      <c r="AG116" s="85">
        <v>0.625</v>
      </c>
      <c r="AH116" s="86">
        <v>45841</v>
      </c>
      <c r="AI116" s="90" t="s">
        <v>146</v>
      </c>
      <c r="AJ116" s="90" t="s">
        <v>247</v>
      </c>
      <c r="AK116" s="90" t="s">
        <v>1115</v>
      </c>
      <c r="AL116" s="91">
        <v>2025</v>
      </c>
      <c r="AM116" s="91">
        <v>27</v>
      </c>
      <c r="AN116" s="91">
        <v>3</v>
      </c>
      <c r="AO116" s="90" t="s">
        <v>1128</v>
      </c>
      <c r="AP116" s="90" t="s">
        <v>200</v>
      </c>
    </row>
    <row r="117" spans="1:42" x14ac:dyDescent="0.25">
      <c r="A117" s="92" t="s">
        <v>1129</v>
      </c>
      <c r="B117" s="87">
        <v>45845</v>
      </c>
      <c r="C117" s="89">
        <v>0.60763888888888884</v>
      </c>
      <c r="D117" s="90" t="s">
        <v>701</v>
      </c>
      <c r="E117" s="90" t="s">
        <v>206</v>
      </c>
      <c r="F117" s="90" t="s">
        <v>619</v>
      </c>
      <c r="G117" s="90" t="s">
        <v>1130</v>
      </c>
      <c r="H117" s="92" t="s">
        <v>288</v>
      </c>
      <c r="I117" s="93">
        <v>5</v>
      </c>
      <c r="J117" s="90" t="s">
        <v>1131</v>
      </c>
      <c r="K117" s="91"/>
      <c r="L117" s="91"/>
      <c r="M117" s="90"/>
      <c r="N117" s="90"/>
      <c r="O117" s="90"/>
      <c r="P117" s="90"/>
      <c r="Q117" s="90"/>
      <c r="R117" s="90"/>
      <c r="S117" s="90"/>
      <c r="T117" s="90"/>
      <c r="U117" s="90" t="s">
        <v>193</v>
      </c>
      <c r="V117" s="90" t="s">
        <v>454</v>
      </c>
      <c r="W117" s="90" t="s">
        <v>328</v>
      </c>
      <c r="X117" s="90" t="s">
        <v>350</v>
      </c>
      <c r="Y117" s="90" t="s">
        <v>905</v>
      </c>
      <c r="Z117" s="90"/>
      <c r="AA117" s="87">
        <v>45845</v>
      </c>
      <c r="AB117" s="85">
        <v>0.60763888888888884</v>
      </c>
      <c r="AC117" s="85">
        <v>0.58333333333333337</v>
      </c>
      <c r="AD117" s="90" t="s">
        <v>146</v>
      </c>
      <c r="AE117" s="90" t="s">
        <v>1133</v>
      </c>
      <c r="AF117" s="93" t="s">
        <v>809</v>
      </c>
      <c r="AG117" s="85">
        <v>0.60763888888888884</v>
      </c>
      <c r="AH117" s="86">
        <v>45845</v>
      </c>
      <c r="AI117" s="90" t="s">
        <v>146</v>
      </c>
      <c r="AJ117" s="90" t="s">
        <v>183</v>
      </c>
      <c r="AK117" s="90" t="s">
        <v>1115</v>
      </c>
      <c r="AL117" s="91">
        <v>2025</v>
      </c>
      <c r="AM117" s="91">
        <v>28</v>
      </c>
      <c r="AN117" s="91">
        <v>7</v>
      </c>
      <c r="AO117" s="90" t="s">
        <v>1132</v>
      </c>
      <c r="AP117" s="90" t="s">
        <v>151</v>
      </c>
    </row>
  </sheetData>
  <phoneticPr fontId="9" type="noConversion"/>
  <conditionalFormatting sqref="A2:AP117">
    <cfRule type="expression" dxfId="106" priority="1" stopIfTrue="1">
      <formula>$AF2="7-Day"</formula>
    </cfRule>
    <cfRule type="expression" dxfId="105" priority="2" stopIfTrue="1">
      <formula>$AF2="28-Day"</formula>
    </cfRule>
    <cfRule type="expression" dxfId="104" priority="3" stopIfTrue="1">
      <formula>$AF2="YTD"</formula>
    </cfRule>
  </conditionalFormatting>
  <pageMargins left="0.7" right="0.7" top="0.75" bottom="0.75" header="0.3" footer="0.3"/>
  <pageSetup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9ED34-6AC5-4566-8422-6A47C3FCEA5A}">
  <sheetPr codeName="Sheet37">
    <tabColor rgb="FFFFC000"/>
  </sheetPr>
  <dimension ref="A1:BJ12"/>
  <sheetViews>
    <sheetView workbookViewId="0">
      <selection activeCell="H2" sqref="H2:H12"/>
    </sheetView>
  </sheetViews>
  <sheetFormatPr defaultRowHeight="15" x14ac:dyDescent="0.25"/>
  <cols>
    <col min="1" max="1" width="15.140625" bestFit="1" customWidth="1"/>
    <col min="2" max="2" width="14.7109375" style="1" bestFit="1" customWidth="1"/>
    <col min="3" max="3" width="15.5703125" style="69" bestFit="1" customWidth="1"/>
    <col min="4" max="4" width="24.5703125" bestFit="1" customWidth="1"/>
    <col min="5" max="5" width="24.85546875" bestFit="1" customWidth="1"/>
    <col min="6" max="6" width="13.85546875" bestFit="1" customWidth="1"/>
    <col min="7" max="7" width="14.140625" bestFit="1" customWidth="1"/>
    <col min="8" max="9" width="31.5703125" bestFit="1" customWidth="1"/>
    <col min="10" max="10" width="29.140625" bestFit="1" customWidth="1"/>
    <col min="11" max="11" width="41.1406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2851562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7.42578125" bestFit="1" customWidth="1"/>
    <col min="28" max="28" width="8.7109375" bestFit="1" customWidth="1"/>
    <col min="29" max="29" width="27.42578125" bestFit="1" customWidth="1"/>
    <col min="30" max="30" width="29.140625" bestFit="1" customWidth="1"/>
    <col min="31" max="31" width="20"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26" bestFit="1" customWidth="1"/>
    <col min="38" max="38" width="81.140625" bestFit="1" customWidth="1"/>
    <col min="39" max="39" width="9.28515625" bestFit="1" customWidth="1"/>
    <col min="40" max="40" width="81.140625" bestFit="1" customWidth="1"/>
    <col min="41" max="41" width="11.85546875" bestFit="1" customWidth="1"/>
    <col min="42" max="42" width="12" bestFit="1" customWidth="1"/>
    <col min="43" max="43" width="14.42578125" bestFit="1" customWidth="1"/>
    <col min="44" max="44" width="22.7109375" bestFit="1" customWidth="1"/>
    <col min="45" max="45" width="25.7109375" bestFit="1" customWidth="1"/>
    <col min="46" max="46" width="12.28515625" bestFit="1" customWidth="1"/>
    <col min="47" max="47" width="15" bestFit="1" customWidth="1"/>
    <col min="48" max="48" width="7.28515625" bestFit="1" customWidth="1"/>
    <col min="49" max="49" width="15.42578125" bestFit="1" customWidth="1"/>
    <col min="50" max="50" width="17.42578125" bestFit="1" customWidth="1"/>
    <col min="51" max="51" width="6.5703125" bestFit="1" customWidth="1"/>
    <col min="52" max="52" width="13.28515625" bestFit="1" customWidth="1"/>
    <col min="53" max="53" width="26" bestFit="1" customWidth="1"/>
    <col min="54" max="54" width="41.140625" bestFit="1" customWidth="1"/>
    <col min="55" max="55" width="6" bestFit="1" customWidth="1"/>
    <col min="56" max="56" width="8.5703125" bestFit="1" customWidth="1"/>
    <col min="57" max="57" width="10.42578125" bestFit="1" customWidth="1"/>
    <col min="58" max="58" width="10.140625" bestFit="1" customWidth="1"/>
    <col min="59" max="59" width="26.42578125" bestFit="1" customWidth="1"/>
    <col min="60" max="60" width="16.5703125" bestFit="1" customWidth="1"/>
    <col min="61" max="62" width="25.7109375" customWidth="1"/>
    <col min="63" max="63" width="25.7109375" bestFit="1" customWidth="1"/>
    <col min="64" max="64" width="12" bestFit="1" customWidth="1"/>
    <col min="65" max="65" width="25.7109375" bestFit="1" customWidth="1"/>
    <col min="66" max="66" width="67.7109375" bestFit="1" customWidth="1"/>
  </cols>
  <sheetData>
    <row r="1" spans="1:62" x14ac:dyDescent="0.25">
      <c r="A1" t="s">
        <v>93</v>
      </c>
      <c r="B1" s="1" t="s">
        <v>94</v>
      </c>
      <c r="C1" s="69" t="s">
        <v>95</v>
      </c>
      <c r="D1" t="s">
        <v>911</v>
      </c>
      <c r="E1" t="s">
        <v>912</v>
      </c>
      <c r="F1" t="s">
        <v>913</v>
      </c>
      <c r="G1" t="s">
        <v>914</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915</v>
      </c>
      <c r="AA1" t="s">
        <v>114</v>
      </c>
      <c r="AB1" t="s">
        <v>115</v>
      </c>
      <c r="AC1" t="s">
        <v>116</v>
      </c>
      <c r="AD1" t="s">
        <v>117</v>
      </c>
      <c r="AE1" t="s">
        <v>118</v>
      </c>
      <c r="AF1" t="s">
        <v>916</v>
      </c>
      <c r="AG1" t="s">
        <v>2</v>
      </c>
      <c r="AH1" t="s">
        <v>120</v>
      </c>
      <c r="AI1" t="s">
        <v>121</v>
      </c>
      <c r="AJ1" t="s">
        <v>122</v>
      </c>
      <c r="AK1" t="s">
        <v>1</v>
      </c>
      <c r="AL1" t="s">
        <v>917</v>
      </c>
      <c r="AM1" t="s">
        <v>124</v>
      </c>
      <c r="AN1" t="s">
        <v>123</v>
      </c>
      <c r="AO1" t="s">
        <v>125</v>
      </c>
      <c r="AP1" t="s">
        <v>126</v>
      </c>
      <c r="AQ1" t="s">
        <v>918</v>
      </c>
      <c r="AR1" t="s">
        <v>919</v>
      </c>
      <c r="AS1" t="s">
        <v>920</v>
      </c>
      <c r="AT1" t="s">
        <v>128</v>
      </c>
      <c r="AU1" t="s">
        <v>129</v>
      </c>
      <c r="AV1" t="s">
        <v>130</v>
      </c>
      <c r="AW1" t="s">
        <v>131</v>
      </c>
      <c r="AX1" t="s">
        <v>921</v>
      </c>
      <c r="AY1" t="s">
        <v>132</v>
      </c>
      <c r="AZ1" t="s">
        <v>922</v>
      </c>
      <c r="BA1" t="s">
        <v>923</v>
      </c>
      <c r="BB1" t="s">
        <v>924</v>
      </c>
      <c r="BC1" t="s">
        <v>925</v>
      </c>
      <c r="BD1" t="s">
        <v>7</v>
      </c>
      <c r="BE1" t="s">
        <v>926</v>
      </c>
      <c r="BF1" t="s">
        <v>5</v>
      </c>
      <c r="BG1" t="s">
        <v>927</v>
      </c>
      <c r="BH1" t="s">
        <v>928</v>
      </c>
      <c r="BI1" t="s">
        <v>929</v>
      </c>
      <c r="BJ1" t="s">
        <v>127</v>
      </c>
    </row>
    <row r="2" spans="1:62" x14ac:dyDescent="0.25">
      <c r="A2" s="100" t="s">
        <v>187</v>
      </c>
      <c r="B2" s="101">
        <v>45664</v>
      </c>
      <c r="C2" s="102">
        <v>0.58333333333333337</v>
      </c>
      <c r="D2" s="103"/>
      <c r="E2" s="102"/>
      <c r="F2" s="103">
        <v>45667</v>
      </c>
      <c r="G2" s="102">
        <v>0.59781249999999997</v>
      </c>
      <c r="H2" s="100" t="s">
        <v>188</v>
      </c>
      <c r="I2" s="100" t="s">
        <v>189</v>
      </c>
      <c r="J2" s="100"/>
      <c r="K2" s="100" t="s">
        <v>190</v>
      </c>
      <c r="L2" s="100" t="s">
        <v>191</v>
      </c>
      <c r="M2" s="104">
        <v>7</v>
      </c>
      <c r="N2" s="100" t="s">
        <v>192</v>
      </c>
      <c r="O2" s="104"/>
      <c r="P2" s="104"/>
      <c r="Q2" s="100"/>
      <c r="R2" s="100"/>
      <c r="S2" s="100"/>
      <c r="T2" s="100"/>
      <c r="U2" s="100"/>
      <c r="V2" s="100"/>
      <c r="W2" s="100"/>
      <c r="X2" s="100"/>
      <c r="Y2" s="100" t="s">
        <v>930</v>
      </c>
      <c r="Z2" s="100" t="s">
        <v>931</v>
      </c>
      <c r="AA2" s="100" t="s">
        <v>194</v>
      </c>
      <c r="AB2" s="100" t="s">
        <v>195</v>
      </c>
      <c r="AC2" s="100" t="s">
        <v>196</v>
      </c>
      <c r="AD2" s="100" t="s">
        <v>166</v>
      </c>
      <c r="AE2" s="100" t="s">
        <v>197</v>
      </c>
      <c r="AF2" s="104">
        <v>9</v>
      </c>
      <c r="AG2" s="103">
        <v>45664</v>
      </c>
      <c r="AH2" s="102">
        <v>0.58333333333333337</v>
      </c>
      <c r="AI2" s="102">
        <v>0.58333333333333337</v>
      </c>
      <c r="AJ2" s="100" t="s">
        <v>146</v>
      </c>
      <c r="AK2" s="100" t="s">
        <v>199</v>
      </c>
      <c r="AL2" s="104" t="s">
        <v>198</v>
      </c>
      <c r="AM2" s="104" t="s">
        <v>169</v>
      </c>
      <c r="AN2" s="100" t="s">
        <v>198</v>
      </c>
      <c r="AO2" s="102">
        <v>0.58333333333333337</v>
      </c>
      <c r="AP2" s="103">
        <v>45664</v>
      </c>
      <c r="AQ2" s="102">
        <v>0.58333333333333337</v>
      </c>
      <c r="AR2" s="105"/>
      <c r="AS2" s="100" t="s">
        <v>146</v>
      </c>
      <c r="AT2" s="100" t="s">
        <v>148</v>
      </c>
      <c r="AU2" s="100" t="s">
        <v>171</v>
      </c>
      <c r="AV2" s="104">
        <v>2025</v>
      </c>
      <c r="AW2" s="104">
        <v>2</v>
      </c>
      <c r="AX2" s="104">
        <v>2</v>
      </c>
      <c r="AY2" s="104">
        <v>7</v>
      </c>
      <c r="AZ2" s="104">
        <v>7</v>
      </c>
      <c r="BA2" s="100" t="s">
        <v>199</v>
      </c>
      <c r="BB2" s="100" t="s">
        <v>190</v>
      </c>
      <c r="BC2" s="100"/>
      <c r="BD2" s="100"/>
      <c r="BE2" s="100"/>
      <c r="BF2" s="100"/>
      <c r="BG2" s="104"/>
      <c r="BH2" s="100"/>
      <c r="BI2" s="100" t="s">
        <v>146</v>
      </c>
      <c r="BJ2" s="100" t="s">
        <v>146</v>
      </c>
    </row>
    <row r="3" spans="1:62" x14ac:dyDescent="0.25">
      <c r="A3" s="100" t="s">
        <v>278</v>
      </c>
      <c r="B3" s="101">
        <v>45680</v>
      </c>
      <c r="C3" s="102">
        <v>0.625</v>
      </c>
      <c r="D3" s="103"/>
      <c r="E3" s="102"/>
      <c r="F3" s="103">
        <v>45680</v>
      </c>
      <c r="G3" s="102">
        <v>0.66545138888888888</v>
      </c>
      <c r="H3" s="100" t="s">
        <v>136</v>
      </c>
      <c r="I3" s="100" t="s">
        <v>189</v>
      </c>
      <c r="J3" s="100"/>
      <c r="K3" s="100" t="s">
        <v>279</v>
      </c>
      <c r="L3" s="100" t="s">
        <v>208</v>
      </c>
      <c r="M3" s="104">
        <v>8</v>
      </c>
      <c r="N3" s="100" t="s">
        <v>280</v>
      </c>
      <c r="O3" s="104"/>
      <c r="P3" s="104"/>
      <c r="Q3" s="100"/>
      <c r="R3" s="100"/>
      <c r="S3" s="100"/>
      <c r="T3" s="100"/>
      <c r="U3" s="100"/>
      <c r="V3" s="100"/>
      <c r="W3" s="100"/>
      <c r="X3" s="100"/>
      <c r="Y3" s="100" t="s">
        <v>932</v>
      </c>
      <c r="Z3" s="100" t="s">
        <v>931</v>
      </c>
      <c r="AA3" s="100" t="s">
        <v>143</v>
      </c>
      <c r="AB3" s="100" t="s">
        <v>282</v>
      </c>
      <c r="AC3" s="100" t="s">
        <v>196</v>
      </c>
      <c r="AD3" s="100" t="s">
        <v>283</v>
      </c>
      <c r="AE3" s="100"/>
      <c r="AF3" s="104">
        <v>9</v>
      </c>
      <c r="AG3" s="103">
        <v>45680</v>
      </c>
      <c r="AH3" s="102">
        <v>0.625</v>
      </c>
      <c r="AI3" s="102">
        <v>0.625</v>
      </c>
      <c r="AJ3" s="100" t="s">
        <v>146</v>
      </c>
      <c r="AK3" s="100" t="s">
        <v>285</v>
      </c>
      <c r="AL3" s="104" t="s">
        <v>284</v>
      </c>
      <c r="AM3" s="104" t="s">
        <v>169</v>
      </c>
      <c r="AN3" s="100" t="s">
        <v>284</v>
      </c>
      <c r="AO3" s="102">
        <v>0.625</v>
      </c>
      <c r="AP3" s="103">
        <v>45680</v>
      </c>
      <c r="AQ3" s="102">
        <v>0.625</v>
      </c>
      <c r="AR3" s="105"/>
      <c r="AS3" s="100" t="s">
        <v>146</v>
      </c>
      <c r="AT3" s="100" t="s">
        <v>247</v>
      </c>
      <c r="AU3" s="100" t="s">
        <v>171</v>
      </c>
      <c r="AV3" s="104">
        <v>2025</v>
      </c>
      <c r="AW3" s="104">
        <v>4</v>
      </c>
      <c r="AX3" s="104">
        <v>4</v>
      </c>
      <c r="AY3" s="104">
        <v>23</v>
      </c>
      <c r="AZ3" s="104">
        <v>23</v>
      </c>
      <c r="BA3" s="100" t="s">
        <v>285</v>
      </c>
      <c r="BB3" s="100" t="s">
        <v>279</v>
      </c>
      <c r="BC3" s="100"/>
      <c r="BD3" s="100"/>
      <c r="BE3" s="100"/>
      <c r="BF3" s="100"/>
      <c r="BG3" s="104"/>
      <c r="BH3" s="100"/>
      <c r="BI3" s="100" t="s">
        <v>146</v>
      </c>
      <c r="BJ3" s="100" t="s">
        <v>146</v>
      </c>
    </row>
    <row r="4" spans="1:62" x14ac:dyDescent="0.25">
      <c r="A4" s="100" t="s">
        <v>422</v>
      </c>
      <c r="B4" s="101">
        <v>45705</v>
      </c>
      <c r="C4" s="102">
        <v>0.83333333333333337</v>
      </c>
      <c r="D4" s="103">
        <v>45705</v>
      </c>
      <c r="E4" s="102">
        <v>0.98958333333333337</v>
      </c>
      <c r="F4" s="103">
        <v>45706</v>
      </c>
      <c r="G4" s="102">
        <v>0.73564814814814816</v>
      </c>
      <c r="H4" s="100" t="s">
        <v>423</v>
      </c>
      <c r="I4" s="100" t="s">
        <v>136</v>
      </c>
      <c r="J4" s="100"/>
      <c r="K4" s="100" t="s">
        <v>424</v>
      </c>
      <c r="L4" s="100" t="s">
        <v>425</v>
      </c>
      <c r="M4" s="104">
        <v>8</v>
      </c>
      <c r="N4" s="100" t="s">
        <v>426</v>
      </c>
      <c r="O4" s="104"/>
      <c r="P4" s="104"/>
      <c r="Q4" s="100"/>
      <c r="R4" s="100"/>
      <c r="S4" s="100"/>
      <c r="T4" s="100"/>
      <c r="U4" s="100"/>
      <c r="V4" s="100"/>
      <c r="W4" s="100"/>
      <c r="X4" s="100"/>
      <c r="Y4" s="100" t="s">
        <v>932</v>
      </c>
      <c r="Z4" s="100" t="s">
        <v>931</v>
      </c>
      <c r="AA4" s="100" t="s">
        <v>310</v>
      </c>
      <c r="AB4" s="100" t="s">
        <v>282</v>
      </c>
      <c r="AC4" s="100" t="s">
        <v>310</v>
      </c>
      <c r="AD4" s="100" t="s">
        <v>320</v>
      </c>
      <c r="AE4" s="100"/>
      <c r="AF4" s="104">
        <v>9</v>
      </c>
      <c r="AG4" s="103">
        <v>45705</v>
      </c>
      <c r="AH4" s="102">
        <v>0.83333333333333337</v>
      </c>
      <c r="AI4" s="102">
        <v>0.83333333333333337</v>
      </c>
      <c r="AJ4" s="100" t="s">
        <v>168</v>
      </c>
      <c r="AK4" s="100" t="s">
        <v>428</v>
      </c>
      <c r="AL4" s="104" t="s">
        <v>427</v>
      </c>
      <c r="AM4" s="104" t="s">
        <v>169</v>
      </c>
      <c r="AN4" s="100" t="s">
        <v>427</v>
      </c>
      <c r="AO4" s="102">
        <v>0.83333333333333337</v>
      </c>
      <c r="AP4" s="103">
        <v>45705</v>
      </c>
      <c r="AQ4" s="102">
        <v>0.83333333333333337</v>
      </c>
      <c r="AR4" s="105"/>
      <c r="AS4" s="100" t="s">
        <v>168</v>
      </c>
      <c r="AT4" s="100" t="s">
        <v>183</v>
      </c>
      <c r="AU4" s="100" t="s">
        <v>344</v>
      </c>
      <c r="AV4" s="104">
        <v>2025</v>
      </c>
      <c r="AW4" s="104">
        <v>8</v>
      </c>
      <c r="AX4" s="104">
        <v>4</v>
      </c>
      <c r="AY4" s="104">
        <v>17</v>
      </c>
      <c r="AZ4" s="104">
        <v>48</v>
      </c>
      <c r="BA4" s="100" t="s">
        <v>428</v>
      </c>
      <c r="BB4" s="100" t="s">
        <v>424</v>
      </c>
      <c r="BC4" s="100"/>
      <c r="BD4" s="100"/>
      <c r="BE4" s="100"/>
      <c r="BF4" s="100"/>
      <c r="BG4" s="104"/>
      <c r="BH4" s="100"/>
      <c r="BI4" s="100" t="s">
        <v>168</v>
      </c>
      <c r="BJ4" s="100" t="s">
        <v>168</v>
      </c>
    </row>
    <row r="5" spans="1:62" x14ac:dyDescent="0.25">
      <c r="A5" s="100" t="s">
        <v>135</v>
      </c>
      <c r="B5" s="101">
        <v>42906</v>
      </c>
      <c r="C5" s="102">
        <v>0.53615740740740736</v>
      </c>
      <c r="D5" s="103">
        <v>45555</v>
      </c>
      <c r="E5" s="102"/>
      <c r="F5" s="103">
        <v>45708</v>
      </c>
      <c r="G5" s="102">
        <v>0.53615740740740736</v>
      </c>
      <c r="H5" s="100" t="s">
        <v>136</v>
      </c>
      <c r="I5" s="100"/>
      <c r="J5" s="100"/>
      <c r="K5" s="100" t="s">
        <v>137</v>
      </c>
      <c r="L5" s="100" t="s">
        <v>138</v>
      </c>
      <c r="M5" s="104">
        <v>8</v>
      </c>
      <c r="N5" s="100" t="s">
        <v>139</v>
      </c>
      <c r="O5" s="104"/>
      <c r="P5" s="104"/>
      <c r="Q5" s="100"/>
      <c r="R5" s="100"/>
      <c r="S5" s="100"/>
      <c r="T5" s="100"/>
      <c r="U5" s="100"/>
      <c r="V5" s="100"/>
      <c r="W5" s="100"/>
      <c r="X5" s="100"/>
      <c r="Y5" s="100" t="s">
        <v>934</v>
      </c>
      <c r="Z5" s="100" t="s">
        <v>931</v>
      </c>
      <c r="AA5" s="100" t="s">
        <v>141</v>
      </c>
      <c r="AB5" s="100" t="s">
        <v>142</v>
      </c>
      <c r="AC5" s="100" t="s">
        <v>143</v>
      </c>
      <c r="AD5" s="100" t="s">
        <v>144</v>
      </c>
      <c r="AE5" s="100" t="s">
        <v>145</v>
      </c>
      <c r="AF5" s="104">
        <v>9</v>
      </c>
      <c r="AG5" s="103">
        <v>42906</v>
      </c>
      <c r="AH5" s="102">
        <v>0.53615740740740736</v>
      </c>
      <c r="AI5" s="102">
        <v>0.5</v>
      </c>
      <c r="AJ5" s="100" t="s">
        <v>146</v>
      </c>
      <c r="AK5" s="100" t="s">
        <v>150</v>
      </c>
      <c r="AL5" s="104" t="s">
        <v>136</v>
      </c>
      <c r="AM5" s="104" t="s">
        <v>147</v>
      </c>
      <c r="AN5" s="100" t="s">
        <v>136</v>
      </c>
      <c r="AO5" s="102">
        <v>0.53615740740740736</v>
      </c>
      <c r="AP5" s="103">
        <v>42906</v>
      </c>
      <c r="AQ5" s="102">
        <v>0.5</v>
      </c>
      <c r="AR5" s="105"/>
      <c r="AS5" s="100" t="s">
        <v>146</v>
      </c>
      <c r="AT5" s="100" t="s">
        <v>148</v>
      </c>
      <c r="AU5" s="100" t="s">
        <v>149</v>
      </c>
      <c r="AV5" s="104">
        <v>2017</v>
      </c>
      <c r="AW5" s="104">
        <v>25</v>
      </c>
      <c r="AX5" s="104">
        <v>4</v>
      </c>
      <c r="AY5" s="104">
        <v>20</v>
      </c>
      <c r="AZ5" s="104">
        <v>171</v>
      </c>
      <c r="BA5" s="100" t="s">
        <v>150</v>
      </c>
      <c r="BB5" s="100" t="s">
        <v>137</v>
      </c>
      <c r="BC5" s="100"/>
      <c r="BD5" s="100"/>
      <c r="BE5" s="100"/>
      <c r="BF5" s="100"/>
      <c r="BG5" s="104"/>
      <c r="BH5" s="100"/>
      <c r="BI5" s="100" t="s">
        <v>146</v>
      </c>
      <c r="BJ5" s="100" t="s">
        <v>146</v>
      </c>
    </row>
    <row r="6" spans="1:62" x14ac:dyDescent="0.25">
      <c r="A6" s="100" t="s">
        <v>587</v>
      </c>
      <c r="B6" s="101">
        <v>45749</v>
      </c>
      <c r="C6" s="102">
        <v>0.89930555555555558</v>
      </c>
      <c r="D6" s="103"/>
      <c r="E6" s="102"/>
      <c r="F6" s="103">
        <v>45749</v>
      </c>
      <c r="G6" s="102">
        <v>0.90325231481481483</v>
      </c>
      <c r="H6" s="100" t="s">
        <v>588</v>
      </c>
      <c r="I6" s="100" t="s">
        <v>136</v>
      </c>
      <c r="J6" s="100" t="s">
        <v>189</v>
      </c>
      <c r="K6" s="100" t="s">
        <v>589</v>
      </c>
      <c r="L6" s="100" t="s">
        <v>138</v>
      </c>
      <c r="M6" s="104">
        <v>8</v>
      </c>
      <c r="N6" s="100" t="s">
        <v>590</v>
      </c>
      <c r="O6" s="104"/>
      <c r="P6" s="104"/>
      <c r="Q6" s="100"/>
      <c r="R6" s="100"/>
      <c r="S6" s="100"/>
      <c r="T6" s="100"/>
      <c r="U6" s="100"/>
      <c r="V6" s="100"/>
      <c r="W6" s="100"/>
      <c r="X6" s="100"/>
      <c r="Y6" s="100" t="s">
        <v>935</v>
      </c>
      <c r="Z6" s="100" t="s">
        <v>931</v>
      </c>
      <c r="AA6" s="100" t="s">
        <v>525</v>
      </c>
      <c r="AB6" s="100" t="s">
        <v>211</v>
      </c>
      <c r="AC6" s="100" t="s">
        <v>143</v>
      </c>
      <c r="AD6" s="100" t="s">
        <v>283</v>
      </c>
      <c r="AE6" s="100"/>
      <c r="AF6" s="104">
        <v>9</v>
      </c>
      <c r="AG6" s="103">
        <v>45749</v>
      </c>
      <c r="AH6" s="102">
        <v>0.89930555555555558</v>
      </c>
      <c r="AI6" s="102">
        <v>0.875</v>
      </c>
      <c r="AJ6" s="100" t="s">
        <v>168</v>
      </c>
      <c r="AK6" s="100" t="s">
        <v>592</v>
      </c>
      <c r="AL6" s="104" t="s">
        <v>591</v>
      </c>
      <c r="AM6" s="104" t="s">
        <v>169</v>
      </c>
      <c r="AN6" s="100" t="s">
        <v>591</v>
      </c>
      <c r="AO6" s="102">
        <v>0.89930555555555558</v>
      </c>
      <c r="AP6" s="103">
        <v>45749</v>
      </c>
      <c r="AQ6" s="102">
        <v>0.875</v>
      </c>
      <c r="AR6" s="105"/>
      <c r="AS6" s="100" t="s">
        <v>168</v>
      </c>
      <c r="AT6" s="100" t="s">
        <v>239</v>
      </c>
      <c r="AU6" s="100" t="s">
        <v>582</v>
      </c>
      <c r="AV6" s="104">
        <v>2025</v>
      </c>
      <c r="AW6" s="104">
        <v>14</v>
      </c>
      <c r="AX6" s="104">
        <v>1</v>
      </c>
      <c r="AY6" s="104">
        <v>2</v>
      </c>
      <c r="AZ6" s="104">
        <v>92</v>
      </c>
      <c r="BA6" s="100" t="s">
        <v>592</v>
      </c>
      <c r="BB6" s="100" t="s">
        <v>589</v>
      </c>
      <c r="BC6" s="100"/>
      <c r="BD6" s="100"/>
      <c r="BE6" s="100"/>
      <c r="BF6" s="100"/>
      <c r="BG6" s="104"/>
      <c r="BH6" s="100"/>
      <c r="BI6" s="100" t="s">
        <v>168</v>
      </c>
      <c r="BJ6" s="100" t="s">
        <v>168</v>
      </c>
    </row>
    <row r="7" spans="1:62" x14ac:dyDescent="0.25">
      <c r="A7" s="100" t="s">
        <v>514</v>
      </c>
      <c r="B7" s="101">
        <v>45739</v>
      </c>
      <c r="C7" s="102">
        <v>0.62013888888888891</v>
      </c>
      <c r="D7" s="103">
        <v>45739</v>
      </c>
      <c r="E7" s="102">
        <v>0.64166666666666672</v>
      </c>
      <c r="F7" s="103">
        <v>45761</v>
      </c>
      <c r="G7" s="102">
        <v>0.49540509259259258</v>
      </c>
      <c r="H7" s="100" t="s">
        <v>188</v>
      </c>
      <c r="I7" s="100"/>
      <c r="J7" s="100"/>
      <c r="K7" s="100" t="s">
        <v>515</v>
      </c>
      <c r="L7" s="100" t="s">
        <v>516</v>
      </c>
      <c r="M7" s="104">
        <v>9</v>
      </c>
      <c r="N7" s="100" t="s">
        <v>517</v>
      </c>
      <c r="O7" s="104"/>
      <c r="P7" s="104"/>
      <c r="Q7" s="100"/>
      <c r="R7" s="100"/>
      <c r="S7" s="100"/>
      <c r="T7" s="100"/>
      <c r="U7" s="100"/>
      <c r="V7" s="100"/>
      <c r="W7" s="100"/>
      <c r="X7" s="100"/>
      <c r="Y7" s="100" t="s">
        <v>936</v>
      </c>
      <c r="Z7" s="100" t="s">
        <v>931</v>
      </c>
      <c r="AA7" s="100" t="s">
        <v>443</v>
      </c>
      <c r="AB7" s="100" t="s">
        <v>142</v>
      </c>
      <c r="AC7" s="100" t="s">
        <v>275</v>
      </c>
      <c r="AD7" s="100" t="s">
        <v>166</v>
      </c>
      <c r="AE7" s="100" t="s">
        <v>197</v>
      </c>
      <c r="AF7" s="104">
        <v>9</v>
      </c>
      <c r="AG7" s="103">
        <v>45739</v>
      </c>
      <c r="AH7" s="102">
        <v>0.62013888888888891</v>
      </c>
      <c r="AI7" s="102">
        <v>0.58333333333333337</v>
      </c>
      <c r="AJ7" s="100" t="s">
        <v>146</v>
      </c>
      <c r="AK7" s="100" t="s">
        <v>519</v>
      </c>
      <c r="AL7" s="104" t="s">
        <v>188</v>
      </c>
      <c r="AM7" s="104" t="s">
        <v>169</v>
      </c>
      <c r="AN7" s="100" t="s">
        <v>188</v>
      </c>
      <c r="AO7" s="102">
        <v>0.62013888888888891</v>
      </c>
      <c r="AP7" s="103">
        <v>45739</v>
      </c>
      <c r="AQ7" s="102">
        <v>0.58333333333333337</v>
      </c>
      <c r="AR7" s="105"/>
      <c r="AS7" s="100" t="s">
        <v>146</v>
      </c>
      <c r="AT7" s="100" t="s">
        <v>311</v>
      </c>
      <c r="AU7" s="100" t="s">
        <v>445</v>
      </c>
      <c r="AV7" s="104">
        <v>2025</v>
      </c>
      <c r="AW7" s="104">
        <v>13</v>
      </c>
      <c r="AX7" s="104">
        <v>5</v>
      </c>
      <c r="AY7" s="104">
        <v>23</v>
      </c>
      <c r="AZ7" s="104">
        <v>82</v>
      </c>
      <c r="BA7" s="100" t="s">
        <v>519</v>
      </c>
      <c r="BB7" s="100" t="s">
        <v>515</v>
      </c>
      <c r="BC7" s="100"/>
      <c r="BD7" s="100"/>
      <c r="BE7" s="100"/>
      <c r="BF7" s="100"/>
      <c r="BG7" s="104"/>
      <c r="BH7" s="100"/>
      <c r="BI7" s="100" t="s">
        <v>146</v>
      </c>
      <c r="BJ7" s="100" t="s">
        <v>146</v>
      </c>
    </row>
    <row r="8" spans="1:62" x14ac:dyDescent="0.25">
      <c r="A8" s="100" t="s">
        <v>667</v>
      </c>
      <c r="B8" s="101">
        <v>45771</v>
      </c>
      <c r="C8" s="102">
        <v>0.45277777777777778</v>
      </c>
      <c r="D8" s="103"/>
      <c r="E8" s="102"/>
      <c r="F8" s="103">
        <v>45771</v>
      </c>
      <c r="G8" s="102">
        <v>0.63624999999999998</v>
      </c>
      <c r="H8" s="100" t="s">
        <v>423</v>
      </c>
      <c r="I8" s="100" t="s">
        <v>188</v>
      </c>
      <c r="J8" s="100" t="s">
        <v>189</v>
      </c>
      <c r="K8" s="100" t="s">
        <v>190</v>
      </c>
      <c r="L8" s="100" t="s">
        <v>191</v>
      </c>
      <c r="M8" s="104">
        <v>7</v>
      </c>
      <c r="N8" s="100" t="s">
        <v>668</v>
      </c>
      <c r="O8" s="104"/>
      <c r="P8" s="104"/>
      <c r="Q8" s="100"/>
      <c r="R8" s="100"/>
      <c r="S8" s="100"/>
      <c r="T8" s="100"/>
      <c r="U8" s="100"/>
      <c r="V8" s="100"/>
      <c r="W8" s="100"/>
      <c r="X8" s="100"/>
      <c r="Y8" s="100" t="s">
        <v>193</v>
      </c>
      <c r="Z8" s="100" t="s">
        <v>931</v>
      </c>
      <c r="AA8" s="100" t="s">
        <v>194</v>
      </c>
      <c r="AB8" s="100" t="s">
        <v>195</v>
      </c>
      <c r="AC8" s="100" t="s">
        <v>194</v>
      </c>
      <c r="AD8" s="100" t="s">
        <v>320</v>
      </c>
      <c r="AE8" s="100" t="s">
        <v>197</v>
      </c>
      <c r="AF8" s="104">
        <v>9</v>
      </c>
      <c r="AG8" s="103">
        <v>45771</v>
      </c>
      <c r="AH8" s="102">
        <v>0.45277777777777778</v>
      </c>
      <c r="AI8" s="102">
        <v>0.41666666666666669</v>
      </c>
      <c r="AJ8" s="100" t="s">
        <v>276</v>
      </c>
      <c r="AK8" s="100" t="s">
        <v>199</v>
      </c>
      <c r="AL8" s="104" t="s">
        <v>669</v>
      </c>
      <c r="AM8" s="104" t="s">
        <v>169</v>
      </c>
      <c r="AN8" s="100" t="s">
        <v>669</v>
      </c>
      <c r="AO8" s="102">
        <v>0.45277777777777778</v>
      </c>
      <c r="AP8" s="103">
        <v>45771</v>
      </c>
      <c r="AQ8" s="102">
        <v>0.41666666666666669</v>
      </c>
      <c r="AR8" s="105"/>
      <c r="AS8" s="100" t="s">
        <v>276</v>
      </c>
      <c r="AT8" s="100" t="s">
        <v>247</v>
      </c>
      <c r="AU8" s="100" t="s">
        <v>582</v>
      </c>
      <c r="AV8" s="104">
        <v>2025</v>
      </c>
      <c r="AW8" s="104">
        <v>17</v>
      </c>
      <c r="AX8" s="104">
        <v>4</v>
      </c>
      <c r="AY8" s="104">
        <v>24</v>
      </c>
      <c r="AZ8" s="104">
        <v>114</v>
      </c>
      <c r="BA8" s="100" t="s">
        <v>199</v>
      </c>
      <c r="BB8" s="100" t="s">
        <v>190</v>
      </c>
      <c r="BC8" s="100"/>
      <c r="BD8" s="100"/>
      <c r="BE8" s="100"/>
      <c r="BF8" s="100"/>
      <c r="BG8" s="104"/>
      <c r="BH8" s="100"/>
      <c r="BI8" s="100" t="s">
        <v>276</v>
      </c>
      <c r="BJ8" s="100" t="s">
        <v>276</v>
      </c>
    </row>
    <row r="9" spans="1:62" x14ac:dyDescent="0.25">
      <c r="A9" s="100" t="s">
        <v>738</v>
      </c>
      <c r="B9" s="101">
        <v>45788</v>
      </c>
      <c r="C9" s="102"/>
      <c r="D9" s="103"/>
      <c r="E9" s="102"/>
      <c r="F9" s="103">
        <v>45790</v>
      </c>
      <c r="G9" s="102">
        <v>0.63552083333333331</v>
      </c>
      <c r="H9" s="100" t="s">
        <v>136</v>
      </c>
      <c r="I9" s="100" t="s">
        <v>189</v>
      </c>
      <c r="J9" s="100"/>
      <c r="K9" s="100" t="s">
        <v>190</v>
      </c>
      <c r="L9" s="100" t="s">
        <v>191</v>
      </c>
      <c r="M9" s="104"/>
      <c r="N9" s="100" t="s">
        <v>739</v>
      </c>
      <c r="O9" s="104"/>
      <c r="P9" s="104"/>
      <c r="Q9" s="100"/>
      <c r="R9" s="100"/>
      <c r="S9" s="100"/>
      <c r="T9" s="100"/>
      <c r="U9" s="100"/>
      <c r="V9" s="100"/>
      <c r="W9" s="100"/>
      <c r="X9" s="100"/>
      <c r="Y9" s="100" t="s">
        <v>945</v>
      </c>
      <c r="Z9" s="100" t="s">
        <v>931</v>
      </c>
      <c r="AA9" s="100" t="s">
        <v>194</v>
      </c>
      <c r="AB9" s="100" t="s">
        <v>444</v>
      </c>
      <c r="AC9" s="100" t="s">
        <v>194</v>
      </c>
      <c r="AD9" s="100" t="s">
        <v>166</v>
      </c>
      <c r="AE9" s="100" t="s">
        <v>741</v>
      </c>
      <c r="AF9" s="104">
        <v>9</v>
      </c>
      <c r="AG9" s="103">
        <v>45788</v>
      </c>
      <c r="AH9" s="102">
        <v>0.63552083333333331</v>
      </c>
      <c r="AI9" s="102">
        <v>0.625</v>
      </c>
      <c r="AJ9" s="100" t="s">
        <v>146</v>
      </c>
      <c r="AK9" s="100" t="s">
        <v>199</v>
      </c>
      <c r="AL9" s="104" t="s">
        <v>284</v>
      </c>
      <c r="AM9" s="104" t="s">
        <v>169</v>
      </c>
      <c r="AN9" s="100" t="s">
        <v>284</v>
      </c>
      <c r="AO9" s="102">
        <v>0.63552083333333331</v>
      </c>
      <c r="AP9" s="103">
        <v>45788</v>
      </c>
      <c r="AQ9" s="102">
        <v>0.625</v>
      </c>
      <c r="AR9" s="105"/>
      <c r="AS9" s="100" t="s">
        <v>146</v>
      </c>
      <c r="AT9" s="100" t="s">
        <v>311</v>
      </c>
      <c r="AU9" s="100" t="s">
        <v>705</v>
      </c>
      <c r="AV9" s="104">
        <v>2025</v>
      </c>
      <c r="AW9" s="104">
        <v>20</v>
      </c>
      <c r="AX9" s="104">
        <v>3</v>
      </c>
      <c r="AY9" s="104">
        <v>11</v>
      </c>
      <c r="AZ9" s="104">
        <v>131</v>
      </c>
      <c r="BA9" s="100" t="s">
        <v>199</v>
      </c>
      <c r="BB9" s="100" t="s">
        <v>190</v>
      </c>
      <c r="BC9" s="100"/>
      <c r="BD9" s="100"/>
      <c r="BE9" s="100"/>
      <c r="BF9" s="100"/>
      <c r="BG9" s="104"/>
      <c r="BH9" s="100"/>
      <c r="BI9" s="100" t="s">
        <v>146</v>
      </c>
      <c r="BJ9" s="100" t="s">
        <v>146</v>
      </c>
    </row>
    <row r="10" spans="1:62" x14ac:dyDescent="0.25">
      <c r="A10" s="100" t="s">
        <v>761</v>
      </c>
      <c r="B10" s="101">
        <v>45790</v>
      </c>
      <c r="C10" s="102">
        <v>0.64583333333333337</v>
      </c>
      <c r="D10" s="103"/>
      <c r="E10" s="102"/>
      <c r="F10" s="103">
        <v>45798</v>
      </c>
      <c r="G10" s="102">
        <v>0.58729166666666666</v>
      </c>
      <c r="H10" s="100" t="s">
        <v>188</v>
      </c>
      <c r="I10" s="100"/>
      <c r="J10" s="100"/>
      <c r="K10" s="100" t="s">
        <v>762</v>
      </c>
      <c r="L10" s="100" t="s">
        <v>251</v>
      </c>
      <c r="M10" s="104">
        <v>9</v>
      </c>
      <c r="N10" s="100" t="s">
        <v>763</v>
      </c>
      <c r="O10" s="104"/>
      <c r="P10" s="104"/>
      <c r="Q10" s="100"/>
      <c r="R10" s="100"/>
      <c r="S10" s="100"/>
      <c r="T10" s="100"/>
      <c r="U10" s="100"/>
      <c r="V10" s="100"/>
      <c r="W10" s="100"/>
      <c r="X10" s="100"/>
      <c r="Y10" s="100" t="s">
        <v>946</v>
      </c>
      <c r="Z10" s="100" t="s">
        <v>931</v>
      </c>
      <c r="AA10" s="100" t="s">
        <v>334</v>
      </c>
      <c r="AB10" s="100" t="s">
        <v>164</v>
      </c>
      <c r="AC10" s="100" t="s">
        <v>257</v>
      </c>
      <c r="AD10" s="100" t="s">
        <v>320</v>
      </c>
      <c r="AE10" s="100" t="s">
        <v>197</v>
      </c>
      <c r="AF10" s="104">
        <v>9</v>
      </c>
      <c r="AG10" s="103">
        <v>45790</v>
      </c>
      <c r="AH10" s="102">
        <v>0.64583333333333337</v>
      </c>
      <c r="AI10" s="102">
        <v>0.625</v>
      </c>
      <c r="AJ10" s="100" t="s">
        <v>146</v>
      </c>
      <c r="AK10" s="100" t="s">
        <v>764</v>
      </c>
      <c r="AL10" s="104" t="s">
        <v>188</v>
      </c>
      <c r="AM10" s="104" t="s">
        <v>169</v>
      </c>
      <c r="AN10" s="100" t="s">
        <v>188</v>
      </c>
      <c r="AO10" s="102">
        <v>0.64583333333333337</v>
      </c>
      <c r="AP10" s="103">
        <v>45790</v>
      </c>
      <c r="AQ10" s="102">
        <v>0.625</v>
      </c>
      <c r="AR10" s="105"/>
      <c r="AS10" s="100" t="s">
        <v>146</v>
      </c>
      <c r="AT10" s="100" t="s">
        <v>148</v>
      </c>
      <c r="AU10" s="100" t="s">
        <v>705</v>
      </c>
      <c r="AV10" s="104">
        <v>2025</v>
      </c>
      <c r="AW10" s="104">
        <v>20</v>
      </c>
      <c r="AX10" s="104">
        <v>3</v>
      </c>
      <c r="AY10" s="104">
        <v>13</v>
      </c>
      <c r="AZ10" s="104">
        <v>133</v>
      </c>
      <c r="BA10" s="100" t="s">
        <v>764</v>
      </c>
      <c r="BB10" s="100" t="s">
        <v>762</v>
      </c>
      <c r="BC10" s="100"/>
      <c r="BD10" s="100"/>
      <c r="BE10" s="100"/>
      <c r="BF10" s="100"/>
      <c r="BG10" s="104"/>
      <c r="BH10" s="100"/>
      <c r="BI10" s="100" t="s">
        <v>146</v>
      </c>
      <c r="BJ10" s="100" t="s">
        <v>146</v>
      </c>
    </row>
    <row r="11" spans="1:62" x14ac:dyDescent="0.25">
      <c r="A11" s="100" t="s">
        <v>803</v>
      </c>
      <c r="B11" s="101">
        <v>45809</v>
      </c>
      <c r="C11" s="102">
        <v>0.5</v>
      </c>
      <c r="D11" s="103"/>
      <c r="E11" s="102"/>
      <c r="F11" s="103">
        <v>45812</v>
      </c>
      <c r="G11" s="102">
        <v>0.3739351851851852</v>
      </c>
      <c r="H11" s="100" t="s">
        <v>136</v>
      </c>
      <c r="I11" s="100" t="s">
        <v>804</v>
      </c>
      <c r="J11" s="100" t="s">
        <v>166</v>
      </c>
      <c r="K11" s="100" t="s">
        <v>805</v>
      </c>
      <c r="L11" s="100" t="s">
        <v>191</v>
      </c>
      <c r="M11" s="104">
        <v>7</v>
      </c>
      <c r="N11" s="100" t="s">
        <v>806</v>
      </c>
      <c r="O11" s="104"/>
      <c r="P11" s="104"/>
      <c r="Q11" s="100"/>
      <c r="R11" s="100"/>
      <c r="S11" s="100"/>
      <c r="T11" s="100"/>
      <c r="U11" s="100"/>
      <c r="V11" s="100"/>
      <c r="W11" s="100"/>
      <c r="X11" s="100"/>
      <c r="Y11" s="100" t="s">
        <v>932</v>
      </c>
      <c r="Z11" s="100" t="s">
        <v>931</v>
      </c>
      <c r="AA11" s="100" t="s">
        <v>228</v>
      </c>
      <c r="AB11" s="100" t="s">
        <v>282</v>
      </c>
      <c r="AC11" s="100" t="s">
        <v>228</v>
      </c>
      <c r="AD11" s="100" t="s">
        <v>166</v>
      </c>
      <c r="AE11" s="100" t="s">
        <v>807</v>
      </c>
      <c r="AF11" s="104">
        <v>9</v>
      </c>
      <c r="AG11" s="103">
        <v>45809</v>
      </c>
      <c r="AH11" s="102">
        <v>0.5</v>
      </c>
      <c r="AI11" s="102">
        <v>0.5</v>
      </c>
      <c r="AJ11" s="100" t="s">
        <v>146</v>
      </c>
      <c r="AK11" s="100" t="s">
        <v>627</v>
      </c>
      <c r="AL11" s="104" t="s">
        <v>808</v>
      </c>
      <c r="AM11" s="104" t="s">
        <v>169</v>
      </c>
      <c r="AN11" s="100" t="s">
        <v>808</v>
      </c>
      <c r="AO11" s="102">
        <v>0.5</v>
      </c>
      <c r="AP11" s="103">
        <v>45809</v>
      </c>
      <c r="AQ11" s="102">
        <v>0.5</v>
      </c>
      <c r="AR11" s="105"/>
      <c r="AS11" s="100" t="s">
        <v>146</v>
      </c>
      <c r="AT11" s="100" t="s">
        <v>311</v>
      </c>
      <c r="AU11" s="100" t="s">
        <v>149</v>
      </c>
      <c r="AV11" s="104">
        <v>2025</v>
      </c>
      <c r="AW11" s="104">
        <v>23</v>
      </c>
      <c r="AX11" s="104">
        <v>1</v>
      </c>
      <c r="AY11" s="104">
        <v>1</v>
      </c>
      <c r="AZ11" s="104">
        <v>152</v>
      </c>
      <c r="BA11" s="100" t="s">
        <v>627</v>
      </c>
      <c r="BB11" s="100" t="s">
        <v>805</v>
      </c>
      <c r="BC11" s="100"/>
      <c r="BD11" s="100"/>
      <c r="BE11" s="100"/>
      <c r="BF11" s="100"/>
      <c r="BG11" s="104"/>
      <c r="BH11" s="100"/>
      <c r="BI11" s="100" t="s">
        <v>146</v>
      </c>
      <c r="BJ11" s="100" t="s">
        <v>146</v>
      </c>
    </row>
    <row r="12" spans="1:62" x14ac:dyDescent="0.25">
      <c r="A12" s="100" t="s">
        <v>1124</v>
      </c>
      <c r="B12" s="101">
        <v>45841</v>
      </c>
      <c r="C12" s="102">
        <v>0.625</v>
      </c>
      <c r="D12" s="103">
        <v>45841</v>
      </c>
      <c r="E12" s="102">
        <v>0.6875</v>
      </c>
      <c r="F12" s="103">
        <v>45841</v>
      </c>
      <c r="G12" s="102">
        <v>0.8992013888888889</v>
      </c>
      <c r="H12" s="100" t="s">
        <v>136</v>
      </c>
      <c r="I12" s="100" t="s">
        <v>189</v>
      </c>
      <c r="J12" s="100"/>
      <c r="K12" s="100" t="s">
        <v>1125</v>
      </c>
      <c r="L12" s="100" t="s">
        <v>414</v>
      </c>
      <c r="M12" s="104">
        <v>7</v>
      </c>
      <c r="N12" s="100" t="s">
        <v>1126</v>
      </c>
      <c r="O12" s="104"/>
      <c r="P12" s="104"/>
      <c r="Q12" s="100"/>
      <c r="R12" s="100"/>
      <c r="S12" s="100"/>
      <c r="T12" s="100"/>
      <c r="U12" s="100"/>
      <c r="V12" s="100"/>
      <c r="W12" s="100"/>
      <c r="X12" s="100"/>
      <c r="Y12" s="100" t="s">
        <v>989</v>
      </c>
      <c r="Z12" s="100" t="s">
        <v>931</v>
      </c>
      <c r="AA12" s="100" t="s">
        <v>1127</v>
      </c>
      <c r="AB12" s="100" t="s">
        <v>142</v>
      </c>
      <c r="AC12" s="100" t="s">
        <v>194</v>
      </c>
      <c r="AD12" s="100" t="s">
        <v>283</v>
      </c>
      <c r="AE12" s="100"/>
      <c r="AF12" s="104">
        <v>9</v>
      </c>
      <c r="AG12" s="103">
        <v>45841</v>
      </c>
      <c r="AH12" s="102">
        <v>0.625</v>
      </c>
      <c r="AI12" s="102">
        <v>0.625</v>
      </c>
      <c r="AJ12" s="100" t="s">
        <v>146</v>
      </c>
      <c r="AK12" s="100" t="s">
        <v>1128</v>
      </c>
      <c r="AL12" s="104" t="s">
        <v>284</v>
      </c>
      <c r="AM12" s="104" t="s">
        <v>1015</v>
      </c>
      <c r="AN12" s="100" t="s">
        <v>284</v>
      </c>
      <c r="AO12" s="102">
        <v>0.625</v>
      </c>
      <c r="AP12" s="103">
        <v>45841</v>
      </c>
      <c r="AQ12" s="102">
        <v>0.625</v>
      </c>
      <c r="AR12" s="105"/>
      <c r="AS12" s="100" t="s">
        <v>146</v>
      </c>
      <c r="AT12" s="100" t="s">
        <v>247</v>
      </c>
      <c r="AU12" s="100" t="s">
        <v>1115</v>
      </c>
      <c r="AV12" s="104">
        <v>2025</v>
      </c>
      <c r="AW12" s="104">
        <v>27</v>
      </c>
      <c r="AX12" s="104">
        <v>1</v>
      </c>
      <c r="AY12" s="104">
        <v>3</v>
      </c>
      <c r="AZ12" s="104">
        <v>184</v>
      </c>
      <c r="BA12" s="100" t="s">
        <v>1128</v>
      </c>
      <c r="BB12" s="100" t="s">
        <v>1125</v>
      </c>
      <c r="BC12" s="100"/>
      <c r="BD12" s="100"/>
      <c r="BE12" s="100"/>
      <c r="BF12" s="100"/>
      <c r="BG12" s="104"/>
      <c r="BH12" s="100"/>
      <c r="BI12" s="100" t="s">
        <v>146</v>
      </c>
      <c r="BJ12" s="100" t="s">
        <v>146</v>
      </c>
    </row>
  </sheetData>
  <phoneticPr fontId="9" type="noConversion"/>
  <conditionalFormatting sqref="A2:BJ12">
    <cfRule type="expression" dxfId="103" priority="1" stopIfTrue="1">
      <formula>$AM2="7-Day"</formula>
    </cfRule>
    <cfRule type="expression" dxfId="102" priority="2" stopIfTrue="1">
      <formula>$AM2="28-Day"</formula>
    </cfRule>
    <cfRule type="expression" dxfId="101" priority="3" stopIfTrue="1">
      <formula>$AM2="YTD"</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54C4-B4D6-43E8-9C4B-A8EBC0903D63}">
  <sheetPr codeName="Sheet38">
    <tabColor rgb="FFFFC000"/>
  </sheetPr>
  <dimension ref="A1:BJ20"/>
  <sheetViews>
    <sheetView tabSelected="1" workbookViewId="0">
      <selection activeCell="H2" sqref="H2:H20"/>
    </sheetView>
  </sheetViews>
  <sheetFormatPr defaultRowHeight="15" x14ac:dyDescent="0.25"/>
  <cols>
    <col min="1" max="1" width="15.140625" bestFit="1" customWidth="1"/>
    <col min="2" max="2" width="14.7109375" style="1"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18.85546875" bestFit="1" customWidth="1"/>
    <col min="9" max="9" width="34.85546875" bestFit="1" customWidth="1"/>
    <col min="10" max="10" width="36.28515625" bestFit="1" customWidth="1"/>
    <col min="11" max="11" width="70.57031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28515625" bestFit="1" customWidth="1"/>
    <col min="19" max="19" width="10.140625" bestFit="1" customWidth="1"/>
    <col min="20" max="20" width="13" bestFit="1" customWidth="1"/>
    <col min="21" max="21" width="15.5703125" bestFit="1" customWidth="1"/>
    <col min="22" max="22" width="13" bestFit="1" customWidth="1"/>
    <col min="23" max="23" width="9.7109375" bestFit="1" customWidth="1"/>
    <col min="24" max="24" width="10.140625" bestFit="1" customWidth="1"/>
    <col min="25" max="25" width="14.7109375" bestFit="1" customWidth="1"/>
    <col min="26" max="26" width="15.7109375" bestFit="1" customWidth="1"/>
    <col min="27" max="27" width="28" bestFit="1" customWidth="1"/>
    <col min="28" max="28" width="8.7109375" bestFit="1" customWidth="1"/>
    <col min="29" max="29" width="24.7109375" bestFit="1" customWidth="1"/>
    <col min="30" max="30" width="29.140625" bestFit="1" customWidth="1"/>
    <col min="31" max="31" width="20"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48.5703125" bestFit="1" customWidth="1"/>
    <col min="38" max="38" width="69" bestFit="1" customWidth="1"/>
    <col min="39" max="39" width="9.140625" bestFit="1" customWidth="1"/>
    <col min="40" max="40" width="69" bestFit="1" customWidth="1"/>
    <col min="41" max="41" width="11.85546875" style="70" bestFit="1" customWidth="1"/>
    <col min="42" max="42" width="12" style="1" bestFit="1" customWidth="1"/>
    <col min="43" max="43" width="14.42578125" style="70" bestFit="1" customWidth="1"/>
    <col min="44" max="44" width="22.7109375" bestFit="1" customWidth="1"/>
    <col min="45" max="45" width="25.7109375" bestFit="1" customWidth="1"/>
    <col min="46" max="46" width="12.28515625" bestFit="1" customWidth="1"/>
    <col min="47" max="47" width="15" bestFit="1" customWidth="1"/>
    <col min="48" max="48" width="7.28515625" bestFit="1" customWidth="1"/>
    <col min="49" max="49" width="15.42578125" bestFit="1" customWidth="1"/>
    <col min="50" max="50" width="17.42578125" bestFit="1" customWidth="1"/>
    <col min="51" max="51" width="6.5703125" bestFit="1" customWidth="1"/>
    <col min="52" max="52" width="13.28515625" bestFit="1" customWidth="1"/>
    <col min="53" max="53" width="48.5703125" bestFit="1" customWidth="1"/>
    <col min="54" max="54" width="70.5703125" bestFit="1" customWidth="1"/>
    <col min="55" max="55" width="6" bestFit="1" customWidth="1"/>
    <col min="56" max="56" width="8.5703125" bestFit="1" customWidth="1"/>
    <col min="57" max="57" width="14.85546875" bestFit="1" customWidth="1"/>
    <col min="58" max="58" width="10.140625" bestFit="1" customWidth="1"/>
    <col min="59" max="59" width="26.42578125" bestFit="1" customWidth="1"/>
    <col min="60" max="60" width="16.5703125" bestFit="1" customWidth="1"/>
    <col min="61" max="62" width="25.7109375" customWidth="1"/>
    <col min="63" max="63" width="25.7109375" bestFit="1" customWidth="1"/>
    <col min="64" max="64" width="12" bestFit="1" customWidth="1"/>
    <col min="65" max="65" width="25.7109375" bestFit="1" customWidth="1"/>
    <col min="66" max="66" width="66.5703125" bestFit="1" customWidth="1"/>
  </cols>
  <sheetData>
    <row r="1" spans="1:62" x14ac:dyDescent="0.25">
      <c r="A1" t="s">
        <v>93</v>
      </c>
      <c r="B1" s="1" t="s">
        <v>94</v>
      </c>
      <c r="C1" t="s">
        <v>95</v>
      </c>
      <c r="D1" t="s">
        <v>911</v>
      </c>
      <c r="E1" t="s">
        <v>912</v>
      </c>
      <c r="F1" t="s">
        <v>913</v>
      </c>
      <c r="G1" t="s">
        <v>914</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915</v>
      </c>
      <c r="AA1" t="s">
        <v>114</v>
      </c>
      <c r="AB1" t="s">
        <v>115</v>
      </c>
      <c r="AC1" t="s">
        <v>116</v>
      </c>
      <c r="AD1" t="s">
        <v>117</v>
      </c>
      <c r="AE1" t="s">
        <v>118</v>
      </c>
      <c r="AF1" t="s">
        <v>916</v>
      </c>
      <c r="AG1" t="s">
        <v>2</v>
      </c>
      <c r="AH1" t="s">
        <v>120</v>
      </c>
      <c r="AI1" t="s">
        <v>121</v>
      </c>
      <c r="AJ1" t="s">
        <v>122</v>
      </c>
      <c r="AK1" t="s">
        <v>1</v>
      </c>
      <c r="AL1" t="s">
        <v>917</v>
      </c>
      <c r="AM1" t="s">
        <v>124</v>
      </c>
      <c r="AN1" t="s">
        <v>123</v>
      </c>
      <c r="AO1" s="70" t="s">
        <v>125</v>
      </c>
      <c r="AP1" s="1" t="s">
        <v>126</v>
      </c>
      <c r="AQ1" s="70" t="s">
        <v>918</v>
      </c>
      <c r="AR1" t="s">
        <v>919</v>
      </c>
      <c r="AS1" t="s">
        <v>920</v>
      </c>
      <c r="AT1" t="s">
        <v>128</v>
      </c>
      <c r="AU1" t="s">
        <v>129</v>
      </c>
      <c r="AV1" t="s">
        <v>130</v>
      </c>
      <c r="AW1" t="s">
        <v>131</v>
      </c>
      <c r="AX1" t="s">
        <v>921</v>
      </c>
      <c r="AY1" t="s">
        <v>132</v>
      </c>
      <c r="AZ1" t="s">
        <v>922</v>
      </c>
      <c r="BA1" t="s">
        <v>923</v>
      </c>
      <c r="BB1" t="s">
        <v>924</v>
      </c>
      <c r="BC1" t="s">
        <v>925</v>
      </c>
      <c r="BD1" t="s">
        <v>7</v>
      </c>
      <c r="BE1" t="s">
        <v>926</v>
      </c>
      <c r="BF1" t="s">
        <v>5</v>
      </c>
      <c r="BG1" t="s">
        <v>927</v>
      </c>
      <c r="BH1" t="s">
        <v>928</v>
      </c>
      <c r="BI1" t="s">
        <v>929</v>
      </c>
      <c r="BJ1" t="s">
        <v>127</v>
      </c>
    </row>
    <row r="2" spans="1:62" x14ac:dyDescent="0.25">
      <c r="A2" s="100" t="s">
        <v>203</v>
      </c>
      <c r="B2" s="101">
        <v>45670</v>
      </c>
      <c r="C2" s="102">
        <v>0.50347222222222221</v>
      </c>
      <c r="D2" s="103"/>
      <c r="E2" s="102"/>
      <c r="F2" s="103">
        <v>45670</v>
      </c>
      <c r="G2" s="102">
        <v>0.50537037037037036</v>
      </c>
      <c r="H2" s="100" t="s">
        <v>204</v>
      </c>
      <c r="I2" s="100" t="s">
        <v>205</v>
      </c>
      <c r="J2" s="100" t="s">
        <v>206</v>
      </c>
      <c r="K2" s="100" t="s">
        <v>207</v>
      </c>
      <c r="L2" s="100" t="s">
        <v>208</v>
      </c>
      <c r="M2" s="104">
        <v>8</v>
      </c>
      <c r="N2" s="100" t="s">
        <v>209</v>
      </c>
      <c r="O2" s="104"/>
      <c r="P2" s="104"/>
      <c r="Q2" s="100"/>
      <c r="R2" s="100"/>
      <c r="S2" s="100"/>
      <c r="T2" s="100"/>
      <c r="U2" s="100"/>
      <c r="V2" s="100"/>
      <c r="W2" s="100"/>
      <c r="X2" s="100"/>
      <c r="Y2" s="100" t="s">
        <v>950</v>
      </c>
      <c r="Z2" s="100" t="s">
        <v>931</v>
      </c>
      <c r="AA2" s="100" t="s">
        <v>210</v>
      </c>
      <c r="AB2" s="100" t="s">
        <v>211</v>
      </c>
      <c r="AC2" s="100" t="s">
        <v>143</v>
      </c>
      <c r="AD2" s="100" t="s">
        <v>212</v>
      </c>
      <c r="AE2" s="100" t="s">
        <v>213</v>
      </c>
      <c r="AF2" s="104">
        <v>9</v>
      </c>
      <c r="AG2" s="103">
        <v>45670</v>
      </c>
      <c r="AH2" s="102">
        <v>0.50347222222222221</v>
      </c>
      <c r="AI2" s="102">
        <v>0.5</v>
      </c>
      <c r="AJ2" s="100" t="s">
        <v>146</v>
      </c>
      <c r="AK2" s="100" t="s">
        <v>215</v>
      </c>
      <c r="AL2" s="104" t="s">
        <v>214</v>
      </c>
      <c r="AM2" s="104" t="s">
        <v>169</v>
      </c>
      <c r="AN2" s="100" t="s">
        <v>214</v>
      </c>
      <c r="AO2" s="106">
        <v>0.50347222222222221</v>
      </c>
      <c r="AP2" s="101">
        <v>45670</v>
      </c>
      <c r="AQ2" s="106">
        <v>0.5</v>
      </c>
      <c r="AR2" s="105"/>
      <c r="AS2" s="100" t="s">
        <v>146</v>
      </c>
      <c r="AT2" s="100" t="s">
        <v>183</v>
      </c>
      <c r="AU2" s="100" t="s">
        <v>171</v>
      </c>
      <c r="AV2" s="104">
        <v>2025</v>
      </c>
      <c r="AW2" s="104">
        <v>3</v>
      </c>
      <c r="AX2" s="104">
        <v>3</v>
      </c>
      <c r="AY2" s="104">
        <v>13</v>
      </c>
      <c r="AZ2" s="104">
        <v>13</v>
      </c>
      <c r="BA2" s="100" t="s">
        <v>215</v>
      </c>
      <c r="BB2" s="100" t="s">
        <v>207</v>
      </c>
      <c r="BC2" s="100"/>
      <c r="BD2" s="100"/>
      <c r="BE2" s="100"/>
      <c r="BF2" s="100"/>
      <c r="BG2" s="104"/>
      <c r="BH2" s="100"/>
      <c r="BI2" s="100" t="s">
        <v>146</v>
      </c>
      <c r="BJ2" s="100" t="s">
        <v>146</v>
      </c>
    </row>
    <row r="3" spans="1:62" x14ac:dyDescent="0.25">
      <c r="A3" s="100" t="s">
        <v>217</v>
      </c>
      <c r="B3" s="101">
        <v>45671</v>
      </c>
      <c r="C3" s="102">
        <v>0.64067129629629627</v>
      </c>
      <c r="D3" s="103"/>
      <c r="E3" s="102"/>
      <c r="F3" s="103">
        <v>45671</v>
      </c>
      <c r="G3" s="102">
        <v>0.64067129629629627</v>
      </c>
      <c r="H3" s="100" t="s">
        <v>206</v>
      </c>
      <c r="I3" s="100" t="s">
        <v>218</v>
      </c>
      <c r="J3" s="100" t="s">
        <v>219</v>
      </c>
      <c r="K3" s="100" t="s">
        <v>220</v>
      </c>
      <c r="L3" s="100" t="s">
        <v>221</v>
      </c>
      <c r="M3" s="104">
        <v>9</v>
      </c>
      <c r="N3" s="100" t="s">
        <v>222</v>
      </c>
      <c r="O3" s="104"/>
      <c r="P3" s="104"/>
      <c r="Q3" s="100" t="s">
        <v>951</v>
      </c>
      <c r="R3" s="100" t="s">
        <v>952</v>
      </c>
      <c r="S3" s="100" t="s">
        <v>225</v>
      </c>
      <c r="T3" s="100" t="s">
        <v>161</v>
      </c>
      <c r="U3" s="100"/>
      <c r="V3" s="100"/>
      <c r="W3" s="100"/>
      <c r="X3" s="100"/>
      <c r="Y3" s="100" t="s">
        <v>953</v>
      </c>
      <c r="Z3" s="100" t="s">
        <v>931</v>
      </c>
      <c r="AA3" s="100" t="s">
        <v>163</v>
      </c>
      <c r="AB3" s="100" t="s">
        <v>227</v>
      </c>
      <c r="AC3" s="100" t="s">
        <v>228</v>
      </c>
      <c r="AD3" s="100" t="s">
        <v>166</v>
      </c>
      <c r="AE3" s="100" t="s">
        <v>213</v>
      </c>
      <c r="AF3" s="104">
        <v>9</v>
      </c>
      <c r="AG3" s="103">
        <v>45671</v>
      </c>
      <c r="AH3" s="102">
        <v>0.64067129629629627</v>
      </c>
      <c r="AI3" s="102">
        <v>0.625</v>
      </c>
      <c r="AJ3" s="100" t="s">
        <v>146</v>
      </c>
      <c r="AK3" s="100" t="s">
        <v>230</v>
      </c>
      <c r="AL3" s="104" t="s">
        <v>229</v>
      </c>
      <c r="AM3" s="104" t="s">
        <v>169</v>
      </c>
      <c r="AN3" s="100" t="s">
        <v>229</v>
      </c>
      <c r="AO3" s="106">
        <v>0.64067129629629627</v>
      </c>
      <c r="AP3" s="101">
        <v>45671</v>
      </c>
      <c r="AQ3" s="106">
        <v>0.625</v>
      </c>
      <c r="AR3" s="105"/>
      <c r="AS3" s="100" t="s">
        <v>146</v>
      </c>
      <c r="AT3" s="100" t="s">
        <v>148</v>
      </c>
      <c r="AU3" s="100" t="s">
        <v>171</v>
      </c>
      <c r="AV3" s="104">
        <v>2025</v>
      </c>
      <c r="AW3" s="104">
        <v>3</v>
      </c>
      <c r="AX3" s="104">
        <v>3</v>
      </c>
      <c r="AY3" s="104">
        <v>14</v>
      </c>
      <c r="AZ3" s="104">
        <v>14</v>
      </c>
      <c r="BA3" s="100" t="s">
        <v>230</v>
      </c>
      <c r="BB3" s="100" t="s">
        <v>220</v>
      </c>
      <c r="BC3" s="100"/>
      <c r="BD3" s="100"/>
      <c r="BE3" s="100" t="s">
        <v>954</v>
      </c>
      <c r="BF3" s="100"/>
      <c r="BG3" s="104"/>
      <c r="BH3" s="100"/>
      <c r="BI3" s="100" t="s">
        <v>146</v>
      </c>
      <c r="BJ3" s="100" t="s">
        <v>146</v>
      </c>
    </row>
    <row r="4" spans="1:62" x14ac:dyDescent="0.25">
      <c r="A4" s="100" t="s">
        <v>249</v>
      </c>
      <c r="B4" s="101">
        <v>45673</v>
      </c>
      <c r="C4" s="102">
        <v>0.87708333333333333</v>
      </c>
      <c r="D4" s="103">
        <v>45673</v>
      </c>
      <c r="E4" s="102">
        <v>0.88611111111111107</v>
      </c>
      <c r="F4" s="103">
        <v>45674</v>
      </c>
      <c r="G4" s="102">
        <v>0.51179398148148147</v>
      </c>
      <c r="H4" s="100" t="s">
        <v>206</v>
      </c>
      <c r="I4" s="100"/>
      <c r="J4" s="100"/>
      <c r="K4" s="100" t="s">
        <v>250</v>
      </c>
      <c r="L4" s="100" t="s">
        <v>251</v>
      </c>
      <c r="M4" s="104">
        <v>9</v>
      </c>
      <c r="N4" s="100" t="s">
        <v>252</v>
      </c>
      <c r="O4" s="104"/>
      <c r="P4" s="104"/>
      <c r="Q4" s="100"/>
      <c r="R4" s="100" t="s">
        <v>955</v>
      </c>
      <c r="S4" s="100" t="s">
        <v>956</v>
      </c>
      <c r="T4" s="100"/>
      <c r="U4" s="100"/>
      <c r="V4" s="100"/>
      <c r="W4" s="100"/>
      <c r="X4" s="100"/>
      <c r="Y4" s="100" t="s">
        <v>934</v>
      </c>
      <c r="Z4" s="100" t="s">
        <v>931</v>
      </c>
      <c r="AA4" s="100" t="s">
        <v>255</v>
      </c>
      <c r="AB4" s="100" t="s">
        <v>256</v>
      </c>
      <c r="AC4" s="100" t="s">
        <v>257</v>
      </c>
      <c r="AD4" s="100" t="s">
        <v>144</v>
      </c>
      <c r="AE4" s="100" t="s">
        <v>213</v>
      </c>
      <c r="AF4" s="104">
        <v>9</v>
      </c>
      <c r="AG4" s="103">
        <v>45673</v>
      </c>
      <c r="AH4" s="102">
        <v>0.87708333333333333</v>
      </c>
      <c r="AI4" s="102">
        <v>0.875</v>
      </c>
      <c r="AJ4" s="100" t="s">
        <v>168</v>
      </c>
      <c r="AK4" s="100" t="s">
        <v>258</v>
      </c>
      <c r="AL4" s="104" t="s">
        <v>206</v>
      </c>
      <c r="AM4" s="104" t="s">
        <v>169</v>
      </c>
      <c r="AN4" s="100" t="s">
        <v>206</v>
      </c>
      <c r="AO4" s="106">
        <v>0.87708333333333333</v>
      </c>
      <c r="AP4" s="101">
        <v>45673</v>
      </c>
      <c r="AQ4" s="106">
        <v>0.875</v>
      </c>
      <c r="AR4" s="105"/>
      <c r="AS4" s="100" t="s">
        <v>168</v>
      </c>
      <c r="AT4" s="100" t="s">
        <v>247</v>
      </c>
      <c r="AU4" s="100" t="s">
        <v>171</v>
      </c>
      <c r="AV4" s="104">
        <v>2025</v>
      </c>
      <c r="AW4" s="104">
        <v>3</v>
      </c>
      <c r="AX4" s="104">
        <v>3</v>
      </c>
      <c r="AY4" s="104">
        <v>16</v>
      </c>
      <c r="AZ4" s="104">
        <v>16</v>
      </c>
      <c r="BA4" s="100" t="s">
        <v>258</v>
      </c>
      <c r="BB4" s="100" t="s">
        <v>250</v>
      </c>
      <c r="BC4" s="100"/>
      <c r="BD4" s="100"/>
      <c r="BE4" s="100" t="s">
        <v>957</v>
      </c>
      <c r="BF4" s="100"/>
      <c r="BG4" s="104"/>
      <c r="BH4" s="100"/>
      <c r="BI4" s="100" t="s">
        <v>168</v>
      </c>
      <c r="BJ4" s="100" t="s">
        <v>168</v>
      </c>
    </row>
    <row r="5" spans="1:62" x14ac:dyDescent="0.25">
      <c r="A5" s="100" t="s">
        <v>346</v>
      </c>
      <c r="B5" s="101">
        <v>45690</v>
      </c>
      <c r="C5" s="102">
        <v>0.72569444444444442</v>
      </c>
      <c r="D5" s="103">
        <v>45690</v>
      </c>
      <c r="E5" s="102">
        <v>0.75</v>
      </c>
      <c r="F5" s="103">
        <v>45691</v>
      </c>
      <c r="G5" s="102">
        <v>0.50143518518518515</v>
      </c>
      <c r="H5" s="100" t="s">
        <v>347</v>
      </c>
      <c r="I5" s="100" t="s">
        <v>206</v>
      </c>
      <c r="J5" s="100"/>
      <c r="K5" s="100" t="s">
        <v>348</v>
      </c>
      <c r="L5" s="100" t="s">
        <v>288</v>
      </c>
      <c r="M5" s="104">
        <v>5</v>
      </c>
      <c r="N5" s="100" t="s">
        <v>349</v>
      </c>
      <c r="O5" s="104"/>
      <c r="P5" s="104"/>
      <c r="Q5" s="100"/>
      <c r="R5" s="100"/>
      <c r="S5" s="100"/>
      <c r="T5" s="100"/>
      <c r="U5" s="100"/>
      <c r="V5" s="100"/>
      <c r="W5" s="100"/>
      <c r="X5" s="100"/>
      <c r="Y5" s="100" t="s">
        <v>934</v>
      </c>
      <c r="Z5" s="100" t="s">
        <v>931</v>
      </c>
      <c r="AA5" s="100" t="s">
        <v>309</v>
      </c>
      <c r="AB5" s="100" t="s">
        <v>142</v>
      </c>
      <c r="AC5" s="100" t="s">
        <v>350</v>
      </c>
      <c r="AD5" s="100" t="s">
        <v>301</v>
      </c>
      <c r="AE5" s="100"/>
      <c r="AF5" s="104">
        <v>9</v>
      </c>
      <c r="AG5" s="103">
        <v>45690</v>
      </c>
      <c r="AH5" s="102">
        <v>0.72569444444444442</v>
      </c>
      <c r="AI5" s="102">
        <v>0.70833333333333337</v>
      </c>
      <c r="AJ5" s="100" t="s">
        <v>266</v>
      </c>
      <c r="AK5" s="100" t="s">
        <v>352</v>
      </c>
      <c r="AL5" s="104" t="s">
        <v>351</v>
      </c>
      <c r="AM5" s="104" t="s">
        <v>169</v>
      </c>
      <c r="AN5" s="100" t="s">
        <v>351</v>
      </c>
      <c r="AO5" s="106">
        <v>0.72569444444444442</v>
      </c>
      <c r="AP5" s="101">
        <v>45690</v>
      </c>
      <c r="AQ5" s="106">
        <v>0.70833333333333337</v>
      </c>
      <c r="AR5" s="105"/>
      <c r="AS5" s="100" t="s">
        <v>266</v>
      </c>
      <c r="AT5" s="100" t="s">
        <v>311</v>
      </c>
      <c r="AU5" s="100" t="s">
        <v>344</v>
      </c>
      <c r="AV5" s="104">
        <v>2025</v>
      </c>
      <c r="AW5" s="104">
        <v>6</v>
      </c>
      <c r="AX5" s="104">
        <v>2</v>
      </c>
      <c r="AY5" s="104">
        <v>2</v>
      </c>
      <c r="AZ5" s="104">
        <v>33</v>
      </c>
      <c r="BA5" s="100" t="s">
        <v>352</v>
      </c>
      <c r="BB5" s="100" t="s">
        <v>348</v>
      </c>
      <c r="BC5" s="100"/>
      <c r="BD5" s="100"/>
      <c r="BE5" s="100"/>
      <c r="BF5" s="100"/>
      <c r="BG5" s="104"/>
      <c r="BH5" s="100"/>
      <c r="BI5" s="100" t="s">
        <v>266</v>
      </c>
      <c r="BJ5" s="100" t="s">
        <v>266</v>
      </c>
    </row>
    <row r="6" spans="1:62" x14ac:dyDescent="0.25">
      <c r="A6" s="100" t="s">
        <v>353</v>
      </c>
      <c r="B6" s="101"/>
      <c r="C6" s="102"/>
      <c r="D6" s="103"/>
      <c r="E6" s="102"/>
      <c r="F6" s="103">
        <v>45691</v>
      </c>
      <c r="G6" s="102">
        <v>0.694849537037037</v>
      </c>
      <c r="H6" s="100" t="s">
        <v>206</v>
      </c>
      <c r="I6" s="100"/>
      <c r="J6" s="100"/>
      <c r="K6" s="100" t="s">
        <v>354</v>
      </c>
      <c r="L6" s="100" t="s">
        <v>221</v>
      </c>
      <c r="M6" s="104">
        <v>9</v>
      </c>
      <c r="N6" s="100" t="s">
        <v>355</v>
      </c>
      <c r="O6" s="104"/>
      <c r="P6" s="104"/>
      <c r="Q6" s="100"/>
      <c r="R6" s="100"/>
      <c r="S6" s="100"/>
      <c r="T6" s="100"/>
      <c r="U6" s="100"/>
      <c r="V6" s="100"/>
      <c r="W6" s="100"/>
      <c r="X6" s="100"/>
      <c r="Y6" s="100" t="s">
        <v>958</v>
      </c>
      <c r="Z6" s="100" t="s">
        <v>931</v>
      </c>
      <c r="AA6" s="100" t="s">
        <v>245</v>
      </c>
      <c r="AB6" s="100" t="s">
        <v>142</v>
      </c>
      <c r="AC6" s="100" t="s">
        <v>310</v>
      </c>
      <c r="AD6" s="100" t="s">
        <v>166</v>
      </c>
      <c r="AE6" s="100" t="s">
        <v>213</v>
      </c>
      <c r="AF6" s="104">
        <v>9</v>
      </c>
      <c r="AG6" s="103">
        <v>45691</v>
      </c>
      <c r="AH6" s="102">
        <v>0.694849537037037</v>
      </c>
      <c r="AI6" s="102">
        <v>0.66666666666666663</v>
      </c>
      <c r="AJ6" s="100" t="s">
        <v>266</v>
      </c>
      <c r="AK6" s="100" t="s">
        <v>230</v>
      </c>
      <c r="AL6" s="104" t="s">
        <v>206</v>
      </c>
      <c r="AM6" s="104" t="s">
        <v>169</v>
      </c>
      <c r="AN6" s="100" t="s">
        <v>206</v>
      </c>
      <c r="AO6" s="106">
        <v>0.694849537037037</v>
      </c>
      <c r="AP6" s="101">
        <v>45691</v>
      </c>
      <c r="AQ6" s="106">
        <v>0.66666666666666663</v>
      </c>
      <c r="AR6" s="105"/>
      <c r="AS6" s="100" t="s">
        <v>266</v>
      </c>
      <c r="AT6" s="100" t="s">
        <v>183</v>
      </c>
      <c r="AU6" s="100" t="s">
        <v>344</v>
      </c>
      <c r="AV6" s="104">
        <v>2025</v>
      </c>
      <c r="AW6" s="104">
        <v>6</v>
      </c>
      <c r="AX6" s="104">
        <v>2</v>
      </c>
      <c r="AY6" s="104">
        <v>3</v>
      </c>
      <c r="AZ6" s="104">
        <v>34</v>
      </c>
      <c r="BA6" s="100" t="s">
        <v>230</v>
      </c>
      <c r="BB6" s="100" t="s">
        <v>354</v>
      </c>
      <c r="BC6" s="100"/>
      <c r="BD6" s="100"/>
      <c r="BE6" s="100"/>
      <c r="BF6" s="100"/>
      <c r="BG6" s="104"/>
      <c r="BH6" s="100"/>
      <c r="BI6" s="100" t="s">
        <v>266</v>
      </c>
      <c r="BJ6" s="100" t="s">
        <v>266</v>
      </c>
    </row>
    <row r="7" spans="1:62" x14ac:dyDescent="0.25">
      <c r="A7" s="100" t="s">
        <v>386</v>
      </c>
      <c r="B7" s="101">
        <v>45701</v>
      </c>
      <c r="C7" s="102">
        <v>8.3333333333333329E-2</v>
      </c>
      <c r="D7" s="103"/>
      <c r="E7" s="102"/>
      <c r="F7" s="103">
        <v>45701</v>
      </c>
      <c r="G7" s="102">
        <v>0.51225694444444447</v>
      </c>
      <c r="H7" s="100" t="s">
        <v>387</v>
      </c>
      <c r="I7" s="100" t="s">
        <v>388</v>
      </c>
      <c r="J7" s="100" t="s">
        <v>206</v>
      </c>
      <c r="K7" s="100" t="s">
        <v>389</v>
      </c>
      <c r="L7" s="100" t="s">
        <v>390</v>
      </c>
      <c r="M7" s="104">
        <v>9</v>
      </c>
      <c r="N7" s="100" t="s">
        <v>391</v>
      </c>
      <c r="O7" s="104"/>
      <c r="P7" s="104"/>
      <c r="Q7" s="100"/>
      <c r="R7" s="100"/>
      <c r="S7" s="100"/>
      <c r="T7" s="100"/>
      <c r="U7" s="100"/>
      <c r="V7" s="100"/>
      <c r="W7" s="100"/>
      <c r="X7" s="100"/>
      <c r="Y7" s="100" t="s">
        <v>933</v>
      </c>
      <c r="Z7" s="100" t="s">
        <v>931</v>
      </c>
      <c r="AA7" s="100" t="s">
        <v>393</v>
      </c>
      <c r="AB7" s="100" t="s">
        <v>384</v>
      </c>
      <c r="AC7" s="100" t="s">
        <v>257</v>
      </c>
      <c r="AD7" s="100" t="s">
        <v>394</v>
      </c>
      <c r="AE7" s="100"/>
      <c r="AF7" s="104">
        <v>9</v>
      </c>
      <c r="AG7" s="103">
        <v>45701</v>
      </c>
      <c r="AH7" s="102">
        <v>8.3333333333333329E-2</v>
      </c>
      <c r="AI7" s="102">
        <v>8.3333333333333329E-2</v>
      </c>
      <c r="AJ7" s="100" t="s">
        <v>343</v>
      </c>
      <c r="AK7" s="100" t="s">
        <v>396</v>
      </c>
      <c r="AL7" s="104" t="s">
        <v>395</v>
      </c>
      <c r="AM7" s="104" t="s">
        <v>169</v>
      </c>
      <c r="AN7" s="100" t="s">
        <v>395</v>
      </c>
      <c r="AO7" s="106">
        <v>8.3333333333333329E-2</v>
      </c>
      <c r="AP7" s="101">
        <v>45701</v>
      </c>
      <c r="AQ7" s="106">
        <v>8.3333333333333329E-2</v>
      </c>
      <c r="AR7" s="105"/>
      <c r="AS7" s="100" t="s">
        <v>343</v>
      </c>
      <c r="AT7" s="100" t="s">
        <v>247</v>
      </c>
      <c r="AU7" s="100" t="s">
        <v>344</v>
      </c>
      <c r="AV7" s="104">
        <v>2025</v>
      </c>
      <c r="AW7" s="104">
        <v>7</v>
      </c>
      <c r="AX7" s="104">
        <v>3</v>
      </c>
      <c r="AY7" s="104">
        <v>13</v>
      </c>
      <c r="AZ7" s="104">
        <v>44</v>
      </c>
      <c r="BA7" s="100" t="s">
        <v>396</v>
      </c>
      <c r="BB7" s="100" t="s">
        <v>389</v>
      </c>
      <c r="BC7" s="100"/>
      <c r="BD7" s="100"/>
      <c r="BE7" s="100"/>
      <c r="BF7" s="100"/>
      <c r="BG7" s="104"/>
      <c r="BH7" s="100"/>
      <c r="BI7" s="100" t="s">
        <v>343</v>
      </c>
      <c r="BJ7" s="100" t="s">
        <v>343</v>
      </c>
    </row>
    <row r="8" spans="1:62" x14ac:dyDescent="0.25">
      <c r="A8" s="100" t="s">
        <v>447</v>
      </c>
      <c r="B8" s="101">
        <v>45720</v>
      </c>
      <c r="C8" s="102">
        <v>0.64097222222222228</v>
      </c>
      <c r="D8" s="103"/>
      <c r="E8" s="102"/>
      <c r="F8" s="103">
        <v>45720</v>
      </c>
      <c r="G8" s="102">
        <v>0.64444444444444449</v>
      </c>
      <c r="H8" s="100" t="s">
        <v>206</v>
      </c>
      <c r="I8" s="100" t="s">
        <v>448</v>
      </c>
      <c r="J8" s="100" t="s">
        <v>204</v>
      </c>
      <c r="K8" s="100" t="s">
        <v>449</v>
      </c>
      <c r="L8" s="100" t="s">
        <v>208</v>
      </c>
      <c r="M8" s="104">
        <v>8</v>
      </c>
      <c r="N8" s="100" t="s">
        <v>450</v>
      </c>
      <c r="O8" s="104"/>
      <c r="P8" s="104"/>
      <c r="Q8" s="100" t="s">
        <v>451</v>
      </c>
      <c r="R8" s="100" t="s">
        <v>452</v>
      </c>
      <c r="S8" s="100" t="s">
        <v>453</v>
      </c>
      <c r="T8" s="100" t="s">
        <v>161</v>
      </c>
      <c r="U8" s="100"/>
      <c r="V8" s="100"/>
      <c r="W8" s="100"/>
      <c r="X8" s="100"/>
      <c r="Y8" s="100" t="s">
        <v>959</v>
      </c>
      <c r="Z8" s="100" t="s">
        <v>931</v>
      </c>
      <c r="AA8" s="100" t="s">
        <v>454</v>
      </c>
      <c r="AB8" s="100" t="s">
        <v>328</v>
      </c>
      <c r="AC8" s="100" t="s">
        <v>257</v>
      </c>
      <c r="AD8" s="100" t="s">
        <v>364</v>
      </c>
      <c r="AE8" s="100" t="s">
        <v>213</v>
      </c>
      <c r="AF8" s="104">
        <v>9</v>
      </c>
      <c r="AG8" s="103">
        <v>45720</v>
      </c>
      <c r="AH8" s="102">
        <v>0.64097222222222228</v>
      </c>
      <c r="AI8" s="102">
        <v>0.625</v>
      </c>
      <c r="AJ8" s="100" t="s">
        <v>146</v>
      </c>
      <c r="AK8" s="100" t="s">
        <v>456</v>
      </c>
      <c r="AL8" s="104" t="s">
        <v>455</v>
      </c>
      <c r="AM8" s="104" t="s">
        <v>169</v>
      </c>
      <c r="AN8" s="100" t="s">
        <v>455</v>
      </c>
      <c r="AO8" s="106">
        <v>0.64097222222222228</v>
      </c>
      <c r="AP8" s="101">
        <v>45720</v>
      </c>
      <c r="AQ8" s="106">
        <v>0.625</v>
      </c>
      <c r="AR8" s="105"/>
      <c r="AS8" s="100" t="s">
        <v>146</v>
      </c>
      <c r="AT8" s="100" t="s">
        <v>148</v>
      </c>
      <c r="AU8" s="100" t="s">
        <v>445</v>
      </c>
      <c r="AV8" s="104">
        <v>2025</v>
      </c>
      <c r="AW8" s="104">
        <v>10</v>
      </c>
      <c r="AX8" s="104">
        <v>2</v>
      </c>
      <c r="AY8" s="104">
        <v>4</v>
      </c>
      <c r="AZ8" s="104">
        <v>63</v>
      </c>
      <c r="BA8" s="100" t="s">
        <v>456</v>
      </c>
      <c r="BB8" s="100" t="s">
        <v>449</v>
      </c>
      <c r="BC8" s="100"/>
      <c r="BD8" s="100"/>
      <c r="BE8" s="100" t="s">
        <v>960</v>
      </c>
      <c r="BF8" s="100"/>
      <c r="BG8" s="104"/>
      <c r="BH8" s="100"/>
      <c r="BI8" s="100" t="s">
        <v>146</v>
      </c>
      <c r="BJ8" s="100" t="s">
        <v>146</v>
      </c>
    </row>
    <row r="9" spans="1:62" x14ac:dyDescent="0.25">
      <c r="A9" s="100" t="s">
        <v>457</v>
      </c>
      <c r="B9" s="101">
        <v>45720</v>
      </c>
      <c r="C9" s="102">
        <v>0.79126157407407405</v>
      </c>
      <c r="D9" s="103"/>
      <c r="E9" s="102"/>
      <c r="F9" s="103">
        <v>45720</v>
      </c>
      <c r="G9" s="102">
        <v>0.79126157407407405</v>
      </c>
      <c r="H9" s="100" t="s">
        <v>206</v>
      </c>
      <c r="I9" s="100"/>
      <c r="J9" s="100"/>
      <c r="K9" s="100" t="s">
        <v>458</v>
      </c>
      <c r="L9" s="100" t="s">
        <v>315</v>
      </c>
      <c r="M9" s="104">
        <v>6</v>
      </c>
      <c r="N9" s="100" t="s">
        <v>459</v>
      </c>
      <c r="O9" s="104"/>
      <c r="P9" s="104"/>
      <c r="Q9" s="100"/>
      <c r="R9" s="100"/>
      <c r="S9" s="100"/>
      <c r="T9" s="100"/>
      <c r="U9" s="100"/>
      <c r="V9" s="100"/>
      <c r="W9" s="100"/>
      <c r="X9" s="100"/>
      <c r="Y9" s="100" t="s">
        <v>959</v>
      </c>
      <c r="Z9" s="100" t="s">
        <v>931</v>
      </c>
      <c r="AA9" s="100" t="s">
        <v>460</v>
      </c>
      <c r="AB9" s="100" t="s">
        <v>164</v>
      </c>
      <c r="AC9" s="100" t="s">
        <v>180</v>
      </c>
      <c r="AD9" s="100" t="s">
        <v>364</v>
      </c>
      <c r="AE9" s="100" t="s">
        <v>213</v>
      </c>
      <c r="AF9" s="104">
        <v>9</v>
      </c>
      <c r="AG9" s="103">
        <v>45720</v>
      </c>
      <c r="AH9" s="102">
        <v>0.79126157407407405</v>
      </c>
      <c r="AI9" s="102">
        <v>0.75</v>
      </c>
      <c r="AJ9" s="100" t="s">
        <v>266</v>
      </c>
      <c r="AK9" s="100" t="s">
        <v>461</v>
      </c>
      <c r="AL9" s="104" t="s">
        <v>206</v>
      </c>
      <c r="AM9" s="104" t="s">
        <v>169</v>
      </c>
      <c r="AN9" s="100" t="s">
        <v>206</v>
      </c>
      <c r="AO9" s="106">
        <v>0.79126157407407405</v>
      </c>
      <c r="AP9" s="101">
        <v>45720</v>
      </c>
      <c r="AQ9" s="106">
        <v>0.75</v>
      </c>
      <c r="AR9" s="105"/>
      <c r="AS9" s="100" t="s">
        <v>266</v>
      </c>
      <c r="AT9" s="100" t="s">
        <v>148</v>
      </c>
      <c r="AU9" s="100" t="s">
        <v>445</v>
      </c>
      <c r="AV9" s="104">
        <v>2025</v>
      </c>
      <c r="AW9" s="104">
        <v>10</v>
      </c>
      <c r="AX9" s="104">
        <v>2</v>
      </c>
      <c r="AY9" s="104">
        <v>4</v>
      </c>
      <c r="AZ9" s="104">
        <v>63</v>
      </c>
      <c r="BA9" s="100" t="s">
        <v>461</v>
      </c>
      <c r="BB9" s="100" t="s">
        <v>458</v>
      </c>
      <c r="BC9" s="100"/>
      <c r="BD9" s="100"/>
      <c r="BE9" s="100"/>
      <c r="BF9" s="100"/>
      <c r="BG9" s="104"/>
      <c r="BH9" s="100"/>
      <c r="BI9" s="100" t="s">
        <v>266</v>
      </c>
      <c r="BJ9" s="100" t="s">
        <v>266</v>
      </c>
    </row>
    <row r="10" spans="1:62" x14ac:dyDescent="0.25">
      <c r="A10" s="100" t="s">
        <v>520</v>
      </c>
      <c r="B10" s="101">
        <v>45741</v>
      </c>
      <c r="C10" s="102">
        <v>0.48402777777777778</v>
      </c>
      <c r="D10" s="103"/>
      <c r="E10" s="102"/>
      <c r="F10" s="103">
        <v>45741</v>
      </c>
      <c r="G10" s="102">
        <v>0.50343749999999998</v>
      </c>
      <c r="H10" s="100" t="s">
        <v>206</v>
      </c>
      <c r="I10" s="100" t="s">
        <v>295</v>
      </c>
      <c r="J10" s="100" t="s">
        <v>521</v>
      </c>
      <c r="K10" s="100" t="s">
        <v>220</v>
      </c>
      <c r="L10" s="100" t="s">
        <v>221</v>
      </c>
      <c r="M10" s="104">
        <v>9</v>
      </c>
      <c r="N10" s="100" t="s">
        <v>522</v>
      </c>
      <c r="O10" s="104"/>
      <c r="P10" s="104"/>
      <c r="Q10" s="100" t="s">
        <v>523</v>
      </c>
      <c r="R10" s="100" t="s">
        <v>961</v>
      </c>
      <c r="S10" s="100" t="s">
        <v>524</v>
      </c>
      <c r="T10" s="100" t="s">
        <v>161</v>
      </c>
      <c r="U10" s="100"/>
      <c r="V10" s="100"/>
      <c r="W10" s="100"/>
      <c r="X10" s="100"/>
      <c r="Y10" s="100" t="s">
        <v>962</v>
      </c>
      <c r="Z10" s="100" t="s">
        <v>931</v>
      </c>
      <c r="AA10" s="100" t="s">
        <v>525</v>
      </c>
      <c r="AB10" s="100" t="s">
        <v>211</v>
      </c>
      <c r="AC10" s="100" t="s">
        <v>228</v>
      </c>
      <c r="AD10" s="100" t="s">
        <v>166</v>
      </c>
      <c r="AE10" s="100" t="s">
        <v>213</v>
      </c>
      <c r="AF10" s="104">
        <v>9</v>
      </c>
      <c r="AG10" s="103">
        <v>45741</v>
      </c>
      <c r="AH10" s="102">
        <v>0.48402777777777778</v>
      </c>
      <c r="AI10" s="102">
        <v>0.45833333333333331</v>
      </c>
      <c r="AJ10" s="100" t="s">
        <v>276</v>
      </c>
      <c r="AK10" s="100" t="s">
        <v>230</v>
      </c>
      <c r="AL10" s="104" t="s">
        <v>526</v>
      </c>
      <c r="AM10" s="104" t="s">
        <v>169</v>
      </c>
      <c r="AN10" s="100" t="s">
        <v>526</v>
      </c>
      <c r="AO10" s="106">
        <v>0.48402777777777778</v>
      </c>
      <c r="AP10" s="101">
        <v>45741</v>
      </c>
      <c r="AQ10" s="106">
        <v>0.45833333333333331</v>
      </c>
      <c r="AR10" s="105"/>
      <c r="AS10" s="100" t="s">
        <v>276</v>
      </c>
      <c r="AT10" s="100" t="s">
        <v>148</v>
      </c>
      <c r="AU10" s="100" t="s">
        <v>445</v>
      </c>
      <c r="AV10" s="104">
        <v>2025</v>
      </c>
      <c r="AW10" s="104">
        <v>13</v>
      </c>
      <c r="AX10" s="104">
        <v>5</v>
      </c>
      <c r="AY10" s="104">
        <v>25</v>
      </c>
      <c r="AZ10" s="104">
        <v>84</v>
      </c>
      <c r="BA10" s="100" t="s">
        <v>230</v>
      </c>
      <c r="BB10" s="100" t="s">
        <v>220</v>
      </c>
      <c r="BC10" s="100"/>
      <c r="BD10" s="100"/>
      <c r="BE10" s="100" t="s">
        <v>963</v>
      </c>
      <c r="BF10" s="100"/>
      <c r="BG10" s="104"/>
      <c r="BH10" s="100"/>
      <c r="BI10" s="100" t="s">
        <v>276</v>
      </c>
      <c r="BJ10" s="100" t="s">
        <v>276</v>
      </c>
    </row>
    <row r="11" spans="1:62" x14ac:dyDescent="0.25">
      <c r="A11" s="100" t="s">
        <v>641</v>
      </c>
      <c r="B11" s="101">
        <v>45765</v>
      </c>
      <c r="C11" s="102">
        <v>0.85416666666666663</v>
      </c>
      <c r="D11" s="103"/>
      <c r="E11" s="102"/>
      <c r="F11" s="103">
        <v>45765</v>
      </c>
      <c r="G11" s="102">
        <v>0.97768518518518521</v>
      </c>
      <c r="H11" s="100" t="s">
        <v>206</v>
      </c>
      <c r="I11" s="100" t="s">
        <v>642</v>
      </c>
      <c r="J11" s="100" t="s">
        <v>387</v>
      </c>
      <c r="K11" s="100" t="s">
        <v>643</v>
      </c>
      <c r="L11" s="100" t="s">
        <v>644</v>
      </c>
      <c r="M11" s="104">
        <v>7</v>
      </c>
      <c r="N11" s="100" t="s">
        <v>645</v>
      </c>
      <c r="O11" s="104"/>
      <c r="P11" s="104"/>
      <c r="Q11" s="100"/>
      <c r="R11" s="100"/>
      <c r="S11" s="100"/>
      <c r="T11" s="100"/>
      <c r="U11" s="100"/>
      <c r="V11" s="100"/>
      <c r="W11" s="100"/>
      <c r="X11" s="100"/>
      <c r="Y11" s="100" t="s">
        <v>946</v>
      </c>
      <c r="Z11" s="100" t="s">
        <v>931</v>
      </c>
      <c r="AA11" s="100" t="s">
        <v>646</v>
      </c>
      <c r="AB11" s="100" t="s">
        <v>328</v>
      </c>
      <c r="AC11" s="100" t="s">
        <v>534</v>
      </c>
      <c r="AD11" s="100" t="s">
        <v>301</v>
      </c>
      <c r="AE11" s="100" t="s">
        <v>213</v>
      </c>
      <c r="AF11" s="104">
        <v>9</v>
      </c>
      <c r="AG11" s="103">
        <v>45765</v>
      </c>
      <c r="AH11" s="102">
        <v>0.85416666666666663</v>
      </c>
      <c r="AI11" s="102">
        <v>0.83333333333333337</v>
      </c>
      <c r="AJ11" s="100" t="s">
        <v>168</v>
      </c>
      <c r="AK11" s="100" t="s">
        <v>648</v>
      </c>
      <c r="AL11" s="104" t="s">
        <v>647</v>
      </c>
      <c r="AM11" s="104" t="s">
        <v>169</v>
      </c>
      <c r="AN11" s="100" t="s">
        <v>647</v>
      </c>
      <c r="AO11" s="106">
        <v>0.85416666666666663</v>
      </c>
      <c r="AP11" s="101">
        <v>45765</v>
      </c>
      <c r="AQ11" s="106">
        <v>0.83333333333333337</v>
      </c>
      <c r="AR11" s="105"/>
      <c r="AS11" s="100" t="s">
        <v>168</v>
      </c>
      <c r="AT11" s="100" t="s">
        <v>170</v>
      </c>
      <c r="AU11" s="100" t="s">
        <v>582</v>
      </c>
      <c r="AV11" s="104">
        <v>2025</v>
      </c>
      <c r="AW11" s="104">
        <v>16</v>
      </c>
      <c r="AX11" s="104">
        <v>3</v>
      </c>
      <c r="AY11" s="104">
        <v>18</v>
      </c>
      <c r="AZ11" s="104">
        <v>108</v>
      </c>
      <c r="BA11" s="100" t="s">
        <v>648</v>
      </c>
      <c r="BB11" s="100" t="s">
        <v>643</v>
      </c>
      <c r="BC11" s="100"/>
      <c r="BD11" s="100"/>
      <c r="BE11" s="100"/>
      <c r="BF11" s="100"/>
      <c r="BG11" s="104"/>
      <c r="BH11" s="100"/>
      <c r="BI11" s="100" t="s">
        <v>168</v>
      </c>
      <c r="BJ11" s="100" t="s">
        <v>168</v>
      </c>
    </row>
    <row r="12" spans="1:62" x14ac:dyDescent="0.25">
      <c r="A12" s="100" t="s">
        <v>677</v>
      </c>
      <c r="B12" s="101">
        <v>45774</v>
      </c>
      <c r="C12" s="102">
        <v>0.77083333333333337</v>
      </c>
      <c r="D12" s="103"/>
      <c r="E12" s="102"/>
      <c r="F12" s="103">
        <v>45776</v>
      </c>
      <c r="G12" s="102">
        <v>0.35416666666666669</v>
      </c>
      <c r="H12" s="100" t="s">
        <v>206</v>
      </c>
      <c r="I12" s="100" t="s">
        <v>388</v>
      </c>
      <c r="J12" s="100"/>
      <c r="K12" s="100" t="s">
        <v>678</v>
      </c>
      <c r="L12" s="100" t="s">
        <v>400</v>
      </c>
      <c r="M12" s="104">
        <v>6</v>
      </c>
      <c r="N12" s="100" t="s">
        <v>679</v>
      </c>
      <c r="O12" s="104"/>
      <c r="P12" s="104"/>
      <c r="Q12" s="100" t="s">
        <v>937</v>
      </c>
      <c r="R12" s="100" t="s">
        <v>452</v>
      </c>
      <c r="S12" s="100"/>
      <c r="T12" s="100"/>
      <c r="U12" s="100" t="s">
        <v>938</v>
      </c>
      <c r="V12" s="100"/>
      <c r="W12" s="100" t="s">
        <v>939</v>
      </c>
      <c r="X12" s="100"/>
      <c r="Y12" s="100" t="s">
        <v>682</v>
      </c>
      <c r="Z12" s="100" t="s">
        <v>931</v>
      </c>
      <c r="AA12" s="100" t="s">
        <v>683</v>
      </c>
      <c r="AB12" s="100" t="s">
        <v>684</v>
      </c>
      <c r="AC12" s="100"/>
      <c r="AD12" s="100"/>
      <c r="AE12" s="100"/>
      <c r="AF12" s="104">
        <v>9</v>
      </c>
      <c r="AG12" s="103">
        <v>45774</v>
      </c>
      <c r="AH12" s="102">
        <v>0.77083333333333337</v>
      </c>
      <c r="AI12" s="102">
        <v>0.75</v>
      </c>
      <c r="AJ12" s="100" t="s">
        <v>266</v>
      </c>
      <c r="AK12" s="100" t="s">
        <v>686</v>
      </c>
      <c r="AL12" s="104" t="s">
        <v>685</v>
      </c>
      <c r="AM12" s="104" t="s">
        <v>169</v>
      </c>
      <c r="AN12" s="100" t="s">
        <v>685</v>
      </c>
      <c r="AO12" s="106">
        <v>0.77083333333333337</v>
      </c>
      <c r="AP12" s="101">
        <v>45774</v>
      </c>
      <c r="AQ12" s="106">
        <v>0.75</v>
      </c>
      <c r="AR12" s="105"/>
      <c r="AS12" s="100" t="s">
        <v>266</v>
      </c>
      <c r="AT12" s="100" t="s">
        <v>311</v>
      </c>
      <c r="AU12" s="100" t="s">
        <v>582</v>
      </c>
      <c r="AV12" s="104">
        <v>2025</v>
      </c>
      <c r="AW12" s="104">
        <v>18</v>
      </c>
      <c r="AX12" s="104">
        <v>5</v>
      </c>
      <c r="AY12" s="104">
        <v>27</v>
      </c>
      <c r="AZ12" s="104">
        <v>117</v>
      </c>
      <c r="BA12" s="100" t="s">
        <v>686</v>
      </c>
      <c r="BB12" s="100" t="s">
        <v>678</v>
      </c>
      <c r="BC12" s="100"/>
      <c r="BD12" s="100"/>
      <c r="BE12" s="100" t="s">
        <v>940</v>
      </c>
      <c r="BF12" s="100"/>
      <c r="BG12" s="104"/>
      <c r="BH12" s="100"/>
      <c r="BI12" s="100" t="s">
        <v>266</v>
      </c>
      <c r="BJ12" s="100" t="s">
        <v>266</v>
      </c>
    </row>
    <row r="13" spans="1:62" x14ac:dyDescent="0.25">
      <c r="A13" s="100" t="s">
        <v>695</v>
      </c>
      <c r="B13" s="101">
        <v>45777</v>
      </c>
      <c r="C13" s="102">
        <v>0.68012731481481481</v>
      </c>
      <c r="D13" s="103"/>
      <c r="E13" s="102"/>
      <c r="F13" s="103">
        <v>45777</v>
      </c>
      <c r="G13" s="102">
        <v>0.68012731481481481</v>
      </c>
      <c r="H13" s="100" t="s">
        <v>206</v>
      </c>
      <c r="I13" s="100"/>
      <c r="J13" s="100"/>
      <c r="K13" s="100" t="s">
        <v>696</v>
      </c>
      <c r="L13" s="100"/>
      <c r="M13" s="104"/>
      <c r="N13" s="100" t="s">
        <v>697</v>
      </c>
      <c r="O13" s="104"/>
      <c r="P13" s="104"/>
      <c r="Q13" s="100"/>
      <c r="R13" s="100"/>
      <c r="S13" s="100"/>
      <c r="T13" s="100"/>
      <c r="U13" s="100"/>
      <c r="V13" s="100"/>
      <c r="W13" s="100"/>
      <c r="X13" s="100"/>
      <c r="Y13" s="100" t="s">
        <v>958</v>
      </c>
      <c r="Z13" s="100" t="s">
        <v>931</v>
      </c>
      <c r="AA13" s="100" t="s">
        <v>141</v>
      </c>
      <c r="AB13" s="100" t="s">
        <v>142</v>
      </c>
      <c r="AC13" s="100" t="s">
        <v>698</v>
      </c>
      <c r="AD13" s="100" t="s">
        <v>320</v>
      </c>
      <c r="AE13" s="100" t="s">
        <v>213</v>
      </c>
      <c r="AF13" s="104">
        <v>9</v>
      </c>
      <c r="AG13" s="103">
        <v>45777</v>
      </c>
      <c r="AH13" s="102">
        <v>0.68012731481481481</v>
      </c>
      <c r="AI13" s="102">
        <v>0.66666666666666663</v>
      </c>
      <c r="AJ13" s="100" t="s">
        <v>266</v>
      </c>
      <c r="AK13" s="100" t="s">
        <v>699</v>
      </c>
      <c r="AL13" s="104" t="s">
        <v>206</v>
      </c>
      <c r="AM13" s="104" t="s">
        <v>169</v>
      </c>
      <c r="AN13" s="100" t="s">
        <v>206</v>
      </c>
      <c r="AO13" s="106">
        <v>0.68012731481481481</v>
      </c>
      <c r="AP13" s="101">
        <v>45777</v>
      </c>
      <c r="AQ13" s="106">
        <v>0.66666666666666663</v>
      </c>
      <c r="AR13" s="105"/>
      <c r="AS13" s="100" t="s">
        <v>266</v>
      </c>
      <c r="AT13" s="100" t="s">
        <v>239</v>
      </c>
      <c r="AU13" s="100" t="s">
        <v>582</v>
      </c>
      <c r="AV13" s="104">
        <v>2025</v>
      </c>
      <c r="AW13" s="104">
        <v>18</v>
      </c>
      <c r="AX13" s="104">
        <v>5</v>
      </c>
      <c r="AY13" s="104">
        <v>30</v>
      </c>
      <c r="AZ13" s="104">
        <v>120</v>
      </c>
      <c r="BA13" s="100" t="s">
        <v>699</v>
      </c>
      <c r="BB13" s="100" t="s">
        <v>696</v>
      </c>
      <c r="BC13" s="100"/>
      <c r="BD13" s="100"/>
      <c r="BE13" s="100"/>
      <c r="BF13" s="100"/>
      <c r="BG13" s="104"/>
      <c r="BH13" s="100"/>
      <c r="BI13" s="100" t="s">
        <v>266</v>
      </c>
      <c r="BJ13" s="100" t="s">
        <v>266</v>
      </c>
    </row>
    <row r="14" spans="1:62" x14ac:dyDescent="0.25">
      <c r="A14" s="100" t="s">
        <v>725</v>
      </c>
      <c r="B14" s="101">
        <v>45786</v>
      </c>
      <c r="C14" s="102">
        <v>0.60416666666666663</v>
      </c>
      <c r="D14" s="103"/>
      <c r="E14" s="102"/>
      <c r="F14" s="103">
        <v>45786</v>
      </c>
      <c r="G14" s="102">
        <v>0.60798611111111112</v>
      </c>
      <c r="H14" s="100" t="s">
        <v>206</v>
      </c>
      <c r="I14" s="100" t="s">
        <v>726</v>
      </c>
      <c r="J14" s="100"/>
      <c r="K14" s="100" t="s">
        <v>727</v>
      </c>
      <c r="L14" s="100" t="s">
        <v>270</v>
      </c>
      <c r="M14" s="104">
        <v>5</v>
      </c>
      <c r="N14" s="100" t="s">
        <v>728</v>
      </c>
      <c r="O14" s="104"/>
      <c r="P14" s="104"/>
      <c r="Q14" s="100"/>
      <c r="R14" s="100"/>
      <c r="S14" s="100"/>
      <c r="T14" s="100"/>
      <c r="U14" s="100"/>
      <c r="V14" s="100"/>
      <c r="W14" s="100"/>
      <c r="X14" s="100"/>
      <c r="Y14" s="100" t="s">
        <v>936</v>
      </c>
      <c r="Z14" s="100" t="s">
        <v>931</v>
      </c>
      <c r="AA14" s="100" t="s">
        <v>729</v>
      </c>
      <c r="AB14" s="100" t="s">
        <v>256</v>
      </c>
      <c r="AC14" s="100" t="s">
        <v>310</v>
      </c>
      <c r="AD14" s="100" t="s">
        <v>144</v>
      </c>
      <c r="AE14" s="100" t="s">
        <v>213</v>
      </c>
      <c r="AF14" s="104">
        <v>9</v>
      </c>
      <c r="AG14" s="103">
        <v>45786</v>
      </c>
      <c r="AH14" s="102">
        <v>0.60416666666666663</v>
      </c>
      <c r="AI14" s="102">
        <v>0.58333333333333337</v>
      </c>
      <c r="AJ14" s="100" t="s">
        <v>146</v>
      </c>
      <c r="AK14" s="100" t="s">
        <v>731</v>
      </c>
      <c r="AL14" s="104" t="s">
        <v>730</v>
      </c>
      <c r="AM14" s="104" t="s">
        <v>169</v>
      </c>
      <c r="AN14" s="100" t="s">
        <v>730</v>
      </c>
      <c r="AO14" s="106">
        <v>0.60416666666666663</v>
      </c>
      <c r="AP14" s="101">
        <v>45786</v>
      </c>
      <c r="AQ14" s="106">
        <v>0.58333333333333337</v>
      </c>
      <c r="AR14" s="105"/>
      <c r="AS14" s="100" t="s">
        <v>146</v>
      </c>
      <c r="AT14" s="100" t="s">
        <v>170</v>
      </c>
      <c r="AU14" s="100" t="s">
        <v>705</v>
      </c>
      <c r="AV14" s="104">
        <v>2025</v>
      </c>
      <c r="AW14" s="104">
        <v>19</v>
      </c>
      <c r="AX14" s="104">
        <v>2</v>
      </c>
      <c r="AY14" s="104">
        <v>9</v>
      </c>
      <c r="AZ14" s="104">
        <v>129</v>
      </c>
      <c r="BA14" s="100" t="s">
        <v>731</v>
      </c>
      <c r="BB14" s="100" t="s">
        <v>727</v>
      </c>
      <c r="BC14" s="100"/>
      <c r="BD14" s="100"/>
      <c r="BE14" s="100"/>
      <c r="BF14" s="100"/>
      <c r="BG14" s="104"/>
      <c r="BH14" s="100"/>
      <c r="BI14" s="100" t="s">
        <v>146</v>
      </c>
      <c r="BJ14" s="100" t="s">
        <v>146</v>
      </c>
    </row>
    <row r="15" spans="1:62" x14ac:dyDescent="0.25">
      <c r="A15" s="100" t="s">
        <v>793</v>
      </c>
      <c r="B15" s="101">
        <v>45804</v>
      </c>
      <c r="C15" s="102">
        <v>0.9770833333333333</v>
      </c>
      <c r="D15" s="103"/>
      <c r="E15" s="102"/>
      <c r="F15" s="103">
        <v>45803</v>
      </c>
      <c r="G15" s="102">
        <v>0.98570601851851847</v>
      </c>
      <c r="H15" s="100" t="s">
        <v>206</v>
      </c>
      <c r="I15" s="100" t="s">
        <v>779</v>
      </c>
      <c r="J15" s="100" t="s">
        <v>794</v>
      </c>
      <c r="K15" s="100" t="s">
        <v>795</v>
      </c>
      <c r="L15" s="100" t="s">
        <v>270</v>
      </c>
      <c r="M15" s="104">
        <v>5</v>
      </c>
      <c r="N15" s="100" t="s">
        <v>796</v>
      </c>
      <c r="O15" s="104"/>
      <c r="P15" s="104"/>
      <c r="Q15" s="100"/>
      <c r="R15" s="100"/>
      <c r="S15" s="100"/>
      <c r="T15" s="100"/>
      <c r="U15" s="100"/>
      <c r="V15" s="100"/>
      <c r="W15" s="100"/>
      <c r="X15" s="100"/>
      <c r="Y15" s="100" t="s">
        <v>930</v>
      </c>
      <c r="Z15" s="100" t="s">
        <v>931</v>
      </c>
      <c r="AA15" s="100" t="s">
        <v>443</v>
      </c>
      <c r="AB15" s="100" t="s">
        <v>444</v>
      </c>
      <c r="AC15" s="100" t="s">
        <v>275</v>
      </c>
      <c r="AD15" s="100" t="s">
        <v>166</v>
      </c>
      <c r="AE15" s="100" t="s">
        <v>213</v>
      </c>
      <c r="AF15" s="104">
        <v>9</v>
      </c>
      <c r="AG15" s="103">
        <v>45804</v>
      </c>
      <c r="AH15" s="102">
        <v>0.9770833333333333</v>
      </c>
      <c r="AI15" s="102">
        <v>0.95833333333333337</v>
      </c>
      <c r="AJ15" s="100" t="s">
        <v>168</v>
      </c>
      <c r="AK15" s="100" t="s">
        <v>731</v>
      </c>
      <c r="AL15" s="104" t="s">
        <v>797</v>
      </c>
      <c r="AM15" s="104" t="s">
        <v>169</v>
      </c>
      <c r="AN15" s="100" t="s">
        <v>797</v>
      </c>
      <c r="AO15" s="106">
        <v>0.9770833333333333</v>
      </c>
      <c r="AP15" s="101">
        <v>45804</v>
      </c>
      <c r="AQ15" s="106">
        <v>0.95833333333333337</v>
      </c>
      <c r="AR15" s="105"/>
      <c r="AS15" s="100" t="s">
        <v>168</v>
      </c>
      <c r="AT15" s="100" t="s">
        <v>148</v>
      </c>
      <c r="AU15" s="100" t="s">
        <v>705</v>
      </c>
      <c r="AV15" s="104">
        <v>2025</v>
      </c>
      <c r="AW15" s="104">
        <v>22</v>
      </c>
      <c r="AX15" s="104">
        <v>5</v>
      </c>
      <c r="AY15" s="104">
        <v>27</v>
      </c>
      <c r="AZ15" s="104">
        <v>147</v>
      </c>
      <c r="BA15" s="100" t="s">
        <v>731</v>
      </c>
      <c r="BB15" s="100" t="s">
        <v>795</v>
      </c>
      <c r="BC15" s="100"/>
      <c r="BD15" s="100"/>
      <c r="BE15" s="100"/>
      <c r="BF15" s="100"/>
      <c r="BG15" s="104"/>
      <c r="BH15" s="100"/>
      <c r="BI15" s="100" t="s">
        <v>168</v>
      </c>
      <c r="BJ15" s="100" t="s">
        <v>168</v>
      </c>
    </row>
    <row r="16" spans="1:62" x14ac:dyDescent="0.25">
      <c r="A16" s="100" t="s">
        <v>798</v>
      </c>
      <c r="B16" s="101">
        <v>45806</v>
      </c>
      <c r="C16" s="102">
        <v>0.15972222222222221</v>
      </c>
      <c r="D16" s="103"/>
      <c r="E16" s="102"/>
      <c r="F16" s="103">
        <v>45806</v>
      </c>
      <c r="G16" s="102">
        <v>0.16469907407407408</v>
      </c>
      <c r="H16" s="100" t="s">
        <v>206</v>
      </c>
      <c r="I16" s="100"/>
      <c r="J16" s="100"/>
      <c r="K16" s="100" t="s">
        <v>799</v>
      </c>
      <c r="L16" s="100" t="s">
        <v>138</v>
      </c>
      <c r="M16" s="104">
        <v>8</v>
      </c>
      <c r="N16" s="100" t="s">
        <v>800</v>
      </c>
      <c r="O16" s="104"/>
      <c r="P16" s="104"/>
      <c r="Q16" s="100"/>
      <c r="R16" s="100"/>
      <c r="S16" s="100"/>
      <c r="T16" s="100"/>
      <c r="U16" s="100"/>
      <c r="V16" s="100"/>
      <c r="W16" s="100"/>
      <c r="X16" s="100"/>
      <c r="Y16" s="100" t="s">
        <v>964</v>
      </c>
      <c r="Z16" s="100" t="s">
        <v>931</v>
      </c>
      <c r="AA16" s="100" t="s">
        <v>801</v>
      </c>
      <c r="AB16" s="100" t="s">
        <v>164</v>
      </c>
      <c r="AC16" s="100" t="s">
        <v>350</v>
      </c>
      <c r="AD16" s="100" t="s">
        <v>301</v>
      </c>
      <c r="AE16" s="100" t="s">
        <v>213</v>
      </c>
      <c r="AF16" s="104">
        <v>9</v>
      </c>
      <c r="AG16" s="103">
        <v>45806</v>
      </c>
      <c r="AH16" s="102">
        <v>0.15972222222222221</v>
      </c>
      <c r="AI16" s="102">
        <v>0.125</v>
      </c>
      <c r="AJ16" s="100" t="s">
        <v>343</v>
      </c>
      <c r="AK16" s="100" t="s">
        <v>802</v>
      </c>
      <c r="AL16" s="104" t="s">
        <v>206</v>
      </c>
      <c r="AM16" s="104" t="s">
        <v>169</v>
      </c>
      <c r="AN16" s="100" t="s">
        <v>206</v>
      </c>
      <c r="AO16" s="106">
        <v>0.15972222222222221</v>
      </c>
      <c r="AP16" s="101">
        <v>45806</v>
      </c>
      <c r="AQ16" s="106">
        <v>0.125</v>
      </c>
      <c r="AR16" s="105"/>
      <c r="AS16" s="100" t="s">
        <v>343</v>
      </c>
      <c r="AT16" s="100" t="s">
        <v>247</v>
      </c>
      <c r="AU16" s="100" t="s">
        <v>705</v>
      </c>
      <c r="AV16" s="104">
        <v>2025</v>
      </c>
      <c r="AW16" s="104">
        <v>22</v>
      </c>
      <c r="AX16" s="104">
        <v>5</v>
      </c>
      <c r="AY16" s="104">
        <v>29</v>
      </c>
      <c r="AZ16" s="104">
        <v>149</v>
      </c>
      <c r="BA16" s="100" t="s">
        <v>802</v>
      </c>
      <c r="BB16" s="100" t="s">
        <v>799</v>
      </c>
      <c r="BC16" s="100"/>
      <c r="BD16" s="100"/>
      <c r="BE16" s="100"/>
      <c r="BF16" s="100"/>
      <c r="BG16" s="104"/>
      <c r="BH16" s="100"/>
      <c r="BI16" s="100" t="s">
        <v>343</v>
      </c>
      <c r="BJ16" s="100" t="s">
        <v>343</v>
      </c>
    </row>
    <row r="17" spans="1:62" x14ac:dyDescent="0.25">
      <c r="A17" s="100" t="s">
        <v>845</v>
      </c>
      <c r="B17" s="101">
        <v>45816</v>
      </c>
      <c r="C17" s="102">
        <v>0.98263888888888884</v>
      </c>
      <c r="D17" s="103"/>
      <c r="E17" s="102"/>
      <c r="F17" s="103">
        <v>45816</v>
      </c>
      <c r="G17" s="102">
        <v>0.98579861111111111</v>
      </c>
      <c r="H17" s="100" t="s">
        <v>206</v>
      </c>
      <c r="I17" s="100"/>
      <c r="J17" s="100"/>
      <c r="K17" s="100" t="s">
        <v>846</v>
      </c>
      <c r="L17" s="100" t="s">
        <v>644</v>
      </c>
      <c r="M17" s="104">
        <v>7</v>
      </c>
      <c r="N17" s="100" t="s">
        <v>847</v>
      </c>
      <c r="O17" s="104"/>
      <c r="P17" s="104"/>
      <c r="Q17" s="100"/>
      <c r="R17" s="100"/>
      <c r="S17" s="100"/>
      <c r="T17" s="100"/>
      <c r="U17" s="100"/>
      <c r="V17" s="100"/>
      <c r="W17" s="100"/>
      <c r="X17" s="100"/>
      <c r="Y17" s="100" t="s">
        <v>946</v>
      </c>
      <c r="Z17" s="100" t="s">
        <v>931</v>
      </c>
      <c r="AA17" s="100" t="s">
        <v>848</v>
      </c>
      <c r="AB17" s="100" t="s">
        <v>211</v>
      </c>
      <c r="AC17" s="100" t="s">
        <v>257</v>
      </c>
      <c r="AD17" s="100" t="s">
        <v>181</v>
      </c>
      <c r="AE17" s="100" t="s">
        <v>213</v>
      </c>
      <c r="AF17" s="104">
        <v>9</v>
      </c>
      <c r="AG17" s="103">
        <v>45816</v>
      </c>
      <c r="AH17" s="102">
        <v>0.98263888888888884</v>
      </c>
      <c r="AI17" s="102">
        <v>0.95833333333333337</v>
      </c>
      <c r="AJ17" s="100" t="s">
        <v>168</v>
      </c>
      <c r="AK17" s="100" t="s">
        <v>648</v>
      </c>
      <c r="AL17" s="104" t="s">
        <v>206</v>
      </c>
      <c r="AM17" s="104" t="s">
        <v>169</v>
      </c>
      <c r="AN17" s="100" t="s">
        <v>206</v>
      </c>
      <c r="AO17" s="106">
        <v>0.98263888888888884</v>
      </c>
      <c r="AP17" s="101">
        <v>45816</v>
      </c>
      <c r="AQ17" s="106">
        <v>0.95833333333333337</v>
      </c>
      <c r="AR17" s="105"/>
      <c r="AS17" s="100" t="s">
        <v>168</v>
      </c>
      <c r="AT17" s="100" t="s">
        <v>311</v>
      </c>
      <c r="AU17" s="100" t="s">
        <v>149</v>
      </c>
      <c r="AV17" s="104">
        <v>2025</v>
      </c>
      <c r="AW17" s="104">
        <v>24</v>
      </c>
      <c r="AX17" s="104">
        <v>2</v>
      </c>
      <c r="AY17" s="104">
        <v>8</v>
      </c>
      <c r="AZ17" s="104">
        <v>159</v>
      </c>
      <c r="BA17" s="100" t="s">
        <v>648</v>
      </c>
      <c r="BB17" s="100" t="s">
        <v>846</v>
      </c>
      <c r="BC17" s="100"/>
      <c r="BD17" s="100"/>
      <c r="BE17" s="100"/>
      <c r="BF17" s="100"/>
      <c r="BG17" s="104"/>
      <c r="BH17" s="100"/>
      <c r="BI17" s="100" t="s">
        <v>168</v>
      </c>
      <c r="BJ17" s="100" t="s">
        <v>168</v>
      </c>
    </row>
    <row r="18" spans="1:62" x14ac:dyDescent="0.25">
      <c r="A18" s="100" t="s">
        <v>859</v>
      </c>
      <c r="B18" s="101">
        <v>45827</v>
      </c>
      <c r="C18" s="102">
        <v>0.48125000000000001</v>
      </c>
      <c r="D18" s="103">
        <v>45827</v>
      </c>
      <c r="E18" s="102">
        <v>0.5</v>
      </c>
      <c r="F18" s="103">
        <v>45827</v>
      </c>
      <c r="G18" s="102">
        <v>0.50292824074074072</v>
      </c>
      <c r="H18" s="100" t="s">
        <v>206</v>
      </c>
      <c r="I18" s="100" t="s">
        <v>726</v>
      </c>
      <c r="J18" s="100" t="s">
        <v>388</v>
      </c>
      <c r="K18" s="100" t="s">
        <v>727</v>
      </c>
      <c r="L18" s="100" t="s">
        <v>270</v>
      </c>
      <c r="M18" s="104">
        <v>5</v>
      </c>
      <c r="N18" s="100" t="s">
        <v>860</v>
      </c>
      <c r="O18" s="104"/>
      <c r="P18" s="104"/>
      <c r="Q18" s="100" t="s">
        <v>861</v>
      </c>
      <c r="R18" s="100" t="s">
        <v>947</v>
      </c>
      <c r="S18" s="100"/>
      <c r="T18" s="100" t="s">
        <v>862</v>
      </c>
      <c r="U18" s="100"/>
      <c r="V18" s="100"/>
      <c r="W18" s="100"/>
      <c r="X18" s="100"/>
      <c r="Y18" s="100" t="s">
        <v>943</v>
      </c>
      <c r="Z18" s="100" t="s">
        <v>931</v>
      </c>
      <c r="AA18" s="100" t="s">
        <v>245</v>
      </c>
      <c r="AB18" s="100" t="s">
        <v>142</v>
      </c>
      <c r="AC18" s="100" t="s">
        <v>534</v>
      </c>
      <c r="AD18" s="100" t="s">
        <v>301</v>
      </c>
      <c r="AE18" s="100" t="s">
        <v>213</v>
      </c>
      <c r="AF18" s="104">
        <v>9</v>
      </c>
      <c r="AG18" s="103">
        <v>45827</v>
      </c>
      <c r="AH18" s="102">
        <v>0.48125000000000001</v>
      </c>
      <c r="AI18" s="102">
        <v>0.45833333333333331</v>
      </c>
      <c r="AJ18" s="100" t="s">
        <v>276</v>
      </c>
      <c r="AK18" s="100" t="s">
        <v>731</v>
      </c>
      <c r="AL18" s="104" t="s">
        <v>863</v>
      </c>
      <c r="AM18" s="104" t="s">
        <v>948</v>
      </c>
      <c r="AN18" s="100" t="s">
        <v>863</v>
      </c>
      <c r="AO18" s="106">
        <v>0.48125000000000001</v>
      </c>
      <c r="AP18" s="101">
        <v>45827</v>
      </c>
      <c r="AQ18" s="106">
        <v>0.45833333333333331</v>
      </c>
      <c r="AR18" s="105"/>
      <c r="AS18" s="100" t="s">
        <v>276</v>
      </c>
      <c r="AT18" s="100" t="s">
        <v>247</v>
      </c>
      <c r="AU18" s="100" t="s">
        <v>149</v>
      </c>
      <c r="AV18" s="104">
        <v>2025</v>
      </c>
      <c r="AW18" s="104">
        <v>25</v>
      </c>
      <c r="AX18" s="104">
        <v>3</v>
      </c>
      <c r="AY18" s="104">
        <v>19</v>
      </c>
      <c r="AZ18" s="104">
        <v>170</v>
      </c>
      <c r="BA18" s="100" t="s">
        <v>731</v>
      </c>
      <c r="BB18" s="100" t="s">
        <v>727</v>
      </c>
      <c r="BC18" s="100"/>
      <c r="BD18" s="100"/>
      <c r="BE18" s="100" t="s">
        <v>949</v>
      </c>
      <c r="BF18" s="100"/>
      <c r="BG18" s="104"/>
      <c r="BH18" s="100"/>
      <c r="BI18" s="100" t="s">
        <v>276</v>
      </c>
      <c r="BJ18" s="100" t="s">
        <v>276</v>
      </c>
    </row>
    <row r="19" spans="1:62" x14ac:dyDescent="0.25">
      <c r="A19" s="100" t="s">
        <v>1113</v>
      </c>
      <c r="B19" s="101">
        <v>45839</v>
      </c>
      <c r="C19" s="102">
        <v>0.53263888888888888</v>
      </c>
      <c r="D19" s="103"/>
      <c r="E19" s="102"/>
      <c r="F19" s="103">
        <v>45839</v>
      </c>
      <c r="G19" s="102">
        <v>0.53378472222222217</v>
      </c>
      <c r="H19" s="100" t="s">
        <v>206</v>
      </c>
      <c r="I19" s="100" t="s">
        <v>726</v>
      </c>
      <c r="J19" s="100"/>
      <c r="K19" s="100" t="s">
        <v>727</v>
      </c>
      <c r="L19" s="100" t="s">
        <v>270</v>
      </c>
      <c r="M19" s="104">
        <v>5</v>
      </c>
      <c r="N19" s="100" t="s">
        <v>1114</v>
      </c>
      <c r="O19" s="104"/>
      <c r="P19" s="104"/>
      <c r="Q19" s="100"/>
      <c r="R19" s="100"/>
      <c r="S19" s="100"/>
      <c r="T19" s="100"/>
      <c r="U19" s="100"/>
      <c r="V19" s="100"/>
      <c r="W19" s="100"/>
      <c r="X19" s="100"/>
      <c r="Y19" s="100" t="s">
        <v>950</v>
      </c>
      <c r="Z19" s="100" t="s">
        <v>931</v>
      </c>
      <c r="AA19" s="100" t="s">
        <v>265</v>
      </c>
      <c r="AB19" s="100" t="s">
        <v>164</v>
      </c>
      <c r="AC19" s="100" t="s">
        <v>534</v>
      </c>
      <c r="AD19" s="100" t="s">
        <v>301</v>
      </c>
      <c r="AE19" s="100"/>
      <c r="AF19" s="104">
        <v>9</v>
      </c>
      <c r="AG19" s="103">
        <v>45839</v>
      </c>
      <c r="AH19" s="102">
        <v>0.53263888888888888</v>
      </c>
      <c r="AI19" s="102">
        <v>0.5</v>
      </c>
      <c r="AJ19" s="100" t="s">
        <v>146</v>
      </c>
      <c r="AK19" s="100" t="s">
        <v>731</v>
      </c>
      <c r="AL19" s="104" t="s">
        <v>730</v>
      </c>
      <c r="AM19" s="104" t="s">
        <v>1015</v>
      </c>
      <c r="AN19" s="100" t="s">
        <v>730</v>
      </c>
      <c r="AO19" s="106">
        <v>0.53263888888888888</v>
      </c>
      <c r="AP19" s="101">
        <v>45839</v>
      </c>
      <c r="AQ19" s="106">
        <v>0.5</v>
      </c>
      <c r="AR19" s="105"/>
      <c r="AS19" s="100" t="s">
        <v>146</v>
      </c>
      <c r="AT19" s="100" t="s">
        <v>148</v>
      </c>
      <c r="AU19" s="100" t="s">
        <v>1115</v>
      </c>
      <c r="AV19" s="104">
        <v>2025</v>
      </c>
      <c r="AW19" s="104">
        <v>27</v>
      </c>
      <c r="AX19" s="104">
        <v>1</v>
      </c>
      <c r="AY19" s="104">
        <v>1</v>
      </c>
      <c r="AZ19" s="104">
        <v>182</v>
      </c>
      <c r="BA19" s="100" t="s">
        <v>731</v>
      </c>
      <c r="BB19" s="100" t="s">
        <v>727</v>
      </c>
      <c r="BC19" s="100"/>
      <c r="BD19" s="100"/>
      <c r="BE19" s="100"/>
      <c r="BF19" s="100"/>
      <c r="BG19" s="104"/>
      <c r="BH19" s="100"/>
      <c r="BI19" s="100" t="s">
        <v>146</v>
      </c>
      <c r="BJ19" s="100" t="s">
        <v>146</v>
      </c>
    </row>
    <row r="20" spans="1:62" x14ac:dyDescent="0.25">
      <c r="A20" s="100" t="s">
        <v>1129</v>
      </c>
      <c r="B20" s="101">
        <v>45845</v>
      </c>
      <c r="C20" s="102">
        <v>0.60763888888888884</v>
      </c>
      <c r="D20" s="103"/>
      <c r="E20" s="102"/>
      <c r="F20" s="103">
        <v>45845</v>
      </c>
      <c r="G20" s="102">
        <v>0.61127314814814815</v>
      </c>
      <c r="H20" s="100" t="s">
        <v>701</v>
      </c>
      <c r="I20" s="100" t="s">
        <v>206</v>
      </c>
      <c r="J20" s="100" t="s">
        <v>619</v>
      </c>
      <c r="K20" s="100" t="s">
        <v>1130</v>
      </c>
      <c r="L20" s="100" t="s">
        <v>288</v>
      </c>
      <c r="M20" s="104">
        <v>5</v>
      </c>
      <c r="N20" s="100" t="s">
        <v>1131</v>
      </c>
      <c r="O20" s="104"/>
      <c r="P20" s="104"/>
      <c r="Q20" s="100"/>
      <c r="R20" s="100"/>
      <c r="S20" s="100"/>
      <c r="T20" s="100"/>
      <c r="U20" s="100"/>
      <c r="V20" s="100"/>
      <c r="W20" s="100"/>
      <c r="X20" s="100"/>
      <c r="Y20" s="100" t="s">
        <v>930</v>
      </c>
      <c r="Z20" s="100" t="s">
        <v>931</v>
      </c>
      <c r="AA20" s="100" t="s">
        <v>454</v>
      </c>
      <c r="AB20" s="100" t="s">
        <v>328</v>
      </c>
      <c r="AC20" s="100" t="s">
        <v>350</v>
      </c>
      <c r="AD20" s="100" t="s">
        <v>905</v>
      </c>
      <c r="AE20" s="100"/>
      <c r="AF20" s="104">
        <v>9</v>
      </c>
      <c r="AG20" s="103">
        <v>45845</v>
      </c>
      <c r="AH20" s="102">
        <v>0.60763888888888884</v>
      </c>
      <c r="AI20" s="102">
        <v>0.58333333333333337</v>
      </c>
      <c r="AJ20" s="100" t="s">
        <v>146</v>
      </c>
      <c r="AK20" s="100" t="s">
        <v>1132</v>
      </c>
      <c r="AL20" s="104" t="s">
        <v>1133</v>
      </c>
      <c r="AM20" s="104" t="s">
        <v>1015</v>
      </c>
      <c r="AN20" s="100" t="s">
        <v>1133</v>
      </c>
      <c r="AO20" s="106">
        <v>0.60763888888888884</v>
      </c>
      <c r="AP20" s="101">
        <v>45845</v>
      </c>
      <c r="AQ20" s="106">
        <v>0.58333333333333337</v>
      </c>
      <c r="AR20" s="105"/>
      <c r="AS20" s="100" t="s">
        <v>146</v>
      </c>
      <c r="AT20" s="100" t="s">
        <v>183</v>
      </c>
      <c r="AU20" s="100" t="s">
        <v>1115</v>
      </c>
      <c r="AV20" s="104">
        <v>2025</v>
      </c>
      <c r="AW20" s="104">
        <v>28</v>
      </c>
      <c r="AX20" s="104">
        <v>2</v>
      </c>
      <c r="AY20" s="104">
        <v>7</v>
      </c>
      <c r="AZ20" s="104">
        <v>188</v>
      </c>
      <c r="BA20" s="100" t="s">
        <v>1132</v>
      </c>
      <c r="BB20" s="100" t="s">
        <v>1130</v>
      </c>
      <c r="BC20" s="100"/>
      <c r="BD20" s="100"/>
      <c r="BE20" s="100"/>
      <c r="BF20" s="100"/>
      <c r="BG20" s="104"/>
      <c r="BH20" s="100"/>
      <c r="BI20" s="100" t="s">
        <v>146</v>
      </c>
      <c r="BJ20" s="100" t="s">
        <v>146</v>
      </c>
    </row>
  </sheetData>
  <phoneticPr fontId="9" type="noConversion"/>
  <conditionalFormatting sqref="A2:BJ20">
    <cfRule type="expression" dxfId="100" priority="1" stopIfTrue="1">
      <formula>$AM2="7-Day"</formula>
    </cfRule>
    <cfRule type="expression" dxfId="99" priority="2" stopIfTrue="1">
      <formula>$AM2="28-Day"</formula>
    </cfRule>
    <cfRule type="expression" dxfId="98" priority="3" stopIfTrue="1">
      <formula>$AM2="YTD"</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67CBC-40C3-4B34-A00F-3C00ACD084AA}">
  <sheetPr codeName="Sheet5">
    <tabColor rgb="FFFFC000"/>
  </sheetPr>
  <dimension ref="A1:AZ117"/>
  <sheetViews>
    <sheetView topLeftCell="AL1" workbookViewId="0">
      <selection activeCell="AS1" sqref="AS1:AS1048576"/>
    </sheetView>
  </sheetViews>
  <sheetFormatPr defaultColWidth="8.85546875" defaultRowHeight="15" x14ac:dyDescent="0.25"/>
  <cols>
    <col min="1" max="1" width="36.42578125" style="3" bestFit="1" customWidth="1"/>
    <col min="2" max="2" width="15.28515625" style="3" bestFit="1" customWidth="1"/>
    <col min="3" max="3" width="20" style="3" bestFit="1" customWidth="1"/>
    <col min="4" max="4" width="19.42578125" style="3" bestFit="1" customWidth="1"/>
    <col min="5" max="5" width="18.140625" style="3" bestFit="1" customWidth="1"/>
    <col min="6" max="6" width="81.140625" style="3" bestFit="1" customWidth="1"/>
    <col min="7" max="7" width="19.140625" style="3" bestFit="1" customWidth="1"/>
    <col min="8" max="8" width="18.28515625" style="83" bestFit="1" customWidth="1"/>
    <col min="9" max="9" width="18.85546875" style="84" bestFit="1" customWidth="1"/>
    <col min="10" max="10" width="28.28515625" style="75" bestFit="1" customWidth="1"/>
    <col min="11" max="11" width="28.42578125" style="75" bestFit="1" customWidth="1"/>
    <col min="12" max="12" width="17.28515625" style="75" bestFit="1" customWidth="1"/>
    <col min="13" max="13" width="17.42578125" style="84" bestFit="1" customWidth="1"/>
    <col min="14" max="14" width="34.28515625" style="3" bestFit="1" customWidth="1"/>
    <col min="15" max="16" width="38.28515625" style="3" bestFit="1" customWidth="1"/>
    <col min="17" max="17" width="75.85546875" style="3" bestFit="1" customWidth="1"/>
    <col min="18" max="18" width="9.85546875" style="3" bestFit="1" customWidth="1"/>
    <col min="19" max="19" width="10.42578125" style="3" bestFit="1" customWidth="1"/>
    <col min="20" max="20" width="81.140625" style="3" bestFit="1" customWidth="1"/>
    <col min="21" max="21" width="23.28515625" style="3" bestFit="1" customWidth="1"/>
    <col min="22" max="22" width="25" style="3" bestFit="1" customWidth="1"/>
    <col min="23" max="23" width="19.28515625" style="3" bestFit="1" customWidth="1"/>
    <col min="24" max="24" width="11.85546875" style="3" bestFit="1" customWidth="1"/>
    <col min="25" max="25" width="12.7109375" style="3" bestFit="1" customWidth="1"/>
    <col min="26" max="26" width="16.28515625" style="3" bestFit="1" customWidth="1"/>
    <col min="27" max="27" width="19.28515625" style="3" bestFit="1" customWidth="1"/>
    <col min="28" max="28" width="16.28515625" style="3" bestFit="1" customWidth="1"/>
    <col min="29" max="29" width="11.85546875" style="3" bestFit="1" customWidth="1"/>
    <col min="30" max="30" width="12.7109375" style="3" bestFit="1" customWidth="1"/>
    <col min="31" max="31" width="17.7109375" style="3" bestFit="1" customWidth="1"/>
    <col min="32" max="32" width="19.7109375" style="3" bestFit="1" customWidth="1"/>
    <col min="33" max="33" width="31.42578125" style="3" bestFit="1" customWidth="1"/>
    <col min="34" max="34" width="11.85546875" style="3" bestFit="1" customWidth="1"/>
    <col min="35" max="35" width="29.28515625" style="3" bestFit="1" customWidth="1"/>
    <col min="36" max="36" width="30.28515625" style="3" bestFit="1" customWidth="1"/>
    <col min="37" max="37" width="48.140625" style="3" bestFit="1" customWidth="1"/>
    <col min="38" max="38" width="30.5703125" style="3" bestFit="1" customWidth="1"/>
    <col min="39" max="39" width="18.7109375" style="3" bestFit="1" customWidth="1"/>
    <col min="40" max="40" width="13.28515625" style="3" bestFit="1" customWidth="1"/>
    <col min="41" max="41" width="17.7109375" style="3" bestFit="1" customWidth="1"/>
    <col min="42" max="42" width="26.85546875" style="3" bestFit="1" customWidth="1"/>
    <col min="43" max="43" width="50" style="3" bestFit="1" customWidth="1"/>
    <col min="44" max="44" width="81.140625" style="3" bestFit="1" customWidth="1"/>
    <col min="45" max="45" width="12" style="75" bestFit="1" customWidth="1"/>
    <col min="46" max="46" width="27.5703125" style="3" bestFit="1" customWidth="1"/>
    <col min="47" max="47" width="15.42578125" style="75" bestFit="1" customWidth="1"/>
    <col min="48" max="48" width="18.140625" style="75" bestFit="1" customWidth="1"/>
    <col min="49" max="49" width="10" style="75" bestFit="1" customWidth="1"/>
    <col min="50" max="50" width="18.42578125" style="75" bestFit="1" customWidth="1"/>
    <col min="51" max="51" width="9.28515625" style="75" bestFit="1" customWidth="1"/>
    <col min="52" max="52" width="50" style="3" bestFit="1" customWidth="1"/>
    <col min="53" max="16384" width="8.85546875" style="3"/>
  </cols>
  <sheetData>
    <row r="1" spans="1:52" s="75" customFormat="1" x14ac:dyDescent="0.25">
      <c r="A1" s="75" t="s">
        <v>965</v>
      </c>
      <c r="B1" s="75" t="s">
        <v>966</v>
      </c>
      <c r="C1" s="75" t="s">
        <v>967</v>
      </c>
      <c r="D1" s="75" t="s">
        <v>968</v>
      </c>
      <c r="E1" s="75" t="s">
        <v>969</v>
      </c>
      <c r="F1" s="75" t="s">
        <v>970</v>
      </c>
      <c r="G1" s="75" t="s">
        <v>93</v>
      </c>
      <c r="H1" s="83" t="s">
        <v>94</v>
      </c>
      <c r="I1" s="84" t="s">
        <v>95</v>
      </c>
      <c r="J1" s="75" t="s">
        <v>911</v>
      </c>
      <c r="K1" s="75" t="s">
        <v>912</v>
      </c>
      <c r="L1" s="75" t="s">
        <v>913</v>
      </c>
      <c r="M1" s="84" t="s">
        <v>914</v>
      </c>
      <c r="N1" s="75" t="s">
        <v>96</v>
      </c>
      <c r="O1" s="75" t="s">
        <v>97</v>
      </c>
      <c r="P1" s="75" t="s">
        <v>98</v>
      </c>
      <c r="Q1" s="75" t="s">
        <v>99</v>
      </c>
      <c r="R1" s="75" t="s">
        <v>100</v>
      </c>
      <c r="S1" s="75" t="s">
        <v>101</v>
      </c>
      <c r="T1" s="75" t="s">
        <v>102</v>
      </c>
      <c r="U1" s="75" t="s">
        <v>103</v>
      </c>
      <c r="V1" s="75" t="s">
        <v>104</v>
      </c>
      <c r="W1" s="75" t="s">
        <v>105</v>
      </c>
      <c r="X1" s="75" t="s">
        <v>106</v>
      </c>
      <c r="Y1" s="75" t="s">
        <v>107</v>
      </c>
      <c r="Z1" s="75" t="s">
        <v>108</v>
      </c>
      <c r="AA1" s="75" t="s">
        <v>109</v>
      </c>
      <c r="AB1" s="75" t="s">
        <v>110</v>
      </c>
      <c r="AC1" s="75" t="s">
        <v>111</v>
      </c>
      <c r="AD1" s="75" t="s">
        <v>112</v>
      </c>
      <c r="AE1" s="75" t="s">
        <v>113</v>
      </c>
      <c r="AF1" s="75" t="s">
        <v>915</v>
      </c>
      <c r="AG1" s="75" t="s">
        <v>114</v>
      </c>
      <c r="AH1" s="75" t="s">
        <v>115</v>
      </c>
      <c r="AI1" s="75" t="s">
        <v>116</v>
      </c>
      <c r="AJ1" s="75" t="s">
        <v>117</v>
      </c>
      <c r="AK1" s="75" t="s">
        <v>118</v>
      </c>
      <c r="AL1" s="75" t="s">
        <v>916</v>
      </c>
      <c r="AM1" s="75" t="s">
        <v>2</v>
      </c>
      <c r="AN1" s="75" t="s">
        <v>120</v>
      </c>
      <c r="AO1" s="75" t="s">
        <v>121</v>
      </c>
      <c r="AP1" s="75" t="s">
        <v>122</v>
      </c>
      <c r="AQ1" s="75" t="s">
        <v>1</v>
      </c>
      <c r="AR1" s="75" t="s">
        <v>123</v>
      </c>
      <c r="AS1" s="75" t="s">
        <v>124</v>
      </c>
      <c r="AT1" s="75" t="s">
        <v>127</v>
      </c>
      <c r="AU1" s="75" t="s">
        <v>128</v>
      </c>
      <c r="AV1" s="75" t="s">
        <v>129</v>
      </c>
      <c r="AW1" s="75" t="s">
        <v>130</v>
      </c>
      <c r="AX1" s="75" t="s">
        <v>131</v>
      </c>
      <c r="AY1" s="75" t="s">
        <v>132</v>
      </c>
      <c r="AZ1" s="75" t="s">
        <v>133</v>
      </c>
    </row>
    <row r="2" spans="1:52" x14ac:dyDescent="0.25">
      <c r="A2" s="78" t="s">
        <v>1109</v>
      </c>
      <c r="B2" s="78" t="s">
        <v>971</v>
      </c>
      <c r="C2" s="79">
        <v>45846.447755046298</v>
      </c>
      <c r="D2" s="79">
        <v>45846.444835451388</v>
      </c>
      <c r="E2" s="79">
        <v>45846.444822557867</v>
      </c>
      <c r="F2" s="78" t="s">
        <v>972</v>
      </c>
      <c r="G2" s="78" t="s">
        <v>153</v>
      </c>
      <c r="H2" s="87">
        <v>45660</v>
      </c>
      <c r="I2" s="85">
        <v>0.89583333333333326</v>
      </c>
      <c r="J2" s="88">
        <v>45661</v>
      </c>
      <c r="K2" s="89">
        <v>0.2673611111111111</v>
      </c>
      <c r="L2" s="87">
        <v>45661</v>
      </c>
      <c r="M2" s="85">
        <v>0.45774305555555556</v>
      </c>
      <c r="N2" s="78" t="s">
        <v>154</v>
      </c>
      <c r="O2" s="78"/>
      <c r="P2" s="78"/>
      <c r="Q2" s="78" t="s">
        <v>155</v>
      </c>
      <c r="R2" s="78" t="s">
        <v>156</v>
      </c>
      <c r="S2" s="80">
        <v>9</v>
      </c>
      <c r="T2" s="78" t="s">
        <v>157</v>
      </c>
      <c r="U2" s="80"/>
      <c r="V2" s="80"/>
      <c r="W2" s="78" t="s">
        <v>973</v>
      </c>
      <c r="X2" s="78" t="s">
        <v>942</v>
      </c>
      <c r="Y2" s="78" t="s">
        <v>160</v>
      </c>
      <c r="Z2" s="78" t="s">
        <v>161</v>
      </c>
      <c r="AA2" s="78"/>
      <c r="AB2" s="78"/>
      <c r="AC2" s="78"/>
      <c r="AD2" s="78"/>
      <c r="AE2" s="78" t="s">
        <v>950</v>
      </c>
      <c r="AF2" s="78" t="s">
        <v>931</v>
      </c>
      <c r="AG2" s="78" t="s">
        <v>163</v>
      </c>
      <c r="AH2" s="78" t="s">
        <v>164</v>
      </c>
      <c r="AI2" s="78" t="s">
        <v>165</v>
      </c>
      <c r="AJ2" s="78" t="s">
        <v>166</v>
      </c>
      <c r="AK2" s="78" t="s">
        <v>167</v>
      </c>
      <c r="AL2" s="80">
        <v>9</v>
      </c>
      <c r="AM2" s="81">
        <v>45660</v>
      </c>
      <c r="AN2" s="82">
        <v>0.89583333333333337</v>
      </c>
      <c r="AO2" s="82">
        <v>0.875</v>
      </c>
      <c r="AP2" s="80" t="s">
        <v>168</v>
      </c>
      <c r="AQ2" s="78" t="s">
        <v>172</v>
      </c>
      <c r="AR2" s="80" t="s">
        <v>154</v>
      </c>
      <c r="AS2" s="93" t="s">
        <v>169</v>
      </c>
      <c r="AT2" s="78" t="s">
        <v>168</v>
      </c>
      <c r="AU2" s="92" t="s">
        <v>170</v>
      </c>
      <c r="AV2" s="92" t="s">
        <v>171</v>
      </c>
      <c r="AW2" s="93">
        <v>2025</v>
      </c>
      <c r="AX2" s="93">
        <v>1</v>
      </c>
      <c r="AY2" s="93">
        <v>3</v>
      </c>
      <c r="AZ2" s="78" t="s">
        <v>172</v>
      </c>
    </row>
    <row r="3" spans="1:52" x14ac:dyDescent="0.25">
      <c r="A3" s="78" t="s">
        <v>1109</v>
      </c>
      <c r="B3" s="78" t="s">
        <v>971</v>
      </c>
      <c r="C3" s="79">
        <v>45846.447755046298</v>
      </c>
      <c r="D3" s="79">
        <v>45846.444835451388</v>
      </c>
      <c r="E3" s="79">
        <v>45846.444822557867</v>
      </c>
      <c r="F3" s="78" t="s">
        <v>972</v>
      </c>
      <c r="G3" s="78" t="s">
        <v>187</v>
      </c>
      <c r="H3" s="87">
        <v>45664</v>
      </c>
      <c r="I3" s="85">
        <v>0.58333333333333326</v>
      </c>
      <c r="J3" s="88"/>
      <c r="K3" s="89"/>
      <c r="L3" s="87">
        <v>45667</v>
      </c>
      <c r="M3" s="85">
        <v>0.59781249999999997</v>
      </c>
      <c r="N3" s="78" t="s">
        <v>188</v>
      </c>
      <c r="O3" s="78" t="s">
        <v>189</v>
      </c>
      <c r="P3" s="78"/>
      <c r="Q3" s="78" t="s">
        <v>190</v>
      </c>
      <c r="R3" s="78" t="s">
        <v>191</v>
      </c>
      <c r="S3" s="80">
        <v>7</v>
      </c>
      <c r="T3" s="78" t="s">
        <v>192</v>
      </c>
      <c r="U3" s="80"/>
      <c r="V3" s="80"/>
      <c r="W3" s="78"/>
      <c r="X3" s="78"/>
      <c r="Y3" s="78"/>
      <c r="Z3" s="78"/>
      <c r="AA3" s="78"/>
      <c r="AB3" s="78"/>
      <c r="AC3" s="78"/>
      <c r="AD3" s="78"/>
      <c r="AE3" s="78" t="s">
        <v>930</v>
      </c>
      <c r="AF3" s="78" t="s">
        <v>931</v>
      </c>
      <c r="AG3" s="78" t="s">
        <v>194</v>
      </c>
      <c r="AH3" s="78" t="s">
        <v>195</v>
      </c>
      <c r="AI3" s="78" t="s">
        <v>196</v>
      </c>
      <c r="AJ3" s="78" t="s">
        <v>166</v>
      </c>
      <c r="AK3" s="78" t="s">
        <v>197</v>
      </c>
      <c r="AL3" s="80">
        <v>9</v>
      </c>
      <c r="AM3" s="81">
        <v>45664</v>
      </c>
      <c r="AN3" s="82">
        <v>0.58333333333333337</v>
      </c>
      <c r="AO3" s="82">
        <v>0.58333333333333337</v>
      </c>
      <c r="AP3" s="80" t="s">
        <v>146</v>
      </c>
      <c r="AQ3" s="78" t="s">
        <v>199</v>
      </c>
      <c r="AR3" s="80" t="s">
        <v>198</v>
      </c>
      <c r="AS3" s="93" t="s">
        <v>169</v>
      </c>
      <c r="AT3" s="78" t="s">
        <v>146</v>
      </c>
      <c r="AU3" s="92" t="s">
        <v>148</v>
      </c>
      <c r="AV3" s="92" t="s">
        <v>171</v>
      </c>
      <c r="AW3" s="93">
        <v>2025</v>
      </c>
      <c r="AX3" s="93">
        <v>2</v>
      </c>
      <c r="AY3" s="93">
        <v>7</v>
      </c>
      <c r="AZ3" s="78" t="s">
        <v>199</v>
      </c>
    </row>
    <row r="4" spans="1:52" x14ac:dyDescent="0.25">
      <c r="A4" s="78" t="s">
        <v>1109</v>
      </c>
      <c r="B4" s="78" t="s">
        <v>971</v>
      </c>
      <c r="C4" s="79">
        <v>45846.447755046298</v>
      </c>
      <c r="D4" s="79">
        <v>45846.444835451388</v>
      </c>
      <c r="E4" s="79">
        <v>45846.444822557867</v>
      </c>
      <c r="F4" s="78" t="s">
        <v>972</v>
      </c>
      <c r="G4" s="78" t="s">
        <v>173</v>
      </c>
      <c r="H4" s="87">
        <v>45663</v>
      </c>
      <c r="I4" s="85">
        <v>0.64583333333333326</v>
      </c>
      <c r="J4" s="88">
        <v>45667</v>
      </c>
      <c r="K4" s="89"/>
      <c r="L4" s="87">
        <v>45667</v>
      </c>
      <c r="M4" s="85">
        <v>0.82629629629629631</v>
      </c>
      <c r="N4" s="78" t="s">
        <v>174</v>
      </c>
      <c r="O4" s="78"/>
      <c r="P4" s="78"/>
      <c r="Q4" s="78" t="s">
        <v>175</v>
      </c>
      <c r="R4" s="78"/>
      <c r="S4" s="80">
        <v>7</v>
      </c>
      <c r="T4" s="78" t="s">
        <v>176</v>
      </c>
      <c r="U4" s="80"/>
      <c r="V4" s="80"/>
      <c r="W4" s="78" t="s">
        <v>177</v>
      </c>
      <c r="X4" s="78" t="s">
        <v>942</v>
      </c>
      <c r="Y4" s="78" t="s">
        <v>178</v>
      </c>
      <c r="Z4" s="78" t="s">
        <v>161</v>
      </c>
      <c r="AA4" s="78"/>
      <c r="AB4" s="78"/>
      <c r="AC4" s="78"/>
      <c r="AD4" s="78"/>
      <c r="AE4" s="78" t="s">
        <v>934</v>
      </c>
      <c r="AF4" s="78" t="s">
        <v>931</v>
      </c>
      <c r="AG4" s="78" t="s">
        <v>179</v>
      </c>
      <c r="AH4" s="78" t="s">
        <v>142</v>
      </c>
      <c r="AI4" s="78" t="s">
        <v>180</v>
      </c>
      <c r="AJ4" s="78" t="s">
        <v>181</v>
      </c>
      <c r="AK4" s="78" t="s">
        <v>182</v>
      </c>
      <c r="AL4" s="80">
        <v>9</v>
      </c>
      <c r="AM4" s="81">
        <v>45663</v>
      </c>
      <c r="AN4" s="82">
        <v>0.64583333333333337</v>
      </c>
      <c r="AO4" s="82">
        <v>0.625</v>
      </c>
      <c r="AP4" s="80" t="s">
        <v>146</v>
      </c>
      <c r="AQ4" s="78" t="s">
        <v>184</v>
      </c>
      <c r="AR4" s="80" t="s">
        <v>174</v>
      </c>
      <c r="AS4" s="93" t="s">
        <v>169</v>
      </c>
      <c r="AT4" s="78" t="s">
        <v>146</v>
      </c>
      <c r="AU4" s="92" t="s">
        <v>183</v>
      </c>
      <c r="AV4" s="92" t="s">
        <v>171</v>
      </c>
      <c r="AW4" s="93">
        <v>2025</v>
      </c>
      <c r="AX4" s="93">
        <v>2</v>
      </c>
      <c r="AY4" s="93">
        <v>6</v>
      </c>
      <c r="AZ4" s="78" t="s">
        <v>184</v>
      </c>
    </row>
    <row r="5" spans="1:52" x14ac:dyDescent="0.25">
      <c r="A5" s="78" t="s">
        <v>1109</v>
      </c>
      <c r="B5" s="78" t="s">
        <v>971</v>
      </c>
      <c r="C5" s="79">
        <v>45846.447755046298</v>
      </c>
      <c r="D5" s="79">
        <v>45846.444835451388</v>
      </c>
      <c r="E5" s="79">
        <v>45846.444822557867</v>
      </c>
      <c r="F5" s="78" t="s">
        <v>972</v>
      </c>
      <c r="G5" s="78" t="s">
        <v>203</v>
      </c>
      <c r="H5" s="87">
        <v>45670</v>
      </c>
      <c r="I5" s="85">
        <v>0.50347222222222232</v>
      </c>
      <c r="J5" s="88"/>
      <c r="K5" s="89"/>
      <c r="L5" s="87">
        <v>45670</v>
      </c>
      <c r="M5" s="85">
        <v>0.50537037037037036</v>
      </c>
      <c r="N5" s="78" t="s">
        <v>204</v>
      </c>
      <c r="O5" s="78" t="s">
        <v>205</v>
      </c>
      <c r="P5" s="78" t="s">
        <v>206</v>
      </c>
      <c r="Q5" s="78" t="s">
        <v>207</v>
      </c>
      <c r="R5" s="78" t="s">
        <v>208</v>
      </c>
      <c r="S5" s="80">
        <v>8</v>
      </c>
      <c r="T5" s="78" t="s">
        <v>209</v>
      </c>
      <c r="U5" s="80"/>
      <c r="V5" s="80"/>
      <c r="W5" s="78"/>
      <c r="X5" s="78"/>
      <c r="Y5" s="78"/>
      <c r="Z5" s="78"/>
      <c r="AA5" s="78"/>
      <c r="AB5" s="78"/>
      <c r="AC5" s="78"/>
      <c r="AD5" s="78"/>
      <c r="AE5" s="78" t="s">
        <v>950</v>
      </c>
      <c r="AF5" s="78" t="s">
        <v>931</v>
      </c>
      <c r="AG5" s="78" t="s">
        <v>210</v>
      </c>
      <c r="AH5" s="78" t="s">
        <v>211</v>
      </c>
      <c r="AI5" s="78" t="s">
        <v>143</v>
      </c>
      <c r="AJ5" s="78" t="s">
        <v>212</v>
      </c>
      <c r="AK5" s="78" t="s">
        <v>213</v>
      </c>
      <c r="AL5" s="80">
        <v>9</v>
      </c>
      <c r="AM5" s="81">
        <v>45670</v>
      </c>
      <c r="AN5" s="82">
        <v>0.50347222222222221</v>
      </c>
      <c r="AO5" s="82">
        <v>0.5</v>
      </c>
      <c r="AP5" s="80" t="s">
        <v>146</v>
      </c>
      <c r="AQ5" s="78" t="s">
        <v>215</v>
      </c>
      <c r="AR5" s="80" t="s">
        <v>214</v>
      </c>
      <c r="AS5" s="93" t="s">
        <v>169</v>
      </c>
      <c r="AT5" s="78" t="s">
        <v>146</v>
      </c>
      <c r="AU5" s="92" t="s">
        <v>183</v>
      </c>
      <c r="AV5" s="92" t="s">
        <v>171</v>
      </c>
      <c r="AW5" s="93">
        <v>2025</v>
      </c>
      <c r="AX5" s="93">
        <v>3</v>
      </c>
      <c r="AY5" s="93">
        <v>13</v>
      </c>
      <c r="AZ5" s="78" t="s">
        <v>215</v>
      </c>
    </row>
    <row r="6" spans="1:52" x14ac:dyDescent="0.25">
      <c r="A6" s="78" t="s">
        <v>1109</v>
      </c>
      <c r="B6" s="78" t="s">
        <v>971</v>
      </c>
      <c r="C6" s="79">
        <v>45846.447755046298</v>
      </c>
      <c r="D6" s="79">
        <v>45846.444835451388</v>
      </c>
      <c r="E6" s="79">
        <v>45846.444822557867</v>
      </c>
      <c r="F6" s="78" t="s">
        <v>972</v>
      </c>
      <c r="G6" s="78" t="s">
        <v>217</v>
      </c>
      <c r="H6" s="87">
        <v>45671</v>
      </c>
      <c r="I6" s="85">
        <v>0.64067129629629638</v>
      </c>
      <c r="J6" s="88"/>
      <c r="K6" s="89"/>
      <c r="L6" s="87">
        <v>45671</v>
      </c>
      <c r="M6" s="85">
        <v>0.64067129629629627</v>
      </c>
      <c r="N6" s="78" t="s">
        <v>206</v>
      </c>
      <c r="O6" s="78" t="s">
        <v>218</v>
      </c>
      <c r="P6" s="78" t="s">
        <v>219</v>
      </c>
      <c r="Q6" s="78" t="s">
        <v>220</v>
      </c>
      <c r="R6" s="78" t="s">
        <v>221</v>
      </c>
      <c r="S6" s="80">
        <v>9</v>
      </c>
      <c r="T6" s="78" t="s">
        <v>222</v>
      </c>
      <c r="U6" s="80"/>
      <c r="V6" s="80"/>
      <c r="W6" s="78" t="s">
        <v>951</v>
      </c>
      <c r="X6" s="78" t="s">
        <v>952</v>
      </c>
      <c r="Y6" s="78" t="s">
        <v>225</v>
      </c>
      <c r="Z6" s="78" t="s">
        <v>161</v>
      </c>
      <c r="AA6" s="78"/>
      <c r="AB6" s="78"/>
      <c r="AC6" s="78"/>
      <c r="AD6" s="78"/>
      <c r="AE6" s="78" t="s">
        <v>953</v>
      </c>
      <c r="AF6" s="78" t="s">
        <v>931</v>
      </c>
      <c r="AG6" s="78" t="s">
        <v>163</v>
      </c>
      <c r="AH6" s="78" t="s">
        <v>227</v>
      </c>
      <c r="AI6" s="78" t="s">
        <v>228</v>
      </c>
      <c r="AJ6" s="78" t="s">
        <v>166</v>
      </c>
      <c r="AK6" s="78" t="s">
        <v>213</v>
      </c>
      <c r="AL6" s="80">
        <v>9</v>
      </c>
      <c r="AM6" s="81">
        <v>45671</v>
      </c>
      <c r="AN6" s="82">
        <v>0.64067129629629627</v>
      </c>
      <c r="AO6" s="82">
        <v>0.625</v>
      </c>
      <c r="AP6" s="80" t="s">
        <v>146</v>
      </c>
      <c r="AQ6" s="78" t="s">
        <v>230</v>
      </c>
      <c r="AR6" s="80" t="s">
        <v>229</v>
      </c>
      <c r="AS6" s="93" t="s">
        <v>169</v>
      </c>
      <c r="AT6" s="78" t="s">
        <v>146</v>
      </c>
      <c r="AU6" s="92" t="s">
        <v>148</v>
      </c>
      <c r="AV6" s="92" t="s">
        <v>171</v>
      </c>
      <c r="AW6" s="93">
        <v>2025</v>
      </c>
      <c r="AX6" s="93">
        <v>3</v>
      </c>
      <c r="AY6" s="93">
        <v>14</v>
      </c>
      <c r="AZ6" s="78" t="s">
        <v>230</v>
      </c>
    </row>
    <row r="7" spans="1:52" x14ac:dyDescent="0.25">
      <c r="A7" s="78" t="s">
        <v>1109</v>
      </c>
      <c r="B7" s="78" t="s">
        <v>971</v>
      </c>
      <c r="C7" s="79">
        <v>45846.447755046298</v>
      </c>
      <c r="D7" s="79">
        <v>45846.444835451388</v>
      </c>
      <c r="E7" s="79">
        <v>45846.444822557867</v>
      </c>
      <c r="F7" s="78" t="s">
        <v>972</v>
      </c>
      <c r="G7" s="78" t="s">
        <v>232</v>
      </c>
      <c r="H7" s="87">
        <v>45672</v>
      </c>
      <c r="I7" s="85">
        <v>0.5398842592592592</v>
      </c>
      <c r="J7" s="88"/>
      <c r="K7" s="89"/>
      <c r="L7" s="87">
        <v>45672</v>
      </c>
      <c r="M7" s="85">
        <v>0.53988425925925931</v>
      </c>
      <c r="N7" s="78" t="s">
        <v>154</v>
      </c>
      <c r="O7" s="78"/>
      <c r="P7" s="78"/>
      <c r="Q7" s="78" t="s">
        <v>233</v>
      </c>
      <c r="R7" s="78" t="s">
        <v>208</v>
      </c>
      <c r="S7" s="80">
        <v>8</v>
      </c>
      <c r="T7" s="78" t="s">
        <v>234</v>
      </c>
      <c r="U7" s="80"/>
      <c r="V7" s="80"/>
      <c r="W7" s="78" t="s">
        <v>235</v>
      </c>
      <c r="X7" s="78" t="s">
        <v>942</v>
      </c>
      <c r="Y7" s="78" t="s">
        <v>236</v>
      </c>
      <c r="Z7" s="78" t="s">
        <v>161</v>
      </c>
      <c r="AA7" s="78"/>
      <c r="AB7" s="78"/>
      <c r="AC7" s="78"/>
      <c r="AD7" s="78"/>
      <c r="AE7" s="78" t="s">
        <v>953</v>
      </c>
      <c r="AF7" s="78" t="s">
        <v>931</v>
      </c>
      <c r="AG7" s="78" t="s">
        <v>237</v>
      </c>
      <c r="AH7" s="78" t="s">
        <v>238</v>
      </c>
      <c r="AI7" s="78" t="s">
        <v>180</v>
      </c>
      <c r="AJ7" s="78" t="s">
        <v>166</v>
      </c>
      <c r="AK7" s="78" t="s">
        <v>167</v>
      </c>
      <c r="AL7" s="80">
        <v>9</v>
      </c>
      <c r="AM7" s="81">
        <v>45672</v>
      </c>
      <c r="AN7" s="82">
        <v>0.53988425925925931</v>
      </c>
      <c r="AO7" s="82">
        <v>0.5</v>
      </c>
      <c r="AP7" s="80" t="s">
        <v>146</v>
      </c>
      <c r="AQ7" s="78" t="s">
        <v>240</v>
      </c>
      <c r="AR7" s="80" t="s">
        <v>154</v>
      </c>
      <c r="AS7" s="93" t="s">
        <v>169</v>
      </c>
      <c r="AT7" s="78" t="s">
        <v>146</v>
      </c>
      <c r="AU7" s="92" t="s">
        <v>239</v>
      </c>
      <c r="AV7" s="92" t="s">
        <v>171</v>
      </c>
      <c r="AW7" s="93">
        <v>2025</v>
      </c>
      <c r="AX7" s="93">
        <v>3</v>
      </c>
      <c r="AY7" s="93">
        <v>15</v>
      </c>
      <c r="AZ7" s="78" t="s">
        <v>240</v>
      </c>
    </row>
    <row r="8" spans="1:52" x14ac:dyDescent="0.25">
      <c r="A8" s="78" t="s">
        <v>1109</v>
      </c>
      <c r="B8" s="78" t="s">
        <v>971</v>
      </c>
      <c r="C8" s="79">
        <v>45846.447755046298</v>
      </c>
      <c r="D8" s="79">
        <v>45846.444835451388</v>
      </c>
      <c r="E8" s="79">
        <v>45846.444822557867</v>
      </c>
      <c r="F8" s="78" t="s">
        <v>972</v>
      </c>
      <c r="G8" s="78" t="s">
        <v>241</v>
      </c>
      <c r="H8" s="87">
        <v>45673</v>
      </c>
      <c r="I8" s="85">
        <v>0.5</v>
      </c>
      <c r="J8" s="88">
        <v>45673</v>
      </c>
      <c r="K8" s="89">
        <v>0.75</v>
      </c>
      <c r="L8" s="87">
        <v>45673</v>
      </c>
      <c r="M8" s="85">
        <v>0.81587962962962968</v>
      </c>
      <c r="N8" s="78" t="s">
        <v>242</v>
      </c>
      <c r="O8" s="78"/>
      <c r="P8" s="78"/>
      <c r="Q8" s="78" t="s">
        <v>243</v>
      </c>
      <c r="R8" s="78" t="s">
        <v>191</v>
      </c>
      <c r="S8" s="80">
        <v>7</v>
      </c>
      <c r="T8" s="78" t="s">
        <v>244</v>
      </c>
      <c r="U8" s="80"/>
      <c r="V8" s="80"/>
      <c r="W8" s="78"/>
      <c r="X8" s="78"/>
      <c r="Y8" s="78"/>
      <c r="Z8" s="78"/>
      <c r="AA8" s="78"/>
      <c r="AB8" s="78"/>
      <c r="AC8" s="78"/>
      <c r="AD8" s="78"/>
      <c r="AE8" s="78" t="s">
        <v>934</v>
      </c>
      <c r="AF8" s="78" t="s">
        <v>931</v>
      </c>
      <c r="AG8" s="78" t="s">
        <v>245</v>
      </c>
      <c r="AH8" s="78" t="s">
        <v>142</v>
      </c>
      <c r="AI8" s="78" t="s">
        <v>180</v>
      </c>
      <c r="AJ8" s="78" t="s">
        <v>166</v>
      </c>
      <c r="AK8" s="78" t="s">
        <v>246</v>
      </c>
      <c r="AL8" s="80">
        <v>9</v>
      </c>
      <c r="AM8" s="81">
        <v>45673</v>
      </c>
      <c r="AN8" s="82">
        <v>0.5</v>
      </c>
      <c r="AO8" s="82">
        <v>0.5</v>
      </c>
      <c r="AP8" s="80" t="s">
        <v>146</v>
      </c>
      <c r="AQ8" s="78" t="s">
        <v>248</v>
      </c>
      <c r="AR8" s="80" t="s">
        <v>242</v>
      </c>
      <c r="AS8" s="93" t="s">
        <v>169</v>
      </c>
      <c r="AT8" s="78" t="s">
        <v>146</v>
      </c>
      <c r="AU8" s="92" t="s">
        <v>247</v>
      </c>
      <c r="AV8" s="92" t="s">
        <v>171</v>
      </c>
      <c r="AW8" s="93">
        <v>2025</v>
      </c>
      <c r="AX8" s="93">
        <v>3</v>
      </c>
      <c r="AY8" s="93">
        <v>16</v>
      </c>
      <c r="AZ8" s="78" t="s">
        <v>248</v>
      </c>
    </row>
    <row r="9" spans="1:52" x14ac:dyDescent="0.25">
      <c r="A9" s="78" t="s">
        <v>1109</v>
      </c>
      <c r="B9" s="78" t="s">
        <v>971</v>
      </c>
      <c r="C9" s="79">
        <v>45846.447755046298</v>
      </c>
      <c r="D9" s="79">
        <v>45846.444835451388</v>
      </c>
      <c r="E9" s="79">
        <v>45846.444822557867</v>
      </c>
      <c r="F9" s="78" t="s">
        <v>972</v>
      </c>
      <c r="G9" s="78" t="s">
        <v>249</v>
      </c>
      <c r="H9" s="87">
        <v>45673</v>
      </c>
      <c r="I9" s="85">
        <v>0.87708333333333344</v>
      </c>
      <c r="J9" s="88">
        <v>45673</v>
      </c>
      <c r="K9" s="89">
        <v>0.88611111111111107</v>
      </c>
      <c r="L9" s="87">
        <v>45674</v>
      </c>
      <c r="M9" s="85">
        <v>0.51179398148148147</v>
      </c>
      <c r="N9" s="78" t="s">
        <v>206</v>
      </c>
      <c r="O9" s="78"/>
      <c r="P9" s="78"/>
      <c r="Q9" s="78" t="s">
        <v>250</v>
      </c>
      <c r="R9" s="78" t="s">
        <v>251</v>
      </c>
      <c r="S9" s="80">
        <v>9</v>
      </c>
      <c r="T9" s="78" t="s">
        <v>252</v>
      </c>
      <c r="U9" s="80"/>
      <c r="V9" s="80"/>
      <c r="W9" s="78"/>
      <c r="X9" s="78" t="s">
        <v>955</v>
      </c>
      <c r="Y9" s="78" t="s">
        <v>956</v>
      </c>
      <c r="Z9" s="78"/>
      <c r="AA9" s="78"/>
      <c r="AB9" s="78"/>
      <c r="AC9" s="78"/>
      <c r="AD9" s="78"/>
      <c r="AE9" s="78" t="s">
        <v>934</v>
      </c>
      <c r="AF9" s="78" t="s">
        <v>931</v>
      </c>
      <c r="AG9" s="78" t="s">
        <v>255</v>
      </c>
      <c r="AH9" s="78" t="s">
        <v>256</v>
      </c>
      <c r="AI9" s="78" t="s">
        <v>257</v>
      </c>
      <c r="AJ9" s="78" t="s">
        <v>144</v>
      </c>
      <c r="AK9" s="78" t="s">
        <v>213</v>
      </c>
      <c r="AL9" s="80">
        <v>9</v>
      </c>
      <c r="AM9" s="81">
        <v>45673</v>
      </c>
      <c r="AN9" s="82">
        <v>0.87708333333333333</v>
      </c>
      <c r="AO9" s="82">
        <v>0.875</v>
      </c>
      <c r="AP9" s="80" t="s">
        <v>168</v>
      </c>
      <c r="AQ9" s="78" t="s">
        <v>258</v>
      </c>
      <c r="AR9" s="80" t="s">
        <v>206</v>
      </c>
      <c r="AS9" s="93" t="s">
        <v>169</v>
      </c>
      <c r="AT9" s="78" t="s">
        <v>168</v>
      </c>
      <c r="AU9" s="92" t="s">
        <v>247</v>
      </c>
      <c r="AV9" s="92" t="s">
        <v>171</v>
      </c>
      <c r="AW9" s="93">
        <v>2025</v>
      </c>
      <c r="AX9" s="93">
        <v>3</v>
      </c>
      <c r="AY9" s="93">
        <v>16</v>
      </c>
      <c r="AZ9" s="78" t="s">
        <v>258</v>
      </c>
    </row>
    <row r="10" spans="1:52" x14ac:dyDescent="0.25">
      <c r="A10" s="78" t="s">
        <v>1109</v>
      </c>
      <c r="B10" s="78" t="s">
        <v>971</v>
      </c>
      <c r="C10" s="79">
        <v>45846.447755046298</v>
      </c>
      <c r="D10" s="79">
        <v>45846.444835451388</v>
      </c>
      <c r="E10" s="79">
        <v>45846.444822557867</v>
      </c>
      <c r="F10" s="78" t="s">
        <v>972</v>
      </c>
      <c r="G10" s="78" t="s">
        <v>259</v>
      </c>
      <c r="H10" s="87">
        <v>45678</v>
      </c>
      <c r="I10" s="85">
        <v>0.79166666666666674</v>
      </c>
      <c r="J10" s="88">
        <v>45679</v>
      </c>
      <c r="K10" s="89">
        <v>0.13125000000000001</v>
      </c>
      <c r="L10" s="87">
        <v>45679</v>
      </c>
      <c r="M10" s="85">
        <v>0.13255787037037037</v>
      </c>
      <c r="N10" s="78" t="s">
        <v>154</v>
      </c>
      <c r="O10" s="78"/>
      <c r="P10" s="78"/>
      <c r="Q10" s="78" t="s">
        <v>260</v>
      </c>
      <c r="R10" s="78" t="s">
        <v>251</v>
      </c>
      <c r="S10" s="80">
        <v>9</v>
      </c>
      <c r="T10" s="78" t="s">
        <v>261</v>
      </c>
      <c r="U10" s="80"/>
      <c r="V10" s="80"/>
      <c r="W10" s="78" t="s">
        <v>262</v>
      </c>
      <c r="X10" s="78" t="s">
        <v>159</v>
      </c>
      <c r="Y10" s="78" t="s">
        <v>263</v>
      </c>
      <c r="Z10" s="78" t="s">
        <v>161</v>
      </c>
      <c r="AA10" s="78"/>
      <c r="AB10" s="78"/>
      <c r="AC10" s="78"/>
      <c r="AD10" s="78"/>
      <c r="AE10" s="78" t="s">
        <v>964</v>
      </c>
      <c r="AF10" s="78" t="s">
        <v>931</v>
      </c>
      <c r="AG10" s="78" t="s">
        <v>265</v>
      </c>
      <c r="AH10" s="78" t="s">
        <v>164</v>
      </c>
      <c r="AI10" s="78" t="s">
        <v>228</v>
      </c>
      <c r="AJ10" s="78" t="s">
        <v>166</v>
      </c>
      <c r="AK10" s="78" t="s">
        <v>167</v>
      </c>
      <c r="AL10" s="80">
        <v>9</v>
      </c>
      <c r="AM10" s="81">
        <v>45678</v>
      </c>
      <c r="AN10" s="82">
        <v>0.79166666666666663</v>
      </c>
      <c r="AO10" s="82">
        <v>0.79166666666666663</v>
      </c>
      <c r="AP10" s="80" t="s">
        <v>266</v>
      </c>
      <c r="AQ10" s="78" t="s">
        <v>267</v>
      </c>
      <c r="AR10" s="80" t="s">
        <v>154</v>
      </c>
      <c r="AS10" s="93" t="s">
        <v>169</v>
      </c>
      <c r="AT10" s="78" t="s">
        <v>266</v>
      </c>
      <c r="AU10" s="92" t="s">
        <v>148</v>
      </c>
      <c r="AV10" s="92" t="s">
        <v>171</v>
      </c>
      <c r="AW10" s="93">
        <v>2025</v>
      </c>
      <c r="AX10" s="93">
        <v>4</v>
      </c>
      <c r="AY10" s="93">
        <v>21</v>
      </c>
      <c r="AZ10" s="78" t="s">
        <v>267</v>
      </c>
    </row>
    <row r="11" spans="1:52" x14ac:dyDescent="0.25">
      <c r="A11" s="78" t="s">
        <v>1109</v>
      </c>
      <c r="B11" s="78" t="s">
        <v>971</v>
      </c>
      <c r="C11" s="79">
        <v>45846.447755046298</v>
      </c>
      <c r="D11" s="79">
        <v>45846.444835451388</v>
      </c>
      <c r="E11" s="79">
        <v>45846.444822557867</v>
      </c>
      <c r="F11" s="78" t="s">
        <v>972</v>
      </c>
      <c r="G11" s="78" t="s">
        <v>268</v>
      </c>
      <c r="H11" s="87">
        <v>45679</v>
      </c>
      <c r="I11" s="85">
        <v>0.33333333333333326</v>
      </c>
      <c r="J11" s="88">
        <v>45679</v>
      </c>
      <c r="K11" s="89">
        <v>0.80069444444444449</v>
      </c>
      <c r="L11" s="87">
        <v>45679</v>
      </c>
      <c r="M11" s="85">
        <v>0.80203703703703699</v>
      </c>
      <c r="N11" s="78" t="s">
        <v>154</v>
      </c>
      <c r="O11" s="78"/>
      <c r="P11" s="78"/>
      <c r="Q11" s="78" t="s">
        <v>269</v>
      </c>
      <c r="R11" s="78" t="s">
        <v>270</v>
      </c>
      <c r="S11" s="80">
        <v>5</v>
      </c>
      <c r="T11" s="78" t="s">
        <v>271</v>
      </c>
      <c r="U11" s="80"/>
      <c r="V11" s="80"/>
      <c r="W11" s="78" t="s">
        <v>272</v>
      </c>
      <c r="X11" s="78" t="s">
        <v>947</v>
      </c>
      <c r="Y11" s="78" t="s">
        <v>274</v>
      </c>
      <c r="Z11" s="78" t="s">
        <v>161</v>
      </c>
      <c r="AA11" s="78"/>
      <c r="AB11" s="78"/>
      <c r="AC11" s="78"/>
      <c r="AD11" s="78"/>
      <c r="AE11" s="78" t="s">
        <v>953</v>
      </c>
      <c r="AF11" s="78" t="s">
        <v>931</v>
      </c>
      <c r="AG11" s="78" t="s">
        <v>265</v>
      </c>
      <c r="AH11" s="78" t="s">
        <v>164</v>
      </c>
      <c r="AI11" s="78" t="s">
        <v>275</v>
      </c>
      <c r="AJ11" s="78" t="s">
        <v>166</v>
      </c>
      <c r="AK11" s="78" t="s">
        <v>167</v>
      </c>
      <c r="AL11" s="80">
        <v>9</v>
      </c>
      <c r="AM11" s="81">
        <v>45679</v>
      </c>
      <c r="AN11" s="82">
        <v>0.33333333333333331</v>
      </c>
      <c r="AO11" s="82">
        <v>0.33333333333333331</v>
      </c>
      <c r="AP11" s="80" t="s">
        <v>276</v>
      </c>
      <c r="AQ11" s="78" t="s">
        <v>277</v>
      </c>
      <c r="AR11" s="80" t="s">
        <v>154</v>
      </c>
      <c r="AS11" s="93" t="s">
        <v>169</v>
      </c>
      <c r="AT11" s="78" t="s">
        <v>276</v>
      </c>
      <c r="AU11" s="92" t="s">
        <v>239</v>
      </c>
      <c r="AV11" s="92" t="s">
        <v>171</v>
      </c>
      <c r="AW11" s="93">
        <v>2025</v>
      </c>
      <c r="AX11" s="93">
        <v>4</v>
      </c>
      <c r="AY11" s="93">
        <v>22</v>
      </c>
      <c r="AZ11" s="78" t="s">
        <v>277</v>
      </c>
    </row>
    <row r="12" spans="1:52" x14ac:dyDescent="0.25">
      <c r="A12" s="78" t="s">
        <v>1109</v>
      </c>
      <c r="B12" s="78" t="s">
        <v>971</v>
      </c>
      <c r="C12" s="79">
        <v>45846.447755046298</v>
      </c>
      <c r="D12" s="79">
        <v>45846.444835451388</v>
      </c>
      <c r="E12" s="79">
        <v>45846.444822557867</v>
      </c>
      <c r="F12" s="78" t="s">
        <v>972</v>
      </c>
      <c r="G12" s="78" t="s">
        <v>278</v>
      </c>
      <c r="H12" s="87">
        <v>45680</v>
      </c>
      <c r="I12" s="85">
        <v>0.625</v>
      </c>
      <c r="J12" s="88"/>
      <c r="K12" s="89"/>
      <c r="L12" s="87">
        <v>45680</v>
      </c>
      <c r="M12" s="85">
        <v>0.66545138888888888</v>
      </c>
      <c r="N12" s="78" t="s">
        <v>136</v>
      </c>
      <c r="O12" s="78" t="s">
        <v>189</v>
      </c>
      <c r="P12" s="78"/>
      <c r="Q12" s="78" t="s">
        <v>279</v>
      </c>
      <c r="R12" s="78" t="s">
        <v>208</v>
      </c>
      <c r="S12" s="80">
        <v>8</v>
      </c>
      <c r="T12" s="78" t="s">
        <v>280</v>
      </c>
      <c r="U12" s="80"/>
      <c r="V12" s="80"/>
      <c r="W12" s="78"/>
      <c r="X12" s="78"/>
      <c r="Y12" s="78"/>
      <c r="Z12" s="78"/>
      <c r="AA12" s="78"/>
      <c r="AB12" s="78"/>
      <c r="AC12" s="78"/>
      <c r="AD12" s="78"/>
      <c r="AE12" s="78" t="s">
        <v>932</v>
      </c>
      <c r="AF12" s="78" t="s">
        <v>931</v>
      </c>
      <c r="AG12" s="78" t="s">
        <v>143</v>
      </c>
      <c r="AH12" s="78" t="s">
        <v>282</v>
      </c>
      <c r="AI12" s="78" t="s">
        <v>196</v>
      </c>
      <c r="AJ12" s="78" t="s">
        <v>283</v>
      </c>
      <c r="AK12" s="78"/>
      <c r="AL12" s="80">
        <v>9</v>
      </c>
      <c r="AM12" s="81">
        <v>45680</v>
      </c>
      <c r="AN12" s="82">
        <v>0.625</v>
      </c>
      <c r="AO12" s="82">
        <v>0.625</v>
      </c>
      <c r="AP12" s="80" t="s">
        <v>146</v>
      </c>
      <c r="AQ12" s="78" t="s">
        <v>285</v>
      </c>
      <c r="AR12" s="80" t="s">
        <v>284</v>
      </c>
      <c r="AS12" s="93" t="s">
        <v>169</v>
      </c>
      <c r="AT12" s="78" t="s">
        <v>146</v>
      </c>
      <c r="AU12" s="92" t="s">
        <v>247</v>
      </c>
      <c r="AV12" s="92" t="s">
        <v>171</v>
      </c>
      <c r="AW12" s="93">
        <v>2025</v>
      </c>
      <c r="AX12" s="93">
        <v>4</v>
      </c>
      <c r="AY12" s="93">
        <v>23</v>
      </c>
      <c r="AZ12" s="78" t="s">
        <v>285</v>
      </c>
    </row>
    <row r="13" spans="1:52" x14ac:dyDescent="0.25">
      <c r="A13" s="78" t="s">
        <v>1109</v>
      </c>
      <c r="B13" s="78" t="s">
        <v>971</v>
      </c>
      <c r="C13" s="79">
        <v>45846.447755046298</v>
      </c>
      <c r="D13" s="79">
        <v>45846.444835451388</v>
      </c>
      <c r="E13" s="79">
        <v>45846.444822557867</v>
      </c>
      <c r="F13" s="78" t="s">
        <v>972</v>
      </c>
      <c r="G13" s="78" t="s">
        <v>286</v>
      </c>
      <c r="H13" s="87">
        <v>45682</v>
      </c>
      <c r="I13" s="85">
        <v>0.45833333333333326</v>
      </c>
      <c r="J13" s="88">
        <v>45682</v>
      </c>
      <c r="K13" s="89">
        <v>0.58333333333333337</v>
      </c>
      <c r="L13" s="87">
        <v>45682</v>
      </c>
      <c r="M13" s="85">
        <v>0.58054398148148145</v>
      </c>
      <c r="N13" s="78" t="s">
        <v>242</v>
      </c>
      <c r="O13" s="78"/>
      <c r="P13" s="78"/>
      <c r="Q13" s="78" t="s">
        <v>287</v>
      </c>
      <c r="R13" s="78" t="s">
        <v>288</v>
      </c>
      <c r="S13" s="80">
        <v>5</v>
      </c>
      <c r="T13" s="78" t="s">
        <v>289</v>
      </c>
      <c r="U13" s="80"/>
      <c r="V13" s="80"/>
      <c r="W13" s="78"/>
      <c r="X13" s="78"/>
      <c r="Y13" s="78"/>
      <c r="Z13" s="78"/>
      <c r="AA13" s="78"/>
      <c r="AB13" s="78"/>
      <c r="AC13" s="78"/>
      <c r="AD13" s="78"/>
      <c r="AE13" s="78" t="s">
        <v>958</v>
      </c>
      <c r="AF13" s="78" t="s">
        <v>931</v>
      </c>
      <c r="AG13" s="78" t="s">
        <v>291</v>
      </c>
      <c r="AH13" s="78" t="s">
        <v>256</v>
      </c>
      <c r="AI13" s="78" t="s">
        <v>180</v>
      </c>
      <c r="AJ13" s="78" t="s">
        <v>166</v>
      </c>
      <c r="AK13" s="78" t="s">
        <v>246</v>
      </c>
      <c r="AL13" s="80">
        <v>9</v>
      </c>
      <c r="AM13" s="81">
        <v>45682</v>
      </c>
      <c r="AN13" s="82">
        <v>0.45833333333333331</v>
      </c>
      <c r="AO13" s="82">
        <v>0.45833333333333331</v>
      </c>
      <c r="AP13" s="80" t="s">
        <v>276</v>
      </c>
      <c r="AQ13" s="78" t="s">
        <v>293</v>
      </c>
      <c r="AR13" s="80" t="s">
        <v>242</v>
      </c>
      <c r="AS13" s="93" t="s">
        <v>169</v>
      </c>
      <c r="AT13" s="78" t="s">
        <v>276</v>
      </c>
      <c r="AU13" s="92" t="s">
        <v>292</v>
      </c>
      <c r="AV13" s="92" t="s">
        <v>171</v>
      </c>
      <c r="AW13" s="93">
        <v>2025</v>
      </c>
      <c r="AX13" s="93">
        <v>4</v>
      </c>
      <c r="AY13" s="93">
        <v>25</v>
      </c>
      <c r="AZ13" s="78" t="s">
        <v>293</v>
      </c>
    </row>
    <row r="14" spans="1:52" x14ac:dyDescent="0.25">
      <c r="A14" s="78" t="s">
        <v>1109</v>
      </c>
      <c r="B14" s="78" t="s">
        <v>971</v>
      </c>
      <c r="C14" s="79">
        <v>45846.447755046298</v>
      </c>
      <c r="D14" s="79">
        <v>45846.444835451388</v>
      </c>
      <c r="E14" s="79">
        <v>45846.444822557867</v>
      </c>
      <c r="F14" s="78" t="s">
        <v>972</v>
      </c>
      <c r="G14" s="78" t="s">
        <v>294</v>
      </c>
      <c r="H14" s="87">
        <v>45682</v>
      </c>
      <c r="I14" s="85">
        <v>0.76875000000000004</v>
      </c>
      <c r="J14" s="88"/>
      <c r="K14" s="89"/>
      <c r="L14" s="87">
        <v>45683</v>
      </c>
      <c r="M14" s="85">
        <v>0.44056712962962963</v>
      </c>
      <c r="N14" s="78" t="s">
        <v>174</v>
      </c>
      <c r="O14" s="78" t="s">
        <v>295</v>
      </c>
      <c r="P14" s="78"/>
      <c r="Q14" s="78" t="s">
        <v>296</v>
      </c>
      <c r="R14" s="78" t="s">
        <v>208</v>
      </c>
      <c r="S14" s="80">
        <v>8</v>
      </c>
      <c r="T14" s="78" t="s">
        <v>297</v>
      </c>
      <c r="U14" s="80"/>
      <c r="V14" s="80"/>
      <c r="W14" s="78" t="s">
        <v>974</v>
      </c>
      <c r="X14" s="78" t="s">
        <v>942</v>
      </c>
      <c r="Y14" s="78" t="s">
        <v>299</v>
      </c>
      <c r="Z14" s="78" t="s">
        <v>161</v>
      </c>
      <c r="AA14" s="78"/>
      <c r="AB14" s="78"/>
      <c r="AC14" s="78"/>
      <c r="AD14" s="78"/>
      <c r="AE14" s="78" t="s">
        <v>958</v>
      </c>
      <c r="AF14" s="78" t="s">
        <v>931</v>
      </c>
      <c r="AG14" s="78" t="s">
        <v>255</v>
      </c>
      <c r="AH14" s="78" t="s">
        <v>256</v>
      </c>
      <c r="AI14" s="78" t="s">
        <v>300</v>
      </c>
      <c r="AJ14" s="78" t="s">
        <v>301</v>
      </c>
      <c r="AK14" s="78" t="s">
        <v>182</v>
      </c>
      <c r="AL14" s="80">
        <v>9</v>
      </c>
      <c r="AM14" s="81">
        <v>45682</v>
      </c>
      <c r="AN14" s="82">
        <v>0.76875000000000004</v>
      </c>
      <c r="AO14" s="82">
        <v>0.75</v>
      </c>
      <c r="AP14" s="80" t="s">
        <v>266</v>
      </c>
      <c r="AQ14" s="78" t="s">
        <v>303</v>
      </c>
      <c r="AR14" s="80" t="s">
        <v>302</v>
      </c>
      <c r="AS14" s="93" t="s">
        <v>169</v>
      </c>
      <c r="AT14" s="78" t="s">
        <v>266</v>
      </c>
      <c r="AU14" s="92" t="s">
        <v>292</v>
      </c>
      <c r="AV14" s="92" t="s">
        <v>171</v>
      </c>
      <c r="AW14" s="93">
        <v>2025</v>
      </c>
      <c r="AX14" s="93">
        <v>4</v>
      </c>
      <c r="AY14" s="93">
        <v>25</v>
      </c>
      <c r="AZ14" s="78" t="s">
        <v>303</v>
      </c>
    </row>
    <row r="15" spans="1:52" x14ac:dyDescent="0.25">
      <c r="A15" s="78" t="s">
        <v>1109</v>
      </c>
      <c r="B15" s="78" t="s">
        <v>971</v>
      </c>
      <c r="C15" s="79">
        <v>45846.447755046298</v>
      </c>
      <c r="D15" s="79">
        <v>45846.444835451388</v>
      </c>
      <c r="E15" s="79">
        <v>45846.444822557867</v>
      </c>
      <c r="F15" s="78" t="s">
        <v>972</v>
      </c>
      <c r="G15" s="78" t="s">
        <v>304</v>
      </c>
      <c r="H15" s="87">
        <v>45683</v>
      </c>
      <c r="I15" s="85">
        <v>0.84027777777777768</v>
      </c>
      <c r="J15" s="88">
        <v>45683</v>
      </c>
      <c r="K15" s="89">
        <v>0.84652777777777777</v>
      </c>
      <c r="L15" s="87">
        <v>45683</v>
      </c>
      <c r="M15" s="85">
        <v>0.85009259259259262</v>
      </c>
      <c r="N15" s="78" t="s">
        <v>174</v>
      </c>
      <c r="O15" s="78" t="s">
        <v>295</v>
      </c>
      <c r="P15" s="78"/>
      <c r="Q15" s="78" t="s">
        <v>305</v>
      </c>
      <c r="R15" s="78" t="s">
        <v>138</v>
      </c>
      <c r="S15" s="80">
        <v>9</v>
      </c>
      <c r="T15" s="78" t="s">
        <v>306</v>
      </c>
      <c r="U15" s="80"/>
      <c r="V15" s="80"/>
      <c r="W15" s="78" t="s">
        <v>975</v>
      </c>
      <c r="X15" s="78" t="s">
        <v>942</v>
      </c>
      <c r="Y15" s="78" t="s">
        <v>308</v>
      </c>
      <c r="Z15" s="78" t="s">
        <v>976</v>
      </c>
      <c r="AA15" s="78"/>
      <c r="AB15" s="78"/>
      <c r="AC15" s="78"/>
      <c r="AD15" s="78"/>
      <c r="AE15" s="78" t="s">
        <v>934</v>
      </c>
      <c r="AF15" s="78" t="s">
        <v>931</v>
      </c>
      <c r="AG15" s="78" t="s">
        <v>309</v>
      </c>
      <c r="AH15" s="78" t="s">
        <v>142</v>
      </c>
      <c r="AI15" s="78" t="s">
        <v>310</v>
      </c>
      <c r="AJ15" s="78" t="s">
        <v>166</v>
      </c>
      <c r="AK15" s="78" t="s">
        <v>182</v>
      </c>
      <c r="AL15" s="80">
        <v>9</v>
      </c>
      <c r="AM15" s="81">
        <v>45683</v>
      </c>
      <c r="AN15" s="82">
        <v>0.84027777777777779</v>
      </c>
      <c r="AO15" s="82">
        <v>0.83333333333333337</v>
      </c>
      <c r="AP15" s="80" t="s">
        <v>168</v>
      </c>
      <c r="AQ15" s="78" t="s">
        <v>312</v>
      </c>
      <c r="AR15" s="80" t="s">
        <v>302</v>
      </c>
      <c r="AS15" s="93" t="s">
        <v>169</v>
      </c>
      <c r="AT15" s="78" t="s">
        <v>168</v>
      </c>
      <c r="AU15" s="92" t="s">
        <v>311</v>
      </c>
      <c r="AV15" s="92" t="s">
        <v>171</v>
      </c>
      <c r="AW15" s="93">
        <v>2025</v>
      </c>
      <c r="AX15" s="93">
        <v>5</v>
      </c>
      <c r="AY15" s="93">
        <v>26</v>
      </c>
      <c r="AZ15" s="78" t="s">
        <v>312</v>
      </c>
    </row>
    <row r="16" spans="1:52" x14ac:dyDescent="0.25">
      <c r="A16" s="78" t="s">
        <v>1109</v>
      </c>
      <c r="B16" s="78" t="s">
        <v>971</v>
      </c>
      <c r="C16" s="79">
        <v>45846.447755046298</v>
      </c>
      <c r="D16" s="79">
        <v>45846.444835451388</v>
      </c>
      <c r="E16" s="79">
        <v>45846.444822557867</v>
      </c>
      <c r="F16" s="78" t="s">
        <v>972</v>
      </c>
      <c r="G16" s="78" t="s">
        <v>313</v>
      </c>
      <c r="H16" s="87">
        <v>45685</v>
      </c>
      <c r="I16" s="85">
        <v>0.625</v>
      </c>
      <c r="J16" s="88">
        <v>45686</v>
      </c>
      <c r="K16" s="89">
        <v>0.91736111111111107</v>
      </c>
      <c r="L16" s="87">
        <v>45686</v>
      </c>
      <c r="M16" s="85">
        <v>0.91833333333333333</v>
      </c>
      <c r="N16" s="78" t="s">
        <v>154</v>
      </c>
      <c r="O16" s="78" t="s">
        <v>295</v>
      </c>
      <c r="P16" s="78"/>
      <c r="Q16" s="78" t="s">
        <v>314</v>
      </c>
      <c r="R16" s="78" t="s">
        <v>315</v>
      </c>
      <c r="S16" s="80">
        <v>6</v>
      </c>
      <c r="T16" s="78" t="s">
        <v>316</v>
      </c>
      <c r="U16" s="80"/>
      <c r="V16" s="80"/>
      <c r="W16" s="78" t="s">
        <v>977</v>
      </c>
      <c r="X16" s="78" t="s">
        <v>978</v>
      </c>
      <c r="Y16" s="78" t="s">
        <v>319</v>
      </c>
      <c r="Z16" s="78" t="s">
        <v>161</v>
      </c>
      <c r="AA16" s="78"/>
      <c r="AB16" s="78"/>
      <c r="AC16" s="78"/>
      <c r="AD16" s="78"/>
      <c r="AE16" s="78" t="s">
        <v>979</v>
      </c>
      <c r="AF16" s="78" t="s">
        <v>931</v>
      </c>
      <c r="AG16" s="78" t="s">
        <v>265</v>
      </c>
      <c r="AH16" s="78" t="s">
        <v>164</v>
      </c>
      <c r="AI16" s="78" t="s">
        <v>180</v>
      </c>
      <c r="AJ16" s="78" t="s">
        <v>320</v>
      </c>
      <c r="AK16" s="78" t="s">
        <v>167</v>
      </c>
      <c r="AL16" s="80">
        <v>9</v>
      </c>
      <c r="AM16" s="81">
        <v>45685</v>
      </c>
      <c r="AN16" s="82">
        <v>0.625</v>
      </c>
      <c r="AO16" s="82">
        <v>0.625</v>
      </c>
      <c r="AP16" s="80" t="s">
        <v>146</v>
      </c>
      <c r="AQ16" s="78" t="s">
        <v>322</v>
      </c>
      <c r="AR16" s="80" t="s">
        <v>321</v>
      </c>
      <c r="AS16" s="93" t="s">
        <v>169</v>
      </c>
      <c r="AT16" s="78" t="s">
        <v>146</v>
      </c>
      <c r="AU16" s="92" t="s">
        <v>148</v>
      </c>
      <c r="AV16" s="92" t="s">
        <v>171</v>
      </c>
      <c r="AW16" s="93">
        <v>2025</v>
      </c>
      <c r="AX16" s="93">
        <v>5</v>
      </c>
      <c r="AY16" s="93">
        <v>28</v>
      </c>
      <c r="AZ16" s="78" t="s">
        <v>322</v>
      </c>
    </row>
    <row r="17" spans="1:52" x14ac:dyDescent="0.25">
      <c r="A17" s="78" t="s">
        <v>1109</v>
      </c>
      <c r="B17" s="78" t="s">
        <v>971</v>
      </c>
      <c r="C17" s="79">
        <v>45846.447755046298</v>
      </c>
      <c r="D17" s="79">
        <v>45846.444835451388</v>
      </c>
      <c r="E17" s="79">
        <v>45846.444822557867</v>
      </c>
      <c r="F17" s="78" t="s">
        <v>972</v>
      </c>
      <c r="G17" s="78" t="s">
        <v>323</v>
      </c>
      <c r="H17" s="87">
        <v>45688</v>
      </c>
      <c r="I17" s="85">
        <v>0.49988425925925917</v>
      </c>
      <c r="J17" s="88"/>
      <c r="K17" s="89"/>
      <c r="L17" s="87">
        <v>45688</v>
      </c>
      <c r="M17" s="85">
        <v>0.49988425925925928</v>
      </c>
      <c r="N17" s="78" t="s">
        <v>242</v>
      </c>
      <c r="O17" s="78"/>
      <c r="P17" s="78"/>
      <c r="Q17" s="78" t="s">
        <v>324</v>
      </c>
      <c r="R17" s="78" t="s">
        <v>325</v>
      </c>
      <c r="S17" s="80">
        <v>8</v>
      </c>
      <c r="T17" s="78" t="s">
        <v>326</v>
      </c>
      <c r="U17" s="80"/>
      <c r="V17" s="80"/>
      <c r="W17" s="78"/>
      <c r="X17" s="78"/>
      <c r="Y17" s="78"/>
      <c r="Z17" s="78"/>
      <c r="AA17" s="78"/>
      <c r="AB17" s="78"/>
      <c r="AC17" s="78"/>
      <c r="AD17" s="78"/>
      <c r="AE17" s="78" t="s">
        <v>950</v>
      </c>
      <c r="AF17" s="78" t="s">
        <v>931</v>
      </c>
      <c r="AG17" s="78" t="s">
        <v>327</v>
      </c>
      <c r="AH17" s="78" t="s">
        <v>328</v>
      </c>
      <c r="AI17" s="78" t="s">
        <v>228</v>
      </c>
      <c r="AJ17" s="78" t="s">
        <v>166</v>
      </c>
      <c r="AK17" s="78" t="s">
        <v>246</v>
      </c>
      <c r="AL17" s="80">
        <v>9</v>
      </c>
      <c r="AM17" s="81">
        <v>45688</v>
      </c>
      <c r="AN17" s="82">
        <v>0.49988425925925928</v>
      </c>
      <c r="AO17" s="82">
        <v>0.45833333333333331</v>
      </c>
      <c r="AP17" s="80" t="s">
        <v>276</v>
      </c>
      <c r="AQ17" s="78" t="s">
        <v>329</v>
      </c>
      <c r="AR17" s="80" t="s">
        <v>242</v>
      </c>
      <c r="AS17" s="93" t="s">
        <v>169</v>
      </c>
      <c r="AT17" s="78" t="s">
        <v>276</v>
      </c>
      <c r="AU17" s="92" t="s">
        <v>170</v>
      </c>
      <c r="AV17" s="92" t="s">
        <v>171</v>
      </c>
      <c r="AW17" s="93">
        <v>2025</v>
      </c>
      <c r="AX17" s="93">
        <v>5</v>
      </c>
      <c r="AY17" s="93">
        <v>31</v>
      </c>
      <c r="AZ17" s="78" t="s">
        <v>329</v>
      </c>
    </row>
    <row r="18" spans="1:52" x14ac:dyDescent="0.25">
      <c r="A18" s="78" t="s">
        <v>1109</v>
      </c>
      <c r="B18" s="78" t="s">
        <v>971</v>
      </c>
      <c r="C18" s="79">
        <v>45846.447755046298</v>
      </c>
      <c r="D18" s="79">
        <v>45846.444835451388</v>
      </c>
      <c r="E18" s="79">
        <v>45846.444822557867</v>
      </c>
      <c r="F18" s="78" t="s">
        <v>972</v>
      </c>
      <c r="G18" s="78" t="s">
        <v>336</v>
      </c>
      <c r="H18" s="87">
        <v>45689</v>
      </c>
      <c r="I18" s="85">
        <v>4.1666666666666741E-2</v>
      </c>
      <c r="J18" s="88"/>
      <c r="K18" s="89">
        <v>0.10416666666666667</v>
      </c>
      <c r="L18" s="87">
        <v>45689</v>
      </c>
      <c r="M18" s="85">
        <v>0.11982638888888889</v>
      </c>
      <c r="N18" s="78" t="s">
        <v>154</v>
      </c>
      <c r="O18" s="78"/>
      <c r="P18" s="78"/>
      <c r="Q18" s="78" t="s">
        <v>337</v>
      </c>
      <c r="R18" s="78" t="s">
        <v>338</v>
      </c>
      <c r="S18" s="80">
        <v>6</v>
      </c>
      <c r="T18" s="78" t="s">
        <v>339</v>
      </c>
      <c r="U18" s="80"/>
      <c r="V18" s="80"/>
      <c r="W18" s="78" t="s">
        <v>980</v>
      </c>
      <c r="X18" s="78" t="s">
        <v>981</v>
      </c>
      <c r="Y18" s="78" t="s">
        <v>342</v>
      </c>
      <c r="Z18" s="78" t="s">
        <v>161</v>
      </c>
      <c r="AA18" s="78"/>
      <c r="AB18" s="78"/>
      <c r="AC18" s="78"/>
      <c r="AD18" s="78"/>
      <c r="AE18" s="78" t="s">
        <v>953</v>
      </c>
      <c r="AF18" s="78" t="s">
        <v>931</v>
      </c>
      <c r="AG18" s="78" t="s">
        <v>265</v>
      </c>
      <c r="AH18" s="78" t="s">
        <v>164</v>
      </c>
      <c r="AI18" s="78" t="s">
        <v>275</v>
      </c>
      <c r="AJ18" s="78" t="s">
        <v>166</v>
      </c>
      <c r="AK18" s="78" t="s">
        <v>167</v>
      </c>
      <c r="AL18" s="80">
        <v>9</v>
      </c>
      <c r="AM18" s="81">
        <v>45689</v>
      </c>
      <c r="AN18" s="82">
        <v>4.1666666666666664E-2</v>
      </c>
      <c r="AO18" s="82">
        <v>4.1666666666666664E-2</v>
      </c>
      <c r="AP18" s="80" t="s">
        <v>343</v>
      </c>
      <c r="AQ18" s="78" t="s">
        <v>345</v>
      </c>
      <c r="AR18" s="80" t="s">
        <v>154</v>
      </c>
      <c r="AS18" s="93" t="s">
        <v>169</v>
      </c>
      <c r="AT18" s="78" t="s">
        <v>343</v>
      </c>
      <c r="AU18" s="92" t="s">
        <v>292</v>
      </c>
      <c r="AV18" s="92" t="s">
        <v>344</v>
      </c>
      <c r="AW18" s="93">
        <v>2025</v>
      </c>
      <c r="AX18" s="93">
        <v>5</v>
      </c>
      <c r="AY18" s="93">
        <v>1</v>
      </c>
      <c r="AZ18" s="78" t="s">
        <v>345</v>
      </c>
    </row>
    <row r="19" spans="1:52" x14ac:dyDescent="0.25">
      <c r="A19" s="78" t="s">
        <v>1109</v>
      </c>
      <c r="B19" s="78" t="s">
        <v>971</v>
      </c>
      <c r="C19" s="79">
        <v>45846.447755046298</v>
      </c>
      <c r="D19" s="79">
        <v>45846.444835451388</v>
      </c>
      <c r="E19" s="79">
        <v>45846.444822557867</v>
      </c>
      <c r="F19" s="78" t="s">
        <v>972</v>
      </c>
      <c r="G19" s="78" t="s">
        <v>346</v>
      </c>
      <c r="H19" s="87">
        <v>45690</v>
      </c>
      <c r="I19" s="85">
        <v>0.72569444444444442</v>
      </c>
      <c r="J19" s="88">
        <v>45690</v>
      </c>
      <c r="K19" s="89">
        <v>0.75</v>
      </c>
      <c r="L19" s="87">
        <v>45691</v>
      </c>
      <c r="M19" s="85">
        <v>0.50143518518518515</v>
      </c>
      <c r="N19" s="78" t="s">
        <v>347</v>
      </c>
      <c r="O19" s="78" t="s">
        <v>206</v>
      </c>
      <c r="P19" s="78"/>
      <c r="Q19" s="78" t="s">
        <v>348</v>
      </c>
      <c r="R19" s="78" t="s">
        <v>288</v>
      </c>
      <c r="S19" s="80">
        <v>5</v>
      </c>
      <c r="T19" s="78" t="s">
        <v>349</v>
      </c>
      <c r="U19" s="80"/>
      <c r="V19" s="80"/>
      <c r="W19" s="78"/>
      <c r="X19" s="78"/>
      <c r="Y19" s="78"/>
      <c r="Z19" s="78"/>
      <c r="AA19" s="78"/>
      <c r="AB19" s="78"/>
      <c r="AC19" s="78"/>
      <c r="AD19" s="78"/>
      <c r="AE19" s="78" t="s">
        <v>934</v>
      </c>
      <c r="AF19" s="78" t="s">
        <v>931</v>
      </c>
      <c r="AG19" s="78" t="s">
        <v>309</v>
      </c>
      <c r="AH19" s="78" t="s">
        <v>142</v>
      </c>
      <c r="AI19" s="78" t="s">
        <v>350</v>
      </c>
      <c r="AJ19" s="78" t="s">
        <v>301</v>
      </c>
      <c r="AK19" s="78"/>
      <c r="AL19" s="80">
        <v>9</v>
      </c>
      <c r="AM19" s="81">
        <v>45690</v>
      </c>
      <c r="AN19" s="82">
        <v>0.72569444444444442</v>
      </c>
      <c r="AO19" s="82">
        <v>0.70833333333333337</v>
      </c>
      <c r="AP19" s="80" t="s">
        <v>266</v>
      </c>
      <c r="AQ19" s="78" t="s">
        <v>352</v>
      </c>
      <c r="AR19" s="80" t="s">
        <v>351</v>
      </c>
      <c r="AS19" s="93" t="s">
        <v>169</v>
      </c>
      <c r="AT19" s="78" t="s">
        <v>266</v>
      </c>
      <c r="AU19" s="92" t="s">
        <v>311</v>
      </c>
      <c r="AV19" s="92" t="s">
        <v>344</v>
      </c>
      <c r="AW19" s="93">
        <v>2025</v>
      </c>
      <c r="AX19" s="93">
        <v>6</v>
      </c>
      <c r="AY19" s="93">
        <v>2</v>
      </c>
      <c r="AZ19" s="78" t="s">
        <v>352</v>
      </c>
    </row>
    <row r="20" spans="1:52" x14ac:dyDescent="0.25">
      <c r="A20" s="78" t="s">
        <v>1109</v>
      </c>
      <c r="B20" s="78" t="s">
        <v>971</v>
      </c>
      <c r="C20" s="79">
        <v>45846.447755046298</v>
      </c>
      <c r="D20" s="79">
        <v>45846.444835451388</v>
      </c>
      <c r="E20" s="79">
        <v>45846.444822557867</v>
      </c>
      <c r="F20" s="78" t="s">
        <v>972</v>
      </c>
      <c r="G20" s="78" t="s">
        <v>353</v>
      </c>
      <c r="H20" s="87"/>
      <c r="I20" s="85"/>
      <c r="J20" s="88"/>
      <c r="K20" s="89"/>
      <c r="L20" s="87">
        <v>45691</v>
      </c>
      <c r="M20" s="85">
        <v>0.694849537037037</v>
      </c>
      <c r="N20" s="78" t="s">
        <v>206</v>
      </c>
      <c r="O20" s="78"/>
      <c r="P20" s="78"/>
      <c r="Q20" s="78" t="s">
        <v>354</v>
      </c>
      <c r="R20" s="78" t="s">
        <v>221</v>
      </c>
      <c r="S20" s="80">
        <v>9</v>
      </c>
      <c r="T20" s="78" t="s">
        <v>355</v>
      </c>
      <c r="U20" s="80"/>
      <c r="V20" s="80"/>
      <c r="W20" s="78"/>
      <c r="X20" s="78"/>
      <c r="Y20" s="78"/>
      <c r="Z20" s="78"/>
      <c r="AA20" s="78"/>
      <c r="AB20" s="78"/>
      <c r="AC20" s="78"/>
      <c r="AD20" s="78"/>
      <c r="AE20" s="78" t="s">
        <v>958</v>
      </c>
      <c r="AF20" s="78" t="s">
        <v>931</v>
      </c>
      <c r="AG20" s="78" t="s">
        <v>245</v>
      </c>
      <c r="AH20" s="78" t="s">
        <v>142</v>
      </c>
      <c r="AI20" s="78" t="s">
        <v>310</v>
      </c>
      <c r="AJ20" s="78" t="s">
        <v>166</v>
      </c>
      <c r="AK20" s="78" t="s">
        <v>213</v>
      </c>
      <c r="AL20" s="80">
        <v>9</v>
      </c>
      <c r="AM20" s="81">
        <v>45691</v>
      </c>
      <c r="AN20" s="82">
        <v>0.694849537037037</v>
      </c>
      <c r="AO20" s="82">
        <v>0.66666666666666663</v>
      </c>
      <c r="AP20" s="80" t="s">
        <v>266</v>
      </c>
      <c r="AQ20" s="78" t="s">
        <v>230</v>
      </c>
      <c r="AR20" s="80" t="s">
        <v>206</v>
      </c>
      <c r="AS20" s="93" t="s">
        <v>169</v>
      </c>
      <c r="AT20" s="78" t="s">
        <v>266</v>
      </c>
      <c r="AU20" s="92" t="s">
        <v>183</v>
      </c>
      <c r="AV20" s="92" t="s">
        <v>344</v>
      </c>
      <c r="AW20" s="93">
        <v>2025</v>
      </c>
      <c r="AX20" s="93">
        <v>6</v>
      </c>
      <c r="AY20" s="93">
        <v>3</v>
      </c>
      <c r="AZ20" s="78" t="s">
        <v>230</v>
      </c>
    </row>
    <row r="21" spans="1:52" x14ac:dyDescent="0.25">
      <c r="A21" s="78" t="s">
        <v>1109</v>
      </c>
      <c r="B21" s="78" t="s">
        <v>971</v>
      </c>
      <c r="C21" s="79">
        <v>45846.447755046298</v>
      </c>
      <c r="D21" s="79">
        <v>45846.444835451388</v>
      </c>
      <c r="E21" s="79">
        <v>45846.444822557867</v>
      </c>
      <c r="F21" s="78" t="s">
        <v>972</v>
      </c>
      <c r="G21" s="78" t="s">
        <v>356</v>
      </c>
      <c r="H21" s="87">
        <v>45691</v>
      </c>
      <c r="I21" s="85">
        <v>0.77083333333333326</v>
      </c>
      <c r="J21" s="88">
        <v>45692</v>
      </c>
      <c r="K21" s="89">
        <v>0.79166666666666663</v>
      </c>
      <c r="L21" s="87">
        <v>45692</v>
      </c>
      <c r="M21" s="85">
        <v>0.53023148148148147</v>
      </c>
      <c r="N21" s="78" t="s">
        <v>154</v>
      </c>
      <c r="O21" s="78"/>
      <c r="P21" s="78"/>
      <c r="Q21" s="78" t="s">
        <v>357</v>
      </c>
      <c r="R21" s="78" t="s">
        <v>358</v>
      </c>
      <c r="S21" s="80">
        <v>8</v>
      </c>
      <c r="T21" s="78" t="s">
        <v>359</v>
      </c>
      <c r="U21" s="80"/>
      <c r="V21" s="80"/>
      <c r="W21" s="78" t="s">
        <v>982</v>
      </c>
      <c r="X21" s="78" t="s">
        <v>361</v>
      </c>
      <c r="Y21" s="78" t="s">
        <v>983</v>
      </c>
      <c r="Z21" s="78" t="s">
        <v>363</v>
      </c>
      <c r="AA21" s="78"/>
      <c r="AB21" s="78"/>
      <c r="AC21" s="78"/>
      <c r="AD21" s="78"/>
      <c r="AE21" s="78" t="s">
        <v>934</v>
      </c>
      <c r="AF21" s="78" t="s">
        <v>931</v>
      </c>
      <c r="AG21" s="78" t="s">
        <v>309</v>
      </c>
      <c r="AH21" s="78" t="s">
        <v>142</v>
      </c>
      <c r="AI21" s="78" t="s">
        <v>180</v>
      </c>
      <c r="AJ21" s="78" t="s">
        <v>364</v>
      </c>
      <c r="AK21" s="78" t="s">
        <v>167</v>
      </c>
      <c r="AL21" s="80">
        <v>9</v>
      </c>
      <c r="AM21" s="81">
        <v>45691</v>
      </c>
      <c r="AN21" s="82">
        <v>0.77083333333333337</v>
      </c>
      <c r="AO21" s="82">
        <v>0.75</v>
      </c>
      <c r="AP21" s="80" t="s">
        <v>266</v>
      </c>
      <c r="AQ21" s="78" t="s">
        <v>365</v>
      </c>
      <c r="AR21" s="80" t="s">
        <v>154</v>
      </c>
      <c r="AS21" s="93" t="s">
        <v>169</v>
      </c>
      <c r="AT21" s="78" t="s">
        <v>266</v>
      </c>
      <c r="AU21" s="92" t="s">
        <v>183</v>
      </c>
      <c r="AV21" s="92" t="s">
        <v>344</v>
      </c>
      <c r="AW21" s="93">
        <v>2025</v>
      </c>
      <c r="AX21" s="93">
        <v>6</v>
      </c>
      <c r="AY21" s="93">
        <v>3</v>
      </c>
      <c r="AZ21" s="78" t="s">
        <v>365</v>
      </c>
    </row>
    <row r="22" spans="1:52" x14ac:dyDescent="0.25">
      <c r="A22" s="78" t="s">
        <v>1109</v>
      </c>
      <c r="B22" s="78" t="s">
        <v>971</v>
      </c>
      <c r="C22" s="79">
        <v>45846.447755046298</v>
      </c>
      <c r="D22" s="79">
        <v>45846.444835451388</v>
      </c>
      <c r="E22" s="79">
        <v>45846.444822557867</v>
      </c>
      <c r="F22" s="78" t="s">
        <v>972</v>
      </c>
      <c r="G22" s="78" t="s">
        <v>366</v>
      </c>
      <c r="H22" s="87">
        <v>45693</v>
      </c>
      <c r="I22" s="85">
        <v>0.12291666666666656</v>
      </c>
      <c r="J22" s="88"/>
      <c r="K22" s="89"/>
      <c r="L22" s="87">
        <v>45693</v>
      </c>
      <c r="M22" s="85">
        <v>0.1233912037037037</v>
      </c>
      <c r="N22" s="78" t="s">
        <v>367</v>
      </c>
      <c r="O22" s="78" t="s">
        <v>368</v>
      </c>
      <c r="P22" s="78"/>
      <c r="Q22" s="78" t="s">
        <v>369</v>
      </c>
      <c r="R22" s="78" t="s">
        <v>325</v>
      </c>
      <c r="S22" s="80">
        <v>8</v>
      </c>
      <c r="T22" s="78" t="s">
        <v>370</v>
      </c>
      <c r="U22" s="80"/>
      <c r="V22" s="80"/>
      <c r="W22" s="78"/>
      <c r="X22" s="78"/>
      <c r="Y22" s="78"/>
      <c r="Z22" s="78"/>
      <c r="AA22" s="78"/>
      <c r="AB22" s="78"/>
      <c r="AC22" s="78"/>
      <c r="AD22" s="78"/>
      <c r="AE22" s="78" t="s">
        <v>953</v>
      </c>
      <c r="AF22" s="78" t="s">
        <v>931</v>
      </c>
      <c r="AG22" s="78" t="s">
        <v>371</v>
      </c>
      <c r="AH22" s="78" t="s">
        <v>256</v>
      </c>
      <c r="AI22" s="78" t="s">
        <v>372</v>
      </c>
      <c r="AJ22" s="78" t="s">
        <v>181</v>
      </c>
      <c r="AK22" s="78" t="s">
        <v>246</v>
      </c>
      <c r="AL22" s="80">
        <v>9</v>
      </c>
      <c r="AM22" s="81">
        <v>45693</v>
      </c>
      <c r="AN22" s="82">
        <v>0.12291666666666666</v>
      </c>
      <c r="AO22" s="82">
        <v>8.3333333333333329E-2</v>
      </c>
      <c r="AP22" s="80" t="s">
        <v>343</v>
      </c>
      <c r="AQ22" s="78" t="s">
        <v>374</v>
      </c>
      <c r="AR22" s="80" t="s">
        <v>373</v>
      </c>
      <c r="AS22" s="93" t="s">
        <v>169</v>
      </c>
      <c r="AT22" s="78" t="s">
        <v>343</v>
      </c>
      <c r="AU22" s="92" t="s">
        <v>239</v>
      </c>
      <c r="AV22" s="92" t="s">
        <v>344</v>
      </c>
      <c r="AW22" s="93">
        <v>2025</v>
      </c>
      <c r="AX22" s="93">
        <v>6</v>
      </c>
      <c r="AY22" s="93">
        <v>5</v>
      </c>
      <c r="AZ22" s="78" t="s">
        <v>374</v>
      </c>
    </row>
    <row r="23" spans="1:52" x14ac:dyDescent="0.25">
      <c r="A23" s="78" t="s">
        <v>1109</v>
      </c>
      <c r="B23" s="78" t="s">
        <v>971</v>
      </c>
      <c r="C23" s="79">
        <v>45846.447755046298</v>
      </c>
      <c r="D23" s="79">
        <v>45846.444835451388</v>
      </c>
      <c r="E23" s="79">
        <v>45846.444822557867</v>
      </c>
      <c r="F23" s="78" t="s">
        <v>972</v>
      </c>
      <c r="G23" s="78" t="s">
        <v>376</v>
      </c>
      <c r="H23" s="87">
        <v>45695</v>
      </c>
      <c r="I23" s="85">
        <v>0.27430555555555558</v>
      </c>
      <c r="J23" s="88">
        <v>45695</v>
      </c>
      <c r="K23" s="89">
        <v>0.28472222222222221</v>
      </c>
      <c r="L23" s="87">
        <v>45695</v>
      </c>
      <c r="M23" s="85">
        <v>0.30738425925925927</v>
      </c>
      <c r="N23" s="78" t="s">
        <v>154</v>
      </c>
      <c r="O23" s="78"/>
      <c r="P23" s="78"/>
      <c r="Q23" s="78" t="s">
        <v>377</v>
      </c>
      <c r="R23" s="78" t="s">
        <v>378</v>
      </c>
      <c r="S23" s="80">
        <v>5</v>
      </c>
      <c r="T23" s="78" t="s">
        <v>379</v>
      </c>
      <c r="U23" s="80"/>
      <c r="V23" s="80"/>
      <c r="W23" s="78" t="s">
        <v>984</v>
      </c>
      <c r="X23" s="78" t="s">
        <v>985</v>
      </c>
      <c r="Y23" s="78" t="s">
        <v>382</v>
      </c>
      <c r="Z23" s="78" t="s">
        <v>161</v>
      </c>
      <c r="AA23" s="78"/>
      <c r="AB23" s="78"/>
      <c r="AC23" s="78"/>
      <c r="AD23" s="78"/>
      <c r="AE23" s="78" t="s">
        <v>953</v>
      </c>
      <c r="AF23" s="78" t="s">
        <v>931</v>
      </c>
      <c r="AG23" s="78" t="s">
        <v>383</v>
      </c>
      <c r="AH23" s="78" t="s">
        <v>384</v>
      </c>
      <c r="AI23" s="78" t="s">
        <v>350</v>
      </c>
      <c r="AJ23" s="78" t="s">
        <v>301</v>
      </c>
      <c r="AK23" s="78" t="s">
        <v>167</v>
      </c>
      <c r="AL23" s="80">
        <v>9</v>
      </c>
      <c r="AM23" s="81">
        <v>45695</v>
      </c>
      <c r="AN23" s="82">
        <v>0.27430555555555558</v>
      </c>
      <c r="AO23" s="82">
        <v>0.25</v>
      </c>
      <c r="AP23" s="80" t="s">
        <v>385</v>
      </c>
      <c r="AQ23" s="78" t="s">
        <v>352</v>
      </c>
      <c r="AR23" s="80" t="s">
        <v>154</v>
      </c>
      <c r="AS23" s="93" t="s">
        <v>169</v>
      </c>
      <c r="AT23" s="78" t="s">
        <v>385</v>
      </c>
      <c r="AU23" s="92" t="s">
        <v>170</v>
      </c>
      <c r="AV23" s="92" t="s">
        <v>344</v>
      </c>
      <c r="AW23" s="93">
        <v>2025</v>
      </c>
      <c r="AX23" s="93">
        <v>6</v>
      </c>
      <c r="AY23" s="93">
        <v>7</v>
      </c>
      <c r="AZ23" s="78" t="s">
        <v>352</v>
      </c>
    </row>
    <row r="24" spans="1:52" x14ac:dyDescent="0.25">
      <c r="A24" s="78" t="s">
        <v>1109</v>
      </c>
      <c r="B24" s="78" t="s">
        <v>971</v>
      </c>
      <c r="C24" s="79">
        <v>45846.447755046298</v>
      </c>
      <c r="D24" s="79">
        <v>45846.444835451388</v>
      </c>
      <c r="E24" s="79">
        <v>45846.444822557867</v>
      </c>
      <c r="F24" s="78" t="s">
        <v>972</v>
      </c>
      <c r="G24" s="78" t="s">
        <v>330</v>
      </c>
      <c r="H24" s="87">
        <v>45688</v>
      </c>
      <c r="I24" s="85">
        <v>0.5</v>
      </c>
      <c r="J24" s="88">
        <v>45695</v>
      </c>
      <c r="K24" s="89">
        <v>0.54166666666666663</v>
      </c>
      <c r="L24" s="87">
        <v>45696</v>
      </c>
      <c r="M24" s="85">
        <v>0.3903240740740741</v>
      </c>
      <c r="N24" s="78" t="s">
        <v>154</v>
      </c>
      <c r="O24" s="78"/>
      <c r="P24" s="78"/>
      <c r="Q24" s="78" t="s">
        <v>331</v>
      </c>
      <c r="R24" s="78" t="s">
        <v>270</v>
      </c>
      <c r="S24" s="80">
        <v>5</v>
      </c>
      <c r="T24" s="78" t="s">
        <v>332</v>
      </c>
      <c r="U24" s="80"/>
      <c r="V24" s="80"/>
      <c r="W24" s="78" t="s">
        <v>986</v>
      </c>
      <c r="X24" s="78"/>
      <c r="Y24" s="78" t="s">
        <v>236</v>
      </c>
      <c r="Z24" s="78" t="s">
        <v>976</v>
      </c>
      <c r="AA24" s="78"/>
      <c r="AB24" s="78"/>
      <c r="AC24" s="78"/>
      <c r="AD24" s="78"/>
      <c r="AE24" s="78" t="s">
        <v>953</v>
      </c>
      <c r="AF24" s="78" t="s">
        <v>931</v>
      </c>
      <c r="AG24" s="78" t="s">
        <v>334</v>
      </c>
      <c r="AH24" s="78" t="s">
        <v>164</v>
      </c>
      <c r="AI24" s="78" t="s">
        <v>310</v>
      </c>
      <c r="AJ24" s="78" t="s">
        <v>166</v>
      </c>
      <c r="AK24" s="78" t="s">
        <v>167</v>
      </c>
      <c r="AL24" s="80">
        <v>9</v>
      </c>
      <c r="AM24" s="81">
        <v>45688</v>
      </c>
      <c r="AN24" s="82">
        <v>0.5</v>
      </c>
      <c r="AO24" s="82">
        <v>0.5</v>
      </c>
      <c r="AP24" s="80" t="s">
        <v>146</v>
      </c>
      <c r="AQ24" s="78" t="s">
        <v>335</v>
      </c>
      <c r="AR24" s="80" t="s">
        <v>154</v>
      </c>
      <c r="AS24" s="93" t="s">
        <v>169</v>
      </c>
      <c r="AT24" s="78" t="s">
        <v>146</v>
      </c>
      <c r="AU24" s="92" t="s">
        <v>170</v>
      </c>
      <c r="AV24" s="92" t="s">
        <v>171</v>
      </c>
      <c r="AW24" s="93">
        <v>2025</v>
      </c>
      <c r="AX24" s="93">
        <v>5</v>
      </c>
      <c r="AY24" s="93">
        <v>31</v>
      </c>
      <c r="AZ24" s="78" t="s">
        <v>335</v>
      </c>
    </row>
    <row r="25" spans="1:52" x14ac:dyDescent="0.25">
      <c r="A25" s="78" t="s">
        <v>1109</v>
      </c>
      <c r="B25" s="78" t="s">
        <v>971</v>
      </c>
      <c r="C25" s="79">
        <v>45846.447755046298</v>
      </c>
      <c r="D25" s="79">
        <v>45846.444835451388</v>
      </c>
      <c r="E25" s="79">
        <v>45846.444822557867</v>
      </c>
      <c r="F25" s="78" t="s">
        <v>972</v>
      </c>
      <c r="G25" s="78" t="s">
        <v>386</v>
      </c>
      <c r="H25" s="87">
        <v>45701</v>
      </c>
      <c r="I25" s="85">
        <v>8.3333333333333259E-2</v>
      </c>
      <c r="J25" s="88"/>
      <c r="K25" s="89"/>
      <c r="L25" s="87">
        <v>45701</v>
      </c>
      <c r="M25" s="85">
        <v>0.51225694444444447</v>
      </c>
      <c r="N25" s="78" t="s">
        <v>387</v>
      </c>
      <c r="O25" s="78" t="s">
        <v>388</v>
      </c>
      <c r="P25" s="78" t="s">
        <v>206</v>
      </c>
      <c r="Q25" s="78" t="s">
        <v>389</v>
      </c>
      <c r="R25" s="78" t="s">
        <v>390</v>
      </c>
      <c r="S25" s="80">
        <v>9</v>
      </c>
      <c r="T25" s="78" t="s">
        <v>391</v>
      </c>
      <c r="U25" s="80"/>
      <c r="V25" s="80"/>
      <c r="W25" s="78"/>
      <c r="X25" s="78"/>
      <c r="Y25" s="78"/>
      <c r="Z25" s="78"/>
      <c r="AA25" s="78"/>
      <c r="AB25" s="78"/>
      <c r="AC25" s="78"/>
      <c r="AD25" s="78"/>
      <c r="AE25" s="78" t="s">
        <v>933</v>
      </c>
      <c r="AF25" s="78" t="s">
        <v>931</v>
      </c>
      <c r="AG25" s="78" t="s">
        <v>393</v>
      </c>
      <c r="AH25" s="78" t="s">
        <v>384</v>
      </c>
      <c r="AI25" s="78" t="s">
        <v>257</v>
      </c>
      <c r="AJ25" s="78" t="s">
        <v>394</v>
      </c>
      <c r="AK25" s="78"/>
      <c r="AL25" s="80">
        <v>9</v>
      </c>
      <c r="AM25" s="81">
        <v>45701</v>
      </c>
      <c r="AN25" s="82">
        <v>8.3333333333333329E-2</v>
      </c>
      <c r="AO25" s="82">
        <v>8.3333333333333329E-2</v>
      </c>
      <c r="AP25" s="80" t="s">
        <v>343</v>
      </c>
      <c r="AQ25" s="78" t="s">
        <v>396</v>
      </c>
      <c r="AR25" s="80" t="s">
        <v>395</v>
      </c>
      <c r="AS25" s="93" t="s">
        <v>169</v>
      </c>
      <c r="AT25" s="78" t="s">
        <v>343</v>
      </c>
      <c r="AU25" s="92" t="s">
        <v>247</v>
      </c>
      <c r="AV25" s="92" t="s">
        <v>344</v>
      </c>
      <c r="AW25" s="93">
        <v>2025</v>
      </c>
      <c r="AX25" s="93">
        <v>7</v>
      </c>
      <c r="AY25" s="93">
        <v>13</v>
      </c>
      <c r="AZ25" s="78" t="s">
        <v>396</v>
      </c>
    </row>
    <row r="26" spans="1:52" x14ac:dyDescent="0.25">
      <c r="A26" s="78" t="s">
        <v>1109</v>
      </c>
      <c r="B26" s="78" t="s">
        <v>971</v>
      </c>
      <c r="C26" s="79">
        <v>45846.447755046298</v>
      </c>
      <c r="D26" s="79">
        <v>45846.444835451388</v>
      </c>
      <c r="E26" s="79">
        <v>45846.444822557867</v>
      </c>
      <c r="F26" s="78" t="s">
        <v>972</v>
      </c>
      <c r="G26" s="78" t="s">
        <v>398</v>
      </c>
      <c r="H26" s="87">
        <v>45701</v>
      </c>
      <c r="I26" s="85">
        <v>0.66666666666666674</v>
      </c>
      <c r="J26" s="88"/>
      <c r="K26" s="89"/>
      <c r="L26" s="87">
        <v>45702</v>
      </c>
      <c r="M26" s="85">
        <v>0.29906250000000001</v>
      </c>
      <c r="N26" s="78" t="s">
        <v>174</v>
      </c>
      <c r="O26" s="78"/>
      <c r="P26" s="78"/>
      <c r="Q26" s="78" t="s">
        <v>399</v>
      </c>
      <c r="R26" s="78" t="s">
        <v>400</v>
      </c>
      <c r="S26" s="80">
        <v>6</v>
      </c>
      <c r="T26" s="78" t="s">
        <v>401</v>
      </c>
      <c r="U26" s="80"/>
      <c r="V26" s="80"/>
      <c r="W26" s="78" t="s">
        <v>402</v>
      </c>
      <c r="X26" s="78" t="s">
        <v>981</v>
      </c>
      <c r="Y26" s="78" t="s">
        <v>403</v>
      </c>
      <c r="Z26" s="78" t="s">
        <v>161</v>
      </c>
      <c r="AA26" s="78"/>
      <c r="AB26" s="78"/>
      <c r="AC26" s="78"/>
      <c r="AD26" s="78"/>
      <c r="AE26" s="78" t="s">
        <v>953</v>
      </c>
      <c r="AF26" s="78" t="s">
        <v>931</v>
      </c>
      <c r="AG26" s="78" t="s">
        <v>393</v>
      </c>
      <c r="AH26" s="78" t="s">
        <v>384</v>
      </c>
      <c r="AI26" s="78" t="s">
        <v>275</v>
      </c>
      <c r="AJ26" s="78" t="s">
        <v>166</v>
      </c>
      <c r="AK26" s="78" t="s">
        <v>182</v>
      </c>
      <c r="AL26" s="80">
        <v>9</v>
      </c>
      <c r="AM26" s="81">
        <v>45701</v>
      </c>
      <c r="AN26" s="82">
        <v>0.66666666666666663</v>
      </c>
      <c r="AO26" s="82">
        <v>0.66666666666666663</v>
      </c>
      <c r="AP26" s="80" t="s">
        <v>266</v>
      </c>
      <c r="AQ26" s="78" t="s">
        <v>404</v>
      </c>
      <c r="AR26" s="80" t="s">
        <v>174</v>
      </c>
      <c r="AS26" s="93" t="s">
        <v>169</v>
      </c>
      <c r="AT26" s="78" t="s">
        <v>266</v>
      </c>
      <c r="AU26" s="92" t="s">
        <v>247</v>
      </c>
      <c r="AV26" s="92" t="s">
        <v>344</v>
      </c>
      <c r="AW26" s="93">
        <v>2025</v>
      </c>
      <c r="AX26" s="93">
        <v>7</v>
      </c>
      <c r="AY26" s="93">
        <v>13</v>
      </c>
      <c r="AZ26" s="78" t="s">
        <v>404</v>
      </c>
    </row>
    <row r="27" spans="1:52" x14ac:dyDescent="0.25">
      <c r="A27" s="78" t="s">
        <v>1109</v>
      </c>
      <c r="B27" s="78" t="s">
        <v>971</v>
      </c>
      <c r="C27" s="79">
        <v>45846.447755046298</v>
      </c>
      <c r="D27" s="79">
        <v>45846.444835451388</v>
      </c>
      <c r="E27" s="79">
        <v>45846.444822557867</v>
      </c>
      <c r="F27" s="78" t="s">
        <v>972</v>
      </c>
      <c r="G27" s="78" t="s">
        <v>405</v>
      </c>
      <c r="H27" s="87">
        <v>45705</v>
      </c>
      <c r="I27" s="85">
        <v>0.34877314814814819</v>
      </c>
      <c r="J27" s="88"/>
      <c r="K27" s="89"/>
      <c r="L27" s="87">
        <v>45705</v>
      </c>
      <c r="M27" s="85">
        <v>0.34877314814814814</v>
      </c>
      <c r="N27" s="78" t="s">
        <v>154</v>
      </c>
      <c r="O27" s="78" t="s">
        <v>406</v>
      </c>
      <c r="P27" s="78"/>
      <c r="Q27" s="78" t="s">
        <v>407</v>
      </c>
      <c r="R27" s="78" t="s">
        <v>191</v>
      </c>
      <c r="S27" s="80">
        <v>7</v>
      </c>
      <c r="T27" s="78" t="s">
        <v>408</v>
      </c>
      <c r="U27" s="80"/>
      <c r="V27" s="80"/>
      <c r="W27" s="78" t="s">
        <v>987</v>
      </c>
      <c r="X27" s="78" t="s">
        <v>942</v>
      </c>
      <c r="Y27" s="78" t="s">
        <v>160</v>
      </c>
      <c r="Z27" s="78" t="s">
        <v>161</v>
      </c>
      <c r="AA27" s="78"/>
      <c r="AB27" s="78"/>
      <c r="AC27" s="78"/>
      <c r="AD27" s="78"/>
      <c r="AE27" s="78" t="s">
        <v>934</v>
      </c>
      <c r="AF27" s="78" t="s">
        <v>931</v>
      </c>
      <c r="AG27" s="78" t="s">
        <v>179</v>
      </c>
      <c r="AH27" s="78" t="s">
        <v>142</v>
      </c>
      <c r="AI27" s="78" t="s">
        <v>275</v>
      </c>
      <c r="AJ27" s="78" t="s">
        <v>166</v>
      </c>
      <c r="AK27" s="78" t="s">
        <v>167</v>
      </c>
      <c r="AL27" s="80">
        <v>9</v>
      </c>
      <c r="AM27" s="81">
        <v>45705</v>
      </c>
      <c r="AN27" s="82">
        <v>0.34877314814814814</v>
      </c>
      <c r="AO27" s="82">
        <v>0.33333333333333331</v>
      </c>
      <c r="AP27" s="80" t="s">
        <v>276</v>
      </c>
      <c r="AQ27" s="78" t="s">
        <v>411</v>
      </c>
      <c r="AR27" s="80" t="s">
        <v>410</v>
      </c>
      <c r="AS27" s="93" t="s">
        <v>169</v>
      </c>
      <c r="AT27" s="78" t="s">
        <v>276</v>
      </c>
      <c r="AU27" s="92" t="s">
        <v>183</v>
      </c>
      <c r="AV27" s="92" t="s">
        <v>344</v>
      </c>
      <c r="AW27" s="93">
        <v>2025</v>
      </c>
      <c r="AX27" s="93">
        <v>8</v>
      </c>
      <c r="AY27" s="93">
        <v>17</v>
      </c>
      <c r="AZ27" s="78" t="s">
        <v>411</v>
      </c>
    </row>
    <row r="28" spans="1:52" x14ac:dyDescent="0.25">
      <c r="A28" s="78" t="s">
        <v>1109</v>
      </c>
      <c r="B28" s="78" t="s">
        <v>971</v>
      </c>
      <c r="C28" s="79">
        <v>45846.447755046298</v>
      </c>
      <c r="D28" s="79">
        <v>45846.444835451388</v>
      </c>
      <c r="E28" s="79">
        <v>45846.444822557867</v>
      </c>
      <c r="F28" s="78" t="s">
        <v>972</v>
      </c>
      <c r="G28" s="78" t="s">
        <v>412</v>
      </c>
      <c r="H28" s="87">
        <v>45705</v>
      </c>
      <c r="I28" s="85">
        <v>0.39716435185185195</v>
      </c>
      <c r="J28" s="88"/>
      <c r="K28" s="89"/>
      <c r="L28" s="87">
        <v>45705</v>
      </c>
      <c r="M28" s="85">
        <v>0.39716435185185184</v>
      </c>
      <c r="N28" s="78" t="s">
        <v>154</v>
      </c>
      <c r="O28" s="78"/>
      <c r="P28" s="78"/>
      <c r="Q28" s="78" t="s">
        <v>413</v>
      </c>
      <c r="R28" s="78" t="s">
        <v>414</v>
      </c>
      <c r="S28" s="80">
        <v>7</v>
      </c>
      <c r="T28" s="78" t="s">
        <v>415</v>
      </c>
      <c r="U28" s="80"/>
      <c r="V28" s="80"/>
      <c r="W28" s="78" t="s">
        <v>988</v>
      </c>
      <c r="X28" s="78" t="s">
        <v>942</v>
      </c>
      <c r="Y28" s="78" t="s">
        <v>160</v>
      </c>
      <c r="Z28" s="78" t="s">
        <v>976</v>
      </c>
      <c r="AA28" s="78"/>
      <c r="AB28" s="78"/>
      <c r="AC28" s="78"/>
      <c r="AD28" s="78"/>
      <c r="AE28" s="78" t="s">
        <v>934</v>
      </c>
      <c r="AF28" s="78" t="s">
        <v>931</v>
      </c>
      <c r="AG28" s="78" t="s">
        <v>417</v>
      </c>
      <c r="AH28" s="78" t="s">
        <v>142</v>
      </c>
      <c r="AI28" s="78" t="s">
        <v>275</v>
      </c>
      <c r="AJ28" s="78" t="s">
        <v>166</v>
      </c>
      <c r="AK28" s="78" t="s">
        <v>167</v>
      </c>
      <c r="AL28" s="80">
        <v>9</v>
      </c>
      <c r="AM28" s="81">
        <v>45705</v>
      </c>
      <c r="AN28" s="82">
        <v>0.39716435185185184</v>
      </c>
      <c r="AO28" s="82">
        <v>0.375</v>
      </c>
      <c r="AP28" s="80" t="s">
        <v>276</v>
      </c>
      <c r="AQ28" s="78" t="s">
        <v>184</v>
      </c>
      <c r="AR28" s="80" t="s">
        <v>154</v>
      </c>
      <c r="AS28" s="93" t="s">
        <v>169</v>
      </c>
      <c r="AT28" s="78" t="s">
        <v>276</v>
      </c>
      <c r="AU28" s="92" t="s">
        <v>183</v>
      </c>
      <c r="AV28" s="92" t="s">
        <v>344</v>
      </c>
      <c r="AW28" s="93">
        <v>2025</v>
      </c>
      <c r="AX28" s="93">
        <v>8</v>
      </c>
      <c r="AY28" s="93">
        <v>17</v>
      </c>
      <c r="AZ28" s="78" t="s">
        <v>184</v>
      </c>
    </row>
    <row r="29" spans="1:52" x14ac:dyDescent="0.25">
      <c r="A29" s="78" t="s">
        <v>1109</v>
      </c>
      <c r="B29" s="78" t="s">
        <v>971</v>
      </c>
      <c r="C29" s="79">
        <v>45846.447755046298</v>
      </c>
      <c r="D29" s="79">
        <v>45846.444835451388</v>
      </c>
      <c r="E29" s="79">
        <v>45846.444822557867</v>
      </c>
      <c r="F29" s="78" t="s">
        <v>972</v>
      </c>
      <c r="G29" s="78" t="s">
        <v>418</v>
      </c>
      <c r="H29" s="87">
        <v>45705</v>
      </c>
      <c r="I29" s="85">
        <v>0.52497685185185183</v>
      </c>
      <c r="J29" s="88"/>
      <c r="K29" s="89"/>
      <c r="L29" s="87">
        <v>45705</v>
      </c>
      <c r="M29" s="85">
        <v>0.52497685185185183</v>
      </c>
      <c r="N29" s="78" t="s">
        <v>367</v>
      </c>
      <c r="O29" s="78" t="s">
        <v>347</v>
      </c>
      <c r="P29" s="78"/>
      <c r="Q29" s="78" t="s">
        <v>419</v>
      </c>
      <c r="R29" s="78" t="s">
        <v>251</v>
      </c>
      <c r="S29" s="80">
        <v>9</v>
      </c>
      <c r="T29" s="78" t="s">
        <v>420</v>
      </c>
      <c r="U29" s="80"/>
      <c r="V29" s="80"/>
      <c r="W29" s="78"/>
      <c r="X29" s="78"/>
      <c r="Y29" s="78"/>
      <c r="Z29" s="78"/>
      <c r="AA29" s="78"/>
      <c r="AB29" s="78"/>
      <c r="AC29" s="78"/>
      <c r="AD29" s="78"/>
      <c r="AE29" s="78" t="s">
        <v>934</v>
      </c>
      <c r="AF29" s="78" t="s">
        <v>931</v>
      </c>
      <c r="AG29" s="78" t="s">
        <v>179</v>
      </c>
      <c r="AH29" s="78" t="s">
        <v>142</v>
      </c>
      <c r="AI29" s="78" t="s">
        <v>350</v>
      </c>
      <c r="AJ29" s="78" t="s">
        <v>166</v>
      </c>
      <c r="AK29" s="78" t="s">
        <v>246</v>
      </c>
      <c r="AL29" s="80">
        <v>9</v>
      </c>
      <c r="AM29" s="81">
        <v>45705</v>
      </c>
      <c r="AN29" s="82">
        <v>0.52497685185185183</v>
      </c>
      <c r="AO29" s="82">
        <v>0.5</v>
      </c>
      <c r="AP29" s="80" t="s">
        <v>146</v>
      </c>
      <c r="AQ29" s="78" t="s">
        <v>312</v>
      </c>
      <c r="AR29" s="80" t="s">
        <v>421</v>
      </c>
      <c r="AS29" s="93" t="s">
        <v>169</v>
      </c>
      <c r="AT29" s="78" t="s">
        <v>146</v>
      </c>
      <c r="AU29" s="92" t="s">
        <v>183</v>
      </c>
      <c r="AV29" s="92" t="s">
        <v>344</v>
      </c>
      <c r="AW29" s="93">
        <v>2025</v>
      </c>
      <c r="AX29" s="93">
        <v>8</v>
      </c>
      <c r="AY29" s="93">
        <v>17</v>
      </c>
      <c r="AZ29" s="78" t="s">
        <v>312</v>
      </c>
    </row>
    <row r="30" spans="1:52" x14ac:dyDescent="0.25">
      <c r="A30" s="78" t="s">
        <v>1109</v>
      </c>
      <c r="B30" s="78" t="s">
        <v>971</v>
      </c>
      <c r="C30" s="79">
        <v>45846.447755046298</v>
      </c>
      <c r="D30" s="79">
        <v>45846.444835451388</v>
      </c>
      <c r="E30" s="79">
        <v>45846.444822557867</v>
      </c>
      <c r="F30" s="78" t="s">
        <v>972</v>
      </c>
      <c r="G30" s="78" t="s">
        <v>422</v>
      </c>
      <c r="H30" s="87">
        <v>45705</v>
      </c>
      <c r="I30" s="85">
        <v>0.83333333333333326</v>
      </c>
      <c r="J30" s="88">
        <v>45705</v>
      </c>
      <c r="K30" s="89">
        <v>0.98958333333333337</v>
      </c>
      <c r="L30" s="87">
        <v>45706</v>
      </c>
      <c r="M30" s="85">
        <v>0.73564814814814816</v>
      </c>
      <c r="N30" s="78" t="s">
        <v>423</v>
      </c>
      <c r="O30" s="78" t="s">
        <v>136</v>
      </c>
      <c r="P30" s="78"/>
      <c r="Q30" s="78" t="s">
        <v>424</v>
      </c>
      <c r="R30" s="78" t="s">
        <v>425</v>
      </c>
      <c r="S30" s="80">
        <v>8</v>
      </c>
      <c r="T30" s="78" t="s">
        <v>426</v>
      </c>
      <c r="U30" s="80"/>
      <c r="V30" s="80"/>
      <c r="W30" s="78"/>
      <c r="X30" s="78"/>
      <c r="Y30" s="78"/>
      <c r="Z30" s="78"/>
      <c r="AA30" s="78"/>
      <c r="AB30" s="78"/>
      <c r="AC30" s="78"/>
      <c r="AD30" s="78"/>
      <c r="AE30" s="78" t="s">
        <v>932</v>
      </c>
      <c r="AF30" s="78" t="s">
        <v>931</v>
      </c>
      <c r="AG30" s="78" t="s">
        <v>310</v>
      </c>
      <c r="AH30" s="78" t="s">
        <v>282</v>
      </c>
      <c r="AI30" s="78" t="s">
        <v>310</v>
      </c>
      <c r="AJ30" s="78" t="s">
        <v>320</v>
      </c>
      <c r="AK30" s="78"/>
      <c r="AL30" s="80">
        <v>9</v>
      </c>
      <c r="AM30" s="81">
        <v>45705</v>
      </c>
      <c r="AN30" s="82">
        <v>0.83333333333333337</v>
      </c>
      <c r="AO30" s="82">
        <v>0.83333333333333337</v>
      </c>
      <c r="AP30" s="80" t="s">
        <v>168</v>
      </c>
      <c r="AQ30" s="78" t="s">
        <v>428</v>
      </c>
      <c r="AR30" s="80" t="s">
        <v>427</v>
      </c>
      <c r="AS30" s="93" t="s">
        <v>169</v>
      </c>
      <c r="AT30" s="78" t="s">
        <v>168</v>
      </c>
      <c r="AU30" s="92" t="s">
        <v>183</v>
      </c>
      <c r="AV30" s="92" t="s">
        <v>344</v>
      </c>
      <c r="AW30" s="93">
        <v>2025</v>
      </c>
      <c r="AX30" s="93">
        <v>8</v>
      </c>
      <c r="AY30" s="93">
        <v>17</v>
      </c>
      <c r="AZ30" s="78" t="s">
        <v>428</v>
      </c>
    </row>
    <row r="31" spans="1:52" x14ac:dyDescent="0.25">
      <c r="A31" s="78" t="s">
        <v>1109</v>
      </c>
      <c r="B31" s="78" t="s">
        <v>971</v>
      </c>
      <c r="C31" s="79">
        <v>45846.447755046298</v>
      </c>
      <c r="D31" s="79">
        <v>45846.444835451388</v>
      </c>
      <c r="E31" s="79">
        <v>45846.444822557867</v>
      </c>
      <c r="F31" s="78" t="s">
        <v>972</v>
      </c>
      <c r="G31" s="78" t="s">
        <v>135</v>
      </c>
      <c r="H31" s="87">
        <v>42906</v>
      </c>
      <c r="I31" s="85">
        <v>0.53615740740740736</v>
      </c>
      <c r="J31" s="88">
        <v>45555</v>
      </c>
      <c r="K31" s="89"/>
      <c r="L31" s="87">
        <v>45708</v>
      </c>
      <c r="M31" s="85">
        <v>0.53615740740740736</v>
      </c>
      <c r="N31" s="78" t="s">
        <v>136</v>
      </c>
      <c r="O31" s="78"/>
      <c r="P31" s="78"/>
      <c r="Q31" s="78" t="s">
        <v>137</v>
      </c>
      <c r="R31" s="78" t="s">
        <v>138</v>
      </c>
      <c r="S31" s="80">
        <v>8</v>
      </c>
      <c r="T31" s="78" t="s">
        <v>139</v>
      </c>
      <c r="U31" s="80"/>
      <c r="V31" s="80"/>
      <c r="W31" s="78"/>
      <c r="X31" s="78"/>
      <c r="Y31" s="78"/>
      <c r="Z31" s="78"/>
      <c r="AA31" s="78"/>
      <c r="AB31" s="78"/>
      <c r="AC31" s="78"/>
      <c r="AD31" s="78"/>
      <c r="AE31" s="78" t="s">
        <v>934</v>
      </c>
      <c r="AF31" s="78" t="s">
        <v>931</v>
      </c>
      <c r="AG31" s="78" t="s">
        <v>141</v>
      </c>
      <c r="AH31" s="78" t="s">
        <v>142</v>
      </c>
      <c r="AI31" s="78" t="s">
        <v>143</v>
      </c>
      <c r="AJ31" s="78" t="s">
        <v>144</v>
      </c>
      <c r="AK31" s="78" t="s">
        <v>145</v>
      </c>
      <c r="AL31" s="80">
        <v>9</v>
      </c>
      <c r="AM31" s="81">
        <v>42906</v>
      </c>
      <c r="AN31" s="82">
        <v>0.53615740740740736</v>
      </c>
      <c r="AO31" s="82">
        <v>0.5</v>
      </c>
      <c r="AP31" s="80" t="s">
        <v>146</v>
      </c>
      <c r="AQ31" s="78" t="s">
        <v>150</v>
      </c>
      <c r="AR31" s="80" t="s">
        <v>136</v>
      </c>
      <c r="AS31" s="93" t="s">
        <v>147</v>
      </c>
      <c r="AT31" s="78" t="s">
        <v>146</v>
      </c>
      <c r="AU31" s="92" t="s">
        <v>148</v>
      </c>
      <c r="AV31" s="92" t="s">
        <v>149</v>
      </c>
      <c r="AW31" s="93">
        <v>2017</v>
      </c>
      <c r="AX31" s="93">
        <v>25</v>
      </c>
      <c r="AY31" s="93">
        <v>20</v>
      </c>
      <c r="AZ31" s="78" t="s">
        <v>150</v>
      </c>
    </row>
    <row r="32" spans="1:52" x14ac:dyDescent="0.25">
      <c r="A32" s="78" t="s">
        <v>1109</v>
      </c>
      <c r="B32" s="78" t="s">
        <v>971</v>
      </c>
      <c r="C32" s="79">
        <v>45846.447755046298</v>
      </c>
      <c r="D32" s="79">
        <v>45846.444835451388</v>
      </c>
      <c r="E32" s="79">
        <v>45846.444822557867</v>
      </c>
      <c r="F32" s="78" t="s">
        <v>972</v>
      </c>
      <c r="G32" s="78" t="s">
        <v>429</v>
      </c>
      <c r="H32" s="87">
        <v>45713</v>
      </c>
      <c r="I32" s="85">
        <v>0.41666666666666674</v>
      </c>
      <c r="J32" s="88">
        <v>45713</v>
      </c>
      <c r="K32" s="89">
        <v>0.95833333333333337</v>
      </c>
      <c r="L32" s="87">
        <v>45712</v>
      </c>
      <c r="M32" s="85">
        <v>0.99136574074074069</v>
      </c>
      <c r="N32" s="78" t="s">
        <v>154</v>
      </c>
      <c r="O32" s="78"/>
      <c r="P32" s="78"/>
      <c r="Q32" s="78" t="s">
        <v>430</v>
      </c>
      <c r="R32" s="78" t="s">
        <v>270</v>
      </c>
      <c r="S32" s="80">
        <v>5</v>
      </c>
      <c r="T32" s="78" t="s">
        <v>431</v>
      </c>
      <c r="U32" s="80"/>
      <c r="V32" s="80"/>
      <c r="W32" s="78" t="s">
        <v>432</v>
      </c>
      <c r="X32" s="78" t="s">
        <v>942</v>
      </c>
      <c r="Y32" s="78" t="s">
        <v>433</v>
      </c>
      <c r="Z32" s="78" t="s">
        <v>434</v>
      </c>
      <c r="AA32" s="78"/>
      <c r="AB32" s="78"/>
      <c r="AC32" s="78"/>
      <c r="AD32" s="78"/>
      <c r="AE32" s="78" t="s">
        <v>950</v>
      </c>
      <c r="AF32" s="78" t="s">
        <v>931</v>
      </c>
      <c r="AG32" s="78" t="s">
        <v>327</v>
      </c>
      <c r="AH32" s="78" t="s">
        <v>328</v>
      </c>
      <c r="AI32" s="78" t="s">
        <v>228</v>
      </c>
      <c r="AJ32" s="78" t="s">
        <v>435</v>
      </c>
      <c r="AK32" s="78" t="s">
        <v>167</v>
      </c>
      <c r="AL32" s="80">
        <v>9</v>
      </c>
      <c r="AM32" s="81">
        <v>45713</v>
      </c>
      <c r="AN32" s="82">
        <v>0.41666666666666669</v>
      </c>
      <c r="AO32" s="82">
        <v>0.41666666666666669</v>
      </c>
      <c r="AP32" s="80" t="s">
        <v>276</v>
      </c>
      <c r="AQ32" s="78" t="s">
        <v>436</v>
      </c>
      <c r="AR32" s="80" t="s">
        <v>154</v>
      </c>
      <c r="AS32" s="93" t="s">
        <v>169</v>
      </c>
      <c r="AT32" s="78" t="s">
        <v>276</v>
      </c>
      <c r="AU32" s="92" t="s">
        <v>148</v>
      </c>
      <c r="AV32" s="92" t="s">
        <v>344</v>
      </c>
      <c r="AW32" s="93">
        <v>2025</v>
      </c>
      <c r="AX32" s="93">
        <v>9</v>
      </c>
      <c r="AY32" s="93">
        <v>25</v>
      </c>
      <c r="AZ32" s="78" t="s">
        <v>436</v>
      </c>
    </row>
    <row r="33" spans="1:52" x14ac:dyDescent="0.25">
      <c r="A33" s="78" t="s">
        <v>1109</v>
      </c>
      <c r="B33" s="78" t="s">
        <v>971</v>
      </c>
      <c r="C33" s="79">
        <v>45846.447755046298</v>
      </c>
      <c r="D33" s="79">
        <v>45846.444835451388</v>
      </c>
      <c r="E33" s="79">
        <v>45846.444822557867</v>
      </c>
      <c r="F33" s="78" t="s">
        <v>972</v>
      </c>
      <c r="G33" s="78" t="s">
        <v>447</v>
      </c>
      <c r="H33" s="87">
        <v>45720</v>
      </c>
      <c r="I33" s="85">
        <v>0.64097222222222228</v>
      </c>
      <c r="J33" s="88"/>
      <c r="K33" s="89"/>
      <c r="L33" s="87">
        <v>45720</v>
      </c>
      <c r="M33" s="85">
        <v>0.64444444444444449</v>
      </c>
      <c r="N33" s="78" t="s">
        <v>206</v>
      </c>
      <c r="O33" s="78" t="s">
        <v>448</v>
      </c>
      <c r="P33" s="78" t="s">
        <v>204</v>
      </c>
      <c r="Q33" s="78" t="s">
        <v>449</v>
      </c>
      <c r="R33" s="78" t="s">
        <v>208</v>
      </c>
      <c r="S33" s="80">
        <v>8</v>
      </c>
      <c r="T33" s="78" t="s">
        <v>450</v>
      </c>
      <c r="U33" s="80"/>
      <c r="V33" s="80"/>
      <c r="W33" s="78" t="s">
        <v>451</v>
      </c>
      <c r="X33" s="78" t="s">
        <v>452</v>
      </c>
      <c r="Y33" s="78" t="s">
        <v>453</v>
      </c>
      <c r="Z33" s="78" t="s">
        <v>161</v>
      </c>
      <c r="AA33" s="78"/>
      <c r="AB33" s="78"/>
      <c r="AC33" s="78"/>
      <c r="AD33" s="78"/>
      <c r="AE33" s="78" t="s">
        <v>959</v>
      </c>
      <c r="AF33" s="78" t="s">
        <v>931</v>
      </c>
      <c r="AG33" s="78" t="s">
        <v>454</v>
      </c>
      <c r="AH33" s="78" t="s">
        <v>328</v>
      </c>
      <c r="AI33" s="78" t="s">
        <v>257</v>
      </c>
      <c r="AJ33" s="78" t="s">
        <v>364</v>
      </c>
      <c r="AK33" s="78" t="s">
        <v>213</v>
      </c>
      <c r="AL33" s="80">
        <v>9</v>
      </c>
      <c r="AM33" s="81">
        <v>45720</v>
      </c>
      <c r="AN33" s="82">
        <v>0.64097222222222228</v>
      </c>
      <c r="AO33" s="82">
        <v>0.625</v>
      </c>
      <c r="AP33" s="80" t="s">
        <v>146</v>
      </c>
      <c r="AQ33" s="78" t="s">
        <v>456</v>
      </c>
      <c r="AR33" s="80" t="s">
        <v>455</v>
      </c>
      <c r="AS33" s="93" t="s">
        <v>169</v>
      </c>
      <c r="AT33" s="78" t="s">
        <v>146</v>
      </c>
      <c r="AU33" s="92" t="s">
        <v>148</v>
      </c>
      <c r="AV33" s="92" t="s">
        <v>445</v>
      </c>
      <c r="AW33" s="93">
        <v>2025</v>
      </c>
      <c r="AX33" s="93">
        <v>10</v>
      </c>
      <c r="AY33" s="93">
        <v>4</v>
      </c>
      <c r="AZ33" s="78" t="s">
        <v>456</v>
      </c>
    </row>
    <row r="34" spans="1:52" x14ac:dyDescent="0.25">
      <c r="A34" s="78" t="s">
        <v>1109</v>
      </c>
      <c r="B34" s="78" t="s">
        <v>971</v>
      </c>
      <c r="C34" s="79">
        <v>45846.447755046298</v>
      </c>
      <c r="D34" s="79">
        <v>45846.444835451388</v>
      </c>
      <c r="E34" s="79">
        <v>45846.444822557867</v>
      </c>
      <c r="F34" s="78" t="s">
        <v>972</v>
      </c>
      <c r="G34" s="78" t="s">
        <v>457</v>
      </c>
      <c r="H34" s="87">
        <v>45720</v>
      </c>
      <c r="I34" s="85">
        <v>0.79126157407407405</v>
      </c>
      <c r="J34" s="88"/>
      <c r="K34" s="89"/>
      <c r="L34" s="87">
        <v>45720</v>
      </c>
      <c r="M34" s="85">
        <v>0.79126157407407405</v>
      </c>
      <c r="N34" s="78" t="s">
        <v>206</v>
      </c>
      <c r="O34" s="78"/>
      <c r="P34" s="78"/>
      <c r="Q34" s="78" t="s">
        <v>458</v>
      </c>
      <c r="R34" s="78" t="s">
        <v>315</v>
      </c>
      <c r="S34" s="80">
        <v>6</v>
      </c>
      <c r="T34" s="78" t="s">
        <v>459</v>
      </c>
      <c r="U34" s="80"/>
      <c r="V34" s="80"/>
      <c r="W34" s="78"/>
      <c r="X34" s="78"/>
      <c r="Y34" s="78"/>
      <c r="Z34" s="78"/>
      <c r="AA34" s="78"/>
      <c r="AB34" s="78"/>
      <c r="AC34" s="78"/>
      <c r="AD34" s="78"/>
      <c r="AE34" s="78" t="s">
        <v>959</v>
      </c>
      <c r="AF34" s="78" t="s">
        <v>931</v>
      </c>
      <c r="AG34" s="78" t="s">
        <v>460</v>
      </c>
      <c r="AH34" s="78" t="s">
        <v>164</v>
      </c>
      <c r="AI34" s="78" t="s">
        <v>180</v>
      </c>
      <c r="AJ34" s="78" t="s">
        <v>364</v>
      </c>
      <c r="AK34" s="78" t="s">
        <v>213</v>
      </c>
      <c r="AL34" s="80">
        <v>9</v>
      </c>
      <c r="AM34" s="81">
        <v>45720</v>
      </c>
      <c r="AN34" s="82">
        <v>0.79126157407407405</v>
      </c>
      <c r="AO34" s="82">
        <v>0.75</v>
      </c>
      <c r="AP34" s="80" t="s">
        <v>266</v>
      </c>
      <c r="AQ34" s="78" t="s">
        <v>461</v>
      </c>
      <c r="AR34" s="80" t="s">
        <v>206</v>
      </c>
      <c r="AS34" s="93" t="s">
        <v>169</v>
      </c>
      <c r="AT34" s="78" t="s">
        <v>266</v>
      </c>
      <c r="AU34" s="92" t="s">
        <v>148</v>
      </c>
      <c r="AV34" s="92" t="s">
        <v>445</v>
      </c>
      <c r="AW34" s="93">
        <v>2025</v>
      </c>
      <c r="AX34" s="93">
        <v>10</v>
      </c>
      <c r="AY34" s="93">
        <v>4</v>
      </c>
      <c r="AZ34" s="78" t="s">
        <v>461</v>
      </c>
    </row>
    <row r="35" spans="1:52" x14ac:dyDescent="0.25">
      <c r="A35" s="78" t="s">
        <v>1109</v>
      </c>
      <c r="B35" s="78" t="s">
        <v>971</v>
      </c>
      <c r="C35" s="79">
        <v>45846.447755046298</v>
      </c>
      <c r="D35" s="79">
        <v>45846.444835451388</v>
      </c>
      <c r="E35" s="79">
        <v>45846.444822557867</v>
      </c>
      <c r="F35" s="78" t="s">
        <v>972</v>
      </c>
      <c r="G35" s="78" t="s">
        <v>462</v>
      </c>
      <c r="H35" s="87">
        <v>45722</v>
      </c>
      <c r="I35" s="85">
        <v>0.94149305555555562</v>
      </c>
      <c r="J35" s="88"/>
      <c r="K35" s="89"/>
      <c r="L35" s="87">
        <v>45722</v>
      </c>
      <c r="M35" s="85">
        <v>0.94149305555555551</v>
      </c>
      <c r="N35" s="78" t="s">
        <v>174</v>
      </c>
      <c r="O35" s="78"/>
      <c r="P35" s="78"/>
      <c r="Q35" s="78" t="s">
        <v>463</v>
      </c>
      <c r="R35" s="78" t="s">
        <v>208</v>
      </c>
      <c r="S35" s="80">
        <v>8</v>
      </c>
      <c r="T35" s="78" t="s">
        <v>464</v>
      </c>
      <c r="U35" s="80"/>
      <c r="V35" s="80"/>
      <c r="W35" s="78" t="s">
        <v>465</v>
      </c>
      <c r="X35" s="78" t="s">
        <v>981</v>
      </c>
      <c r="Y35" s="78" t="s">
        <v>466</v>
      </c>
      <c r="Z35" s="78" t="s">
        <v>161</v>
      </c>
      <c r="AA35" s="78"/>
      <c r="AB35" s="78"/>
      <c r="AC35" s="78"/>
      <c r="AD35" s="78"/>
      <c r="AE35" s="78" t="s">
        <v>989</v>
      </c>
      <c r="AF35" s="78" t="s">
        <v>931</v>
      </c>
      <c r="AG35" s="78" t="s">
        <v>179</v>
      </c>
      <c r="AH35" s="78" t="s">
        <v>142</v>
      </c>
      <c r="AI35" s="78" t="s">
        <v>228</v>
      </c>
      <c r="AJ35" s="78" t="s">
        <v>166</v>
      </c>
      <c r="AK35" s="78" t="s">
        <v>182</v>
      </c>
      <c r="AL35" s="80">
        <v>9</v>
      </c>
      <c r="AM35" s="81">
        <v>45722</v>
      </c>
      <c r="AN35" s="82">
        <v>0.94149305555555551</v>
      </c>
      <c r="AO35" s="82">
        <v>0.91666666666666663</v>
      </c>
      <c r="AP35" s="80" t="s">
        <v>168</v>
      </c>
      <c r="AQ35" s="78" t="s">
        <v>468</v>
      </c>
      <c r="AR35" s="80" t="s">
        <v>174</v>
      </c>
      <c r="AS35" s="93" t="s">
        <v>169</v>
      </c>
      <c r="AT35" s="78" t="s">
        <v>168</v>
      </c>
      <c r="AU35" s="92" t="s">
        <v>247</v>
      </c>
      <c r="AV35" s="92" t="s">
        <v>445</v>
      </c>
      <c r="AW35" s="93">
        <v>2025</v>
      </c>
      <c r="AX35" s="93">
        <v>10</v>
      </c>
      <c r="AY35" s="93">
        <v>6</v>
      </c>
      <c r="AZ35" s="78" t="s">
        <v>468</v>
      </c>
    </row>
    <row r="36" spans="1:52" x14ac:dyDescent="0.25">
      <c r="A36" s="78" t="s">
        <v>1109</v>
      </c>
      <c r="B36" s="78" t="s">
        <v>971</v>
      </c>
      <c r="C36" s="79">
        <v>45846.447755046298</v>
      </c>
      <c r="D36" s="79">
        <v>45846.444835451388</v>
      </c>
      <c r="E36" s="79">
        <v>45846.444822557867</v>
      </c>
      <c r="F36" s="78" t="s">
        <v>972</v>
      </c>
      <c r="G36" s="78" t="s">
        <v>469</v>
      </c>
      <c r="H36" s="87">
        <v>45725</v>
      </c>
      <c r="I36" s="85">
        <v>0.8125</v>
      </c>
      <c r="J36" s="88">
        <v>45726</v>
      </c>
      <c r="K36" s="89">
        <v>0.35416666666666669</v>
      </c>
      <c r="L36" s="87">
        <v>45726</v>
      </c>
      <c r="M36" s="85">
        <v>0.37046296296296294</v>
      </c>
      <c r="N36" s="78" t="s">
        <v>174</v>
      </c>
      <c r="O36" s="78"/>
      <c r="P36" s="78"/>
      <c r="Q36" s="78" t="s">
        <v>470</v>
      </c>
      <c r="R36" s="78" t="s">
        <v>191</v>
      </c>
      <c r="S36" s="80">
        <v>7</v>
      </c>
      <c r="T36" s="78" t="s">
        <v>471</v>
      </c>
      <c r="U36" s="80"/>
      <c r="V36" s="80"/>
      <c r="W36" s="78" t="s">
        <v>472</v>
      </c>
      <c r="X36" s="78" t="s">
        <v>473</v>
      </c>
      <c r="Y36" s="78" t="s">
        <v>474</v>
      </c>
      <c r="Z36" s="78" t="s">
        <v>161</v>
      </c>
      <c r="AA36" s="78"/>
      <c r="AB36" s="78"/>
      <c r="AC36" s="78"/>
      <c r="AD36" s="78"/>
      <c r="AE36" s="78" t="s">
        <v>950</v>
      </c>
      <c r="AF36" s="78" t="s">
        <v>931</v>
      </c>
      <c r="AG36" s="78" t="s">
        <v>475</v>
      </c>
      <c r="AH36" s="78" t="s">
        <v>211</v>
      </c>
      <c r="AI36" s="78" t="s">
        <v>275</v>
      </c>
      <c r="AJ36" s="78" t="s">
        <v>166</v>
      </c>
      <c r="AK36" s="78" t="s">
        <v>182</v>
      </c>
      <c r="AL36" s="80">
        <v>9</v>
      </c>
      <c r="AM36" s="81">
        <v>45725</v>
      </c>
      <c r="AN36" s="82">
        <v>0.8125</v>
      </c>
      <c r="AO36" s="82">
        <v>0.79166666666666663</v>
      </c>
      <c r="AP36" s="80" t="s">
        <v>266</v>
      </c>
      <c r="AQ36" s="78" t="s">
        <v>476</v>
      </c>
      <c r="AR36" s="80" t="s">
        <v>174</v>
      </c>
      <c r="AS36" s="93" t="s">
        <v>169</v>
      </c>
      <c r="AT36" s="78" t="s">
        <v>266</v>
      </c>
      <c r="AU36" s="92" t="s">
        <v>311</v>
      </c>
      <c r="AV36" s="92" t="s">
        <v>445</v>
      </c>
      <c r="AW36" s="93">
        <v>2025</v>
      </c>
      <c r="AX36" s="93">
        <v>11</v>
      </c>
      <c r="AY36" s="93">
        <v>9</v>
      </c>
      <c r="AZ36" s="78" t="s">
        <v>476</v>
      </c>
    </row>
    <row r="37" spans="1:52" x14ac:dyDescent="0.25">
      <c r="A37" s="78" t="s">
        <v>1109</v>
      </c>
      <c r="B37" s="78" t="s">
        <v>971</v>
      </c>
      <c r="C37" s="79">
        <v>45846.447755046298</v>
      </c>
      <c r="D37" s="79">
        <v>45846.444835451388</v>
      </c>
      <c r="E37" s="79">
        <v>45846.444822557867</v>
      </c>
      <c r="F37" s="78" t="s">
        <v>972</v>
      </c>
      <c r="G37" s="78" t="s">
        <v>477</v>
      </c>
      <c r="H37" s="87">
        <v>45726</v>
      </c>
      <c r="I37" s="85">
        <v>4.6527777777777724E-2</v>
      </c>
      <c r="J37" s="88">
        <v>45726</v>
      </c>
      <c r="K37" s="89">
        <v>0.16180555555555556</v>
      </c>
      <c r="L37" s="87">
        <v>45727</v>
      </c>
      <c r="M37" s="85">
        <v>0.44234953703703705</v>
      </c>
      <c r="N37" s="78" t="s">
        <v>242</v>
      </c>
      <c r="O37" s="78"/>
      <c r="P37" s="78"/>
      <c r="Q37" s="78" t="s">
        <v>478</v>
      </c>
      <c r="R37" s="78" t="s">
        <v>358</v>
      </c>
      <c r="S37" s="80">
        <v>8</v>
      </c>
      <c r="T37" s="78" t="s">
        <v>479</v>
      </c>
      <c r="U37" s="80"/>
      <c r="V37" s="80"/>
      <c r="W37" s="78"/>
      <c r="X37" s="78"/>
      <c r="Y37" s="78"/>
      <c r="Z37" s="78"/>
      <c r="AA37" s="78"/>
      <c r="AB37" s="78"/>
      <c r="AC37" s="78"/>
      <c r="AD37" s="78"/>
      <c r="AE37" s="78" t="s">
        <v>946</v>
      </c>
      <c r="AF37" s="78" t="s">
        <v>931</v>
      </c>
      <c r="AG37" s="78" t="s">
        <v>163</v>
      </c>
      <c r="AH37" s="78" t="s">
        <v>328</v>
      </c>
      <c r="AI37" s="78" t="s">
        <v>310</v>
      </c>
      <c r="AJ37" s="78" t="s">
        <v>364</v>
      </c>
      <c r="AK37" s="78" t="s">
        <v>246</v>
      </c>
      <c r="AL37" s="80">
        <v>9</v>
      </c>
      <c r="AM37" s="81">
        <v>45726</v>
      </c>
      <c r="AN37" s="82">
        <v>4.6527777777777779E-2</v>
      </c>
      <c r="AO37" s="82">
        <v>4.1666666666666664E-2</v>
      </c>
      <c r="AP37" s="80" t="s">
        <v>343</v>
      </c>
      <c r="AQ37" s="78" t="s">
        <v>481</v>
      </c>
      <c r="AR37" s="80" t="s">
        <v>242</v>
      </c>
      <c r="AS37" s="93" t="s">
        <v>169</v>
      </c>
      <c r="AT37" s="78" t="s">
        <v>343</v>
      </c>
      <c r="AU37" s="92" t="s">
        <v>183</v>
      </c>
      <c r="AV37" s="92" t="s">
        <v>445</v>
      </c>
      <c r="AW37" s="93">
        <v>2025</v>
      </c>
      <c r="AX37" s="93">
        <v>11</v>
      </c>
      <c r="AY37" s="93">
        <v>10</v>
      </c>
      <c r="AZ37" s="78" t="s">
        <v>481</v>
      </c>
    </row>
    <row r="38" spans="1:52" x14ac:dyDescent="0.25">
      <c r="A38" s="78" t="s">
        <v>1109</v>
      </c>
      <c r="B38" s="78" t="s">
        <v>971</v>
      </c>
      <c r="C38" s="79">
        <v>45846.447755046298</v>
      </c>
      <c r="D38" s="79">
        <v>45846.444835451388</v>
      </c>
      <c r="E38" s="79">
        <v>45846.444822557867</v>
      </c>
      <c r="F38" s="78" t="s">
        <v>972</v>
      </c>
      <c r="G38" s="78" t="s">
        <v>482</v>
      </c>
      <c r="H38" s="87">
        <v>45727</v>
      </c>
      <c r="I38" s="85">
        <v>0.60416666666666674</v>
      </c>
      <c r="J38" s="88"/>
      <c r="K38" s="89"/>
      <c r="L38" s="87">
        <v>45727</v>
      </c>
      <c r="M38" s="85">
        <v>0.69039351851851849</v>
      </c>
      <c r="N38" s="78" t="s">
        <v>174</v>
      </c>
      <c r="O38" s="78"/>
      <c r="P38" s="78"/>
      <c r="Q38" s="78" t="s">
        <v>483</v>
      </c>
      <c r="R38" s="78" t="s">
        <v>208</v>
      </c>
      <c r="S38" s="80">
        <v>8</v>
      </c>
      <c r="T38" s="78" t="s">
        <v>484</v>
      </c>
      <c r="U38" s="80"/>
      <c r="V38" s="80"/>
      <c r="W38" s="78" t="s">
        <v>485</v>
      </c>
      <c r="X38" s="78" t="s">
        <v>961</v>
      </c>
      <c r="Y38" s="78" t="s">
        <v>487</v>
      </c>
      <c r="Z38" s="78" t="s">
        <v>161</v>
      </c>
      <c r="AA38" s="78"/>
      <c r="AB38" s="78"/>
      <c r="AC38" s="78"/>
      <c r="AD38" s="78"/>
      <c r="AE38" s="78" t="s">
        <v>932</v>
      </c>
      <c r="AF38" s="78" t="s">
        <v>931</v>
      </c>
      <c r="AG38" s="78" t="s">
        <v>327</v>
      </c>
      <c r="AH38" s="78" t="s">
        <v>328</v>
      </c>
      <c r="AI38" s="78" t="s">
        <v>488</v>
      </c>
      <c r="AJ38" s="78" t="s">
        <v>166</v>
      </c>
      <c r="AK38" s="78" t="s">
        <v>182</v>
      </c>
      <c r="AL38" s="80">
        <v>9</v>
      </c>
      <c r="AM38" s="81">
        <v>45727</v>
      </c>
      <c r="AN38" s="82">
        <v>0.60416666666666663</v>
      </c>
      <c r="AO38" s="82">
        <v>0.58333333333333337</v>
      </c>
      <c r="AP38" s="80" t="s">
        <v>146</v>
      </c>
      <c r="AQ38" s="78" t="s">
        <v>489</v>
      </c>
      <c r="AR38" s="80" t="s">
        <v>174</v>
      </c>
      <c r="AS38" s="93" t="s">
        <v>169</v>
      </c>
      <c r="AT38" s="78" t="s">
        <v>146</v>
      </c>
      <c r="AU38" s="92" t="s">
        <v>148</v>
      </c>
      <c r="AV38" s="92" t="s">
        <v>445</v>
      </c>
      <c r="AW38" s="93">
        <v>2025</v>
      </c>
      <c r="AX38" s="93">
        <v>11</v>
      </c>
      <c r="AY38" s="93">
        <v>11</v>
      </c>
      <c r="AZ38" s="78" t="s">
        <v>489</v>
      </c>
    </row>
    <row r="39" spans="1:52" x14ac:dyDescent="0.25">
      <c r="A39" s="78" t="s">
        <v>1109</v>
      </c>
      <c r="B39" s="78" t="s">
        <v>971</v>
      </c>
      <c r="C39" s="79">
        <v>45846.447755046298</v>
      </c>
      <c r="D39" s="79">
        <v>45846.444835451388</v>
      </c>
      <c r="E39" s="79">
        <v>45846.444822557867</v>
      </c>
      <c r="F39" s="78" t="s">
        <v>972</v>
      </c>
      <c r="G39" s="78" t="s">
        <v>490</v>
      </c>
      <c r="H39" s="87"/>
      <c r="I39" s="85"/>
      <c r="J39" s="88">
        <v>45734</v>
      </c>
      <c r="K39" s="89">
        <v>0.22916666666666666</v>
      </c>
      <c r="L39" s="87">
        <v>45734</v>
      </c>
      <c r="M39" s="85">
        <v>0.27405092592592595</v>
      </c>
      <c r="N39" s="78" t="s">
        <v>387</v>
      </c>
      <c r="O39" s="78" t="s">
        <v>242</v>
      </c>
      <c r="P39" s="78"/>
      <c r="Q39" s="78" t="s">
        <v>491</v>
      </c>
      <c r="R39" s="78" t="s">
        <v>221</v>
      </c>
      <c r="S39" s="80">
        <v>9</v>
      </c>
      <c r="T39" s="78" t="s">
        <v>492</v>
      </c>
      <c r="U39" s="80"/>
      <c r="V39" s="80"/>
      <c r="W39" s="78" t="s">
        <v>990</v>
      </c>
      <c r="X39" s="78" t="s">
        <v>494</v>
      </c>
      <c r="Y39" s="78" t="s">
        <v>495</v>
      </c>
      <c r="Z39" s="78" t="s">
        <v>161</v>
      </c>
      <c r="AA39" s="78"/>
      <c r="AB39" s="78"/>
      <c r="AC39" s="78"/>
      <c r="AD39" s="78"/>
      <c r="AE39" s="78"/>
      <c r="AF39" s="78" t="s">
        <v>931</v>
      </c>
      <c r="AG39" s="78" t="s">
        <v>496</v>
      </c>
      <c r="AH39" s="78" t="s">
        <v>497</v>
      </c>
      <c r="AI39" s="78"/>
      <c r="AJ39" s="78"/>
      <c r="AK39" s="78"/>
      <c r="AL39" s="80">
        <v>9</v>
      </c>
      <c r="AM39" s="81">
        <v>45734</v>
      </c>
      <c r="AN39" s="82">
        <v>0.22916666666666666</v>
      </c>
      <c r="AO39" s="82">
        <v>0.20833333333333334</v>
      </c>
      <c r="AP39" s="80" t="s">
        <v>385</v>
      </c>
      <c r="AQ39" s="78" t="s">
        <v>230</v>
      </c>
      <c r="AR39" s="80" t="s">
        <v>498</v>
      </c>
      <c r="AS39" s="93" t="s">
        <v>169</v>
      </c>
      <c r="AT39" s="78" t="s">
        <v>385</v>
      </c>
      <c r="AU39" s="92" t="s">
        <v>148</v>
      </c>
      <c r="AV39" s="92" t="s">
        <v>445</v>
      </c>
      <c r="AW39" s="93">
        <v>2025</v>
      </c>
      <c r="AX39" s="93">
        <v>12</v>
      </c>
      <c r="AY39" s="93">
        <v>18</v>
      </c>
      <c r="AZ39" s="78" t="s">
        <v>230</v>
      </c>
    </row>
    <row r="40" spans="1:52" x14ac:dyDescent="0.25">
      <c r="A40" s="78" t="s">
        <v>1109</v>
      </c>
      <c r="B40" s="78" t="s">
        <v>971</v>
      </c>
      <c r="C40" s="79">
        <v>45846.447755046298</v>
      </c>
      <c r="D40" s="79">
        <v>45846.444835451388</v>
      </c>
      <c r="E40" s="79">
        <v>45846.444822557867</v>
      </c>
      <c r="F40" s="78" t="s">
        <v>972</v>
      </c>
      <c r="G40" s="78" t="s">
        <v>499</v>
      </c>
      <c r="H40" s="87">
        <v>45737</v>
      </c>
      <c r="I40" s="85">
        <v>0.32499999999999996</v>
      </c>
      <c r="J40" s="88"/>
      <c r="K40" s="89"/>
      <c r="L40" s="87">
        <v>45737</v>
      </c>
      <c r="M40" s="85">
        <v>0.59714120370370372</v>
      </c>
      <c r="N40" s="78" t="s">
        <v>154</v>
      </c>
      <c r="O40" s="78"/>
      <c r="P40" s="78"/>
      <c r="Q40" s="78" t="s">
        <v>500</v>
      </c>
      <c r="R40" s="78" t="s">
        <v>315</v>
      </c>
      <c r="S40" s="80">
        <v>6</v>
      </c>
      <c r="T40" s="78" t="s">
        <v>501</v>
      </c>
      <c r="U40" s="80"/>
      <c r="V40" s="80"/>
      <c r="W40" s="78" t="s">
        <v>502</v>
      </c>
      <c r="X40" s="78" t="s">
        <v>991</v>
      </c>
      <c r="Y40" s="78"/>
      <c r="Z40" s="78" t="s">
        <v>161</v>
      </c>
      <c r="AA40" s="78"/>
      <c r="AB40" s="78"/>
      <c r="AC40" s="78"/>
      <c r="AD40" s="78"/>
      <c r="AE40" s="78" t="s">
        <v>989</v>
      </c>
      <c r="AF40" s="78" t="s">
        <v>931</v>
      </c>
      <c r="AG40" s="78" t="s">
        <v>291</v>
      </c>
      <c r="AH40" s="78" t="s">
        <v>256</v>
      </c>
      <c r="AI40" s="78" t="s">
        <v>372</v>
      </c>
      <c r="AJ40" s="78" t="s">
        <v>320</v>
      </c>
      <c r="AK40" s="78" t="s">
        <v>167</v>
      </c>
      <c r="AL40" s="80">
        <v>9</v>
      </c>
      <c r="AM40" s="81">
        <v>45737</v>
      </c>
      <c r="AN40" s="82">
        <v>0.32500000000000001</v>
      </c>
      <c r="AO40" s="82">
        <v>0.29166666666666669</v>
      </c>
      <c r="AP40" s="80" t="s">
        <v>385</v>
      </c>
      <c r="AQ40" s="78" t="s">
        <v>504</v>
      </c>
      <c r="AR40" s="80" t="s">
        <v>154</v>
      </c>
      <c r="AS40" s="93" t="s">
        <v>169</v>
      </c>
      <c r="AT40" s="78" t="s">
        <v>385</v>
      </c>
      <c r="AU40" s="92" t="s">
        <v>170</v>
      </c>
      <c r="AV40" s="92" t="s">
        <v>445</v>
      </c>
      <c r="AW40" s="93">
        <v>2025</v>
      </c>
      <c r="AX40" s="93">
        <v>12</v>
      </c>
      <c r="AY40" s="93">
        <v>21</v>
      </c>
      <c r="AZ40" s="78" t="s">
        <v>504</v>
      </c>
    </row>
    <row r="41" spans="1:52" x14ac:dyDescent="0.25">
      <c r="A41" s="78" t="s">
        <v>1109</v>
      </c>
      <c r="B41" s="78" t="s">
        <v>971</v>
      </c>
      <c r="C41" s="79">
        <v>45846.447755046298</v>
      </c>
      <c r="D41" s="79">
        <v>45846.444835451388</v>
      </c>
      <c r="E41" s="79">
        <v>45846.444822557867</v>
      </c>
      <c r="F41" s="78" t="s">
        <v>972</v>
      </c>
      <c r="G41" s="78" t="s">
        <v>505</v>
      </c>
      <c r="H41" s="87">
        <v>45739</v>
      </c>
      <c r="I41" s="85">
        <v>0.17361111111111116</v>
      </c>
      <c r="J41" s="88">
        <v>45739</v>
      </c>
      <c r="K41" s="89">
        <v>0.18055555555555555</v>
      </c>
      <c r="L41" s="87">
        <v>45739</v>
      </c>
      <c r="M41" s="85">
        <v>0.20511574074074074</v>
      </c>
      <c r="N41" s="78" t="s">
        <v>174</v>
      </c>
      <c r="O41" s="78" t="s">
        <v>506</v>
      </c>
      <c r="P41" s="78"/>
      <c r="Q41" s="78" t="s">
        <v>507</v>
      </c>
      <c r="R41" s="78" t="s">
        <v>270</v>
      </c>
      <c r="S41" s="80">
        <v>5</v>
      </c>
      <c r="T41" s="78" t="s">
        <v>508</v>
      </c>
      <c r="U41" s="80"/>
      <c r="V41" s="80"/>
      <c r="W41" s="78" t="s">
        <v>992</v>
      </c>
      <c r="X41" s="78" t="s">
        <v>981</v>
      </c>
      <c r="Y41" s="78" t="s">
        <v>510</v>
      </c>
      <c r="Z41" s="78" t="s">
        <v>161</v>
      </c>
      <c r="AA41" s="78"/>
      <c r="AB41" s="78"/>
      <c r="AC41" s="78"/>
      <c r="AD41" s="78"/>
      <c r="AE41" s="78" t="s">
        <v>993</v>
      </c>
      <c r="AF41" s="78" t="s">
        <v>931</v>
      </c>
      <c r="AG41" s="78" t="s">
        <v>309</v>
      </c>
      <c r="AH41" s="78" t="s">
        <v>142</v>
      </c>
      <c r="AI41" s="78" t="s">
        <v>275</v>
      </c>
      <c r="AJ41" s="78" t="s">
        <v>166</v>
      </c>
      <c r="AK41" s="78" t="s">
        <v>182</v>
      </c>
      <c r="AL41" s="80">
        <v>9</v>
      </c>
      <c r="AM41" s="81">
        <v>45739</v>
      </c>
      <c r="AN41" s="82">
        <v>0.1736111111111111</v>
      </c>
      <c r="AO41" s="82">
        <v>0.16666666666666666</v>
      </c>
      <c r="AP41" s="80" t="s">
        <v>385</v>
      </c>
      <c r="AQ41" s="78" t="s">
        <v>513</v>
      </c>
      <c r="AR41" s="80" t="s">
        <v>512</v>
      </c>
      <c r="AS41" s="93" t="s">
        <v>169</v>
      </c>
      <c r="AT41" s="78" t="s">
        <v>385</v>
      </c>
      <c r="AU41" s="92" t="s">
        <v>311</v>
      </c>
      <c r="AV41" s="92" t="s">
        <v>445</v>
      </c>
      <c r="AW41" s="93">
        <v>2025</v>
      </c>
      <c r="AX41" s="93">
        <v>13</v>
      </c>
      <c r="AY41" s="93">
        <v>23</v>
      </c>
      <c r="AZ41" s="78" t="s">
        <v>513</v>
      </c>
    </row>
    <row r="42" spans="1:52" x14ac:dyDescent="0.25">
      <c r="A42" s="78" t="s">
        <v>1109</v>
      </c>
      <c r="B42" s="78" t="s">
        <v>971</v>
      </c>
      <c r="C42" s="79">
        <v>45846.447755046298</v>
      </c>
      <c r="D42" s="79">
        <v>45846.444835451388</v>
      </c>
      <c r="E42" s="79">
        <v>45846.444822557867</v>
      </c>
      <c r="F42" s="78" t="s">
        <v>972</v>
      </c>
      <c r="G42" s="78" t="s">
        <v>520</v>
      </c>
      <c r="H42" s="87">
        <v>45741</v>
      </c>
      <c r="I42" s="85">
        <v>0.48402777777777772</v>
      </c>
      <c r="J42" s="88"/>
      <c r="K42" s="89"/>
      <c r="L42" s="87">
        <v>45741</v>
      </c>
      <c r="M42" s="85">
        <v>0.50343749999999998</v>
      </c>
      <c r="N42" s="78" t="s">
        <v>206</v>
      </c>
      <c r="O42" s="78" t="s">
        <v>295</v>
      </c>
      <c r="P42" s="78" t="s">
        <v>521</v>
      </c>
      <c r="Q42" s="78" t="s">
        <v>220</v>
      </c>
      <c r="R42" s="78" t="s">
        <v>221</v>
      </c>
      <c r="S42" s="80">
        <v>9</v>
      </c>
      <c r="T42" s="78" t="s">
        <v>522</v>
      </c>
      <c r="U42" s="80"/>
      <c r="V42" s="80"/>
      <c r="W42" s="78" t="s">
        <v>523</v>
      </c>
      <c r="X42" s="78" t="s">
        <v>961</v>
      </c>
      <c r="Y42" s="78" t="s">
        <v>524</v>
      </c>
      <c r="Z42" s="78" t="s">
        <v>161</v>
      </c>
      <c r="AA42" s="78"/>
      <c r="AB42" s="78"/>
      <c r="AC42" s="78"/>
      <c r="AD42" s="78"/>
      <c r="AE42" s="78" t="s">
        <v>962</v>
      </c>
      <c r="AF42" s="78" t="s">
        <v>931</v>
      </c>
      <c r="AG42" s="78" t="s">
        <v>525</v>
      </c>
      <c r="AH42" s="78" t="s">
        <v>211</v>
      </c>
      <c r="AI42" s="78" t="s">
        <v>228</v>
      </c>
      <c r="AJ42" s="78" t="s">
        <v>166</v>
      </c>
      <c r="AK42" s="78" t="s">
        <v>213</v>
      </c>
      <c r="AL42" s="80">
        <v>9</v>
      </c>
      <c r="AM42" s="81">
        <v>45741</v>
      </c>
      <c r="AN42" s="82">
        <v>0.48402777777777778</v>
      </c>
      <c r="AO42" s="82">
        <v>0.45833333333333331</v>
      </c>
      <c r="AP42" s="80" t="s">
        <v>276</v>
      </c>
      <c r="AQ42" s="78" t="s">
        <v>230</v>
      </c>
      <c r="AR42" s="80" t="s">
        <v>526</v>
      </c>
      <c r="AS42" s="93" t="s">
        <v>169</v>
      </c>
      <c r="AT42" s="78" t="s">
        <v>276</v>
      </c>
      <c r="AU42" s="92" t="s">
        <v>148</v>
      </c>
      <c r="AV42" s="92" t="s">
        <v>445</v>
      </c>
      <c r="AW42" s="93">
        <v>2025</v>
      </c>
      <c r="AX42" s="93">
        <v>13</v>
      </c>
      <c r="AY42" s="93">
        <v>25</v>
      </c>
      <c r="AZ42" s="78" t="s">
        <v>230</v>
      </c>
    </row>
    <row r="43" spans="1:52" x14ac:dyDescent="0.25">
      <c r="A43" s="78" t="s">
        <v>1109</v>
      </c>
      <c r="B43" s="78" t="s">
        <v>971</v>
      </c>
      <c r="C43" s="79">
        <v>45846.447755046298</v>
      </c>
      <c r="D43" s="79">
        <v>45846.444835451388</v>
      </c>
      <c r="E43" s="79">
        <v>45846.444822557867</v>
      </c>
      <c r="F43" s="78" t="s">
        <v>972</v>
      </c>
      <c r="G43" s="78" t="s">
        <v>527</v>
      </c>
      <c r="H43" s="87">
        <v>45743</v>
      </c>
      <c r="I43" s="85">
        <v>0.94666666666666677</v>
      </c>
      <c r="J43" s="88"/>
      <c r="K43" s="89"/>
      <c r="L43" s="87">
        <v>45743</v>
      </c>
      <c r="M43" s="85">
        <v>0.94666666666666666</v>
      </c>
      <c r="N43" s="78" t="s">
        <v>367</v>
      </c>
      <c r="O43" s="78" t="s">
        <v>528</v>
      </c>
      <c r="P43" s="78" t="s">
        <v>218</v>
      </c>
      <c r="Q43" s="78" t="s">
        <v>529</v>
      </c>
      <c r="R43" s="78" t="s">
        <v>315</v>
      </c>
      <c r="S43" s="80">
        <v>6</v>
      </c>
      <c r="T43" s="78" t="s">
        <v>13</v>
      </c>
      <c r="U43" s="80"/>
      <c r="V43" s="80"/>
      <c r="W43" s="78"/>
      <c r="X43" s="78"/>
      <c r="Y43" s="78"/>
      <c r="Z43" s="78"/>
      <c r="AA43" s="78"/>
      <c r="AB43" s="78"/>
      <c r="AC43" s="78"/>
      <c r="AD43" s="78"/>
      <c r="AE43" s="78" t="s">
        <v>932</v>
      </c>
      <c r="AF43" s="78" t="s">
        <v>931</v>
      </c>
      <c r="AG43" s="78" t="s">
        <v>530</v>
      </c>
      <c r="AH43" s="78" t="s">
        <v>384</v>
      </c>
      <c r="AI43" s="78" t="s">
        <v>257</v>
      </c>
      <c r="AJ43" s="78" t="s">
        <v>144</v>
      </c>
      <c r="AK43" s="78" t="s">
        <v>246</v>
      </c>
      <c r="AL43" s="80">
        <v>9</v>
      </c>
      <c r="AM43" s="81">
        <v>45743</v>
      </c>
      <c r="AN43" s="82">
        <v>0.94666666666666666</v>
      </c>
      <c r="AO43" s="82">
        <v>0.91666666666666663</v>
      </c>
      <c r="AP43" s="80" t="s">
        <v>168</v>
      </c>
      <c r="AQ43" s="78" t="s">
        <v>461</v>
      </c>
      <c r="AR43" s="80" t="s">
        <v>531</v>
      </c>
      <c r="AS43" s="93" t="s">
        <v>169</v>
      </c>
      <c r="AT43" s="78" t="s">
        <v>168</v>
      </c>
      <c r="AU43" s="92" t="s">
        <v>247</v>
      </c>
      <c r="AV43" s="92" t="s">
        <v>445</v>
      </c>
      <c r="AW43" s="93">
        <v>2025</v>
      </c>
      <c r="AX43" s="93">
        <v>13</v>
      </c>
      <c r="AY43" s="93">
        <v>27</v>
      </c>
      <c r="AZ43" s="78" t="s">
        <v>461</v>
      </c>
    </row>
    <row r="44" spans="1:52" x14ac:dyDescent="0.25">
      <c r="A44" s="78" t="s">
        <v>1109</v>
      </c>
      <c r="B44" s="78" t="s">
        <v>971</v>
      </c>
      <c r="C44" s="79">
        <v>45846.447755046298</v>
      </c>
      <c r="D44" s="79">
        <v>45846.444835451388</v>
      </c>
      <c r="E44" s="79">
        <v>45846.444822557867</v>
      </c>
      <c r="F44" s="78" t="s">
        <v>972</v>
      </c>
      <c r="G44" s="78" t="s">
        <v>532</v>
      </c>
      <c r="H44" s="87">
        <v>45743</v>
      </c>
      <c r="I44" s="85">
        <v>0.97916666666666674</v>
      </c>
      <c r="J44" s="88">
        <v>45744</v>
      </c>
      <c r="K44" s="89">
        <v>2.5000000000000001E-2</v>
      </c>
      <c r="L44" s="87">
        <v>45744</v>
      </c>
      <c r="M44" s="85">
        <v>0.46781250000000002</v>
      </c>
      <c r="N44" s="78" t="s">
        <v>242</v>
      </c>
      <c r="O44" s="78"/>
      <c r="P44" s="78"/>
      <c r="Q44" s="78" t="s">
        <v>533</v>
      </c>
      <c r="R44" s="78" t="s">
        <v>358</v>
      </c>
      <c r="S44" s="80">
        <v>8</v>
      </c>
      <c r="T44" s="78" t="s">
        <v>17</v>
      </c>
      <c r="U44" s="80">
        <v>50300</v>
      </c>
      <c r="V44" s="80"/>
      <c r="W44" s="78"/>
      <c r="X44" s="78"/>
      <c r="Y44" s="78"/>
      <c r="Z44" s="78"/>
      <c r="AA44" s="78"/>
      <c r="AB44" s="78"/>
      <c r="AC44" s="78"/>
      <c r="AD44" s="78"/>
      <c r="AE44" s="78" t="s">
        <v>935</v>
      </c>
      <c r="AF44" s="78" t="s">
        <v>931</v>
      </c>
      <c r="AG44" s="78" t="s">
        <v>475</v>
      </c>
      <c r="AH44" s="78" t="s">
        <v>211</v>
      </c>
      <c r="AI44" s="78" t="s">
        <v>534</v>
      </c>
      <c r="AJ44" s="78" t="s">
        <v>166</v>
      </c>
      <c r="AK44" s="78" t="s">
        <v>246</v>
      </c>
      <c r="AL44" s="80">
        <v>9</v>
      </c>
      <c r="AM44" s="81">
        <v>45743</v>
      </c>
      <c r="AN44" s="82">
        <v>0.97916666666666663</v>
      </c>
      <c r="AO44" s="82">
        <v>0.95833333333333337</v>
      </c>
      <c r="AP44" s="80" t="s">
        <v>168</v>
      </c>
      <c r="AQ44" s="78" t="s">
        <v>481</v>
      </c>
      <c r="AR44" s="80" t="s">
        <v>242</v>
      </c>
      <c r="AS44" s="93" t="s">
        <v>169</v>
      </c>
      <c r="AT44" s="78" t="s">
        <v>168</v>
      </c>
      <c r="AU44" s="92" t="s">
        <v>247</v>
      </c>
      <c r="AV44" s="92" t="s">
        <v>445</v>
      </c>
      <c r="AW44" s="93">
        <v>2025</v>
      </c>
      <c r="AX44" s="93">
        <v>13</v>
      </c>
      <c r="AY44" s="93">
        <v>27</v>
      </c>
      <c r="AZ44" s="78" t="s">
        <v>481</v>
      </c>
    </row>
    <row r="45" spans="1:52" x14ac:dyDescent="0.25">
      <c r="A45" s="78" t="s">
        <v>1109</v>
      </c>
      <c r="B45" s="78" t="s">
        <v>971</v>
      </c>
      <c r="C45" s="79">
        <v>45846.447755046298</v>
      </c>
      <c r="D45" s="79">
        <v>45846.444835451388</v>
      </c>
      <c r="E45" s="79">
        <v>45846.444822557867</v>
      </c>
      <c r="F45" s="78" t="s">
        <v>972</v>
      </c>
      <c r="G45" s="78" t="s">
        <v>544</v>
      </c>
      <c r="H45" s="87">
        <v>45745</v>
      </c>
      <c r="I45" s="85">
        <v>0.20515046296296302</v>
      </c>
      <c r="J45" s="88"/>
      <c r="K45" s="89"/>
      <c r="L45" s="87">
        <v>45745</v>
      </c>
      <c r="M45" s="85">
        <v>0.20931712962962962</v>
      </c>
      <c r="N45" s="78" t="s">
        <v>347</v>
      </c>
      <c r="O45" s="78" t="s">
        <v>545</v>
      </c>
      <c r="P45" s="78"/>
      <c r="Q45" s="78" t="s">
        <v>546</v>
      </c>
      <c r="R45" s="78" t="s">
        <v>338</v>
      </c>
      <c r="S45" s="80">
        <v>6</v>
      </c>
      <c r="T45" s="78" t="s">
        <v>547</v>
      </c>
      <c r="U45" s="80"/>
      <c r="V45" s="80"/>
      <c r="W45" s="78" t="s">
        <v>548</v>
      </c>
      <c r="X45" s="78" t="s">
        <v>994</v>
      </c>
      <c r="Y45" s="78" t="s">
        <v>540</v>
      </c>
      <c r="Z45" s="78" t="s">
        <v>161</v>
      </c>
      <c r="AA45" s="78"/>
      <c r="AB45" s="78"/>
      <c r="AC45" s="78"/>
      <c r="AD45" s="78"/>
      <c r="AE45" s="78" t="s">
        <v>993</v>
      </c>
      <c r="AF45" s="78" t="s">
        <v>931</v>
      </c>
      <c r="AG45" s="78" t="s">
        <v>530</v>
      </c>
      <c r="AH45" s="78" t="s">
        <v>384</v>
      </c>
      <c r="AI45" s="78" t="s">
        <v>488</v>
      </c>
      <c r="AJ45" s="78" t="s">
        <v>166</v>
      </c>
      <c r="AK45" s="78"/>
      <c r="AL45" s="80">
        <v>9</v>
      </c>
      <c r="AM45" s="81">
        <v>45745</v>
      </c>
      <c r="AN45" s="82">
        <v>0.20515046296296297</v>
      </c>
      <c r="AO45" s="82">
        <v>0.16666666666666666</v>
      </c>
      <c r="AP45" s="80" t="s">
        <v>385</v>
      </c>
      <c r="AQ45" s="78" t="s">
        <v>550</v>
      </c>
      <c r="AR45" s="80" t="s">
        <v>549</v>
      </c>
      <c r="AS45" s="93" t="s">
        <v>169</v>
      </c>
      <c r="AT45" s="78" t="s">
        <v>385</v>
      </c>
      <c r="AU45" s="92" t="s">
        <v>292</v>
      </c>
      <c r="AV45" s="92" t="s">
        <v>445</v>
      </c>
      <c r="AW45" s="93">
        <v>2025</v>
      </c>
      <c r="AX45" s="93">
        <v>13</v>
      </c>
      <c r="AY45" s="93">
        <v>29</v>
      </c>
      <c r="AZ45" s="78" t="s">
        <v>550</v>
      </c>
    </row>
    <row r="46" spans="1:52" x14ac:dyDescent="0.25">
      <c r="A46" s="78" t="s">
        <v>1109</v>
      </c>
      <c r="B46" s="78" t="s">
        <v>971</v>
      </c>
      <c r="C46" s="79">
        <v>45846.447755046298</v>
      </c>
      <c r="D46" s="79">
        <v>45846.444835451388</v>
      </c>
      <c r="E46" s="79">
        <v>45846.444822557867</v>
      </c>
      <c r="F46" s="78" t="s">
        <v>972</v>
      </c>
      <c r="G46" s="78" t="s">
        <v>535</v>
      </c>
      <c r="H46" s="87">
        <v>45744</v>
      </c>
      <c r="I46" s="85">
        <v>0.85416666666666674</v>
      </c>
      <c r="J46" s="88">
        <v>45745</v>
      </c>
      <c r="K46" s="89">
        <v>0.41666666666666669</v>
      </c>
      <c r="L46" s="87">
        <v>45745</v>
      </c>
      <c r="M46" s="85">
        <v>0.42986111111111114</v>
      </c>
      <c r="N46" s="78" t="s">
        <v>154</v>
      </c>
      <c r="O46" s="78"/>
      <c r="P46" s="78"/>
      <c r="Q46" s="78" t="s">
        <v>536</v>
      </c>
      <c r="R46" s="78" t="s">
        <v>425</v>
      </c>
      <c r="S46" s="80">
        <v>8</v>
      </c>
      <c r="T46" s="78" t="s">
        <v>537</v>
      </c>
      <c r="U46" s="80"/>
      <c r="V46" s="80"/>
      <c r="W46" s="78" t="s">
        <v>538</v>
      </c>
      <c r="X46" s="78" t="s">
        <v>994</v>
      </c>
      <c r="Y46" s="78" t="s">
        <v>540</v>
      </c>
      <c r="Z46" s="78" t="s">
        <v>161</v>
      </c>
      <c r="AA46" s="78"/>
      <c r="AB46" s="78"/>
      <c r="AC46" s="78"/>
      <c r="AD46" s="78"/>
      <c r="AE46" s="78" t="s">
        <v>993</v>
      </c>
      <c r="AF46" s="78" t="s">
        <v>931</v>
      </c>
      <c r="AG46" s="78" t="s">
        <v>541</v>
      </c>
      <c r="AH46" s="78" t="s">
        <v>542</v>
      </c>
      <c r="AI46" s="78" t="s">
        <v>228</v>
      </c>
      <c r="AJ46" s="78" t="s">
        <v>166</v>
      </c>
      <c r="AK46" s="78" t="s">
        <v>167</v>
      </c>
      <c r="AL46" s="80">
        <v>9</v>
      </c>
      <c r="AM46" s="81">
        <v>45744</v>
      </c>
      <c r="AN46" s="82">
        <v>0.85416666666666663</v>
      </c>
      <c r="AO46" s="82">
        <v>0.83333333333333337</v>
      </c>
      <c r="AP46" s="80" t="s">
        <v>168</v>
      </c>
      <c r="AQ46" s="78" t="s">
        <v>543</v>
      </c>
      <c r="AR46" s="80" t="s">
        <v>154</v>
      </c>
      <c r="AS46" s="93" t="s">
        <v>169</v>
      </c>
      <c r="AT46" s="78" t="s">
        <v>168</v>
      </c>
      <c r="AU46" s="92" t="s">
        <v>170</v>
      </c>
      <c r="AV46" s="92" t="s">
        <v>445</v>
      </c>
      <c r="AW46" s="93">
        <v>2025</v>
      </c>
      <c r="AX46" s="93">
        <v>13</v>
      </c>
      <c r="AY46" s="93">
        <v>28</v>
      </c>
      <c r="AZ46" s="78" t="s">
        <v>543</v>
      </c>
    </row>
    <row r="47" spans="1:52" x14ac:dyDescent="0.25">
      <c r="A47" s="78" t="s">
        <v>1109</v>
      </c>
      <c r="B47" s="78" t="s">
        <v>971</v>
      </c>
      <c r="C47" s="79">
        <v>45846.447755046298</v>
      </c>
      <c r="D47" s="79">
        <v>45846.444835451388</v>
      </c>
      <c r="E47" s="79">
        <v>45846.444822557867</v>
      </c>
      <c r="F47" s="78" t="s">
        <v>972</v>
      </c>
      <c r="G47" s="78" t="s">
        <v>551</v>
      </c>
      <c r="H47" s="87">
        <v>45747</v>
      </c>
      <c r="I47" s="85">
        <v>0.5</v>
      </c>
      <c r="J47" s="88"/>
      <c r="K47" s="89"/>
      <c r="L47" s="87">
        <v>45747</v>
      </c>
      <c r="M47" s="85">
        <v>0.54355324074074074</v>
      </c>
      <c r="N47" s="78" t="s">
        <v>242</v>
      </c>
      <c r="O47" s="78"/>
      <c r="P47" s="78"/>
      <c r="Q47" s="78" t="s">
        <v>552</v>
      </c>
      <c r="R47" s="78" t="s">
        <v>553</v>
      </c>
      <c r="S47" s="80">
        <v>7</v>
      </c>
      <c r="T47" s="78" t="s">
        <v>23</v>
      </c>
      <c r="U47" s="80"/>
      <c r="V47" s="80"/>
      <c r="W47" s="78"/>
      <c r="X47" s="78"/>
      <c r="Y47" s="78"/>
      <c r="Z47" s="78"/>
      <c r="AA47" s="78"/>
      <c r="AB47" s="78"/>
      <c r="AC47" s="78"/>
      <c r="AD47" s="78"/>
      <c r="AE47" s="78" t="s">
        <v>993</v>
      </c>
      <c r="AF47" s="78" t="s">
        <v>931</v>
      </c>
      <c r="AG47" s="78" t="s">
        <v>554</v>
      </c>
      <c r="AH47" s="78" t="s">
        <v>256</v>
      </c>
      <c r="AI47" s="78" t="s">
        <v>350</v>
      </c>
      <c r="AJ47" s="78" t="s">
        <v>301</v>
      </c>
      <c r="AK47" s="78" t="s">
        <v>246</v>
      </c>
      <c r="AL47" s="80">
        <v>9</v>
      </c>
      <c r="AM47" s="81">
        <v>45747</v>
      </c>
      <c r="AN47" s="82">
        <v>0.5</v>
      </c>
      <c r="AO47" s="82">
        <v>0.5</v>
      </c>
      <c r="AP47" s="80" t="s">
        <v>146</v>
      </c>
      <c r="AQ47" s="78" t="s">
        <v>322</v>
      </c>
      <c r="AR47" s="80" t="s">
        <v>242</v>
      </c>
      <c r="AS47" s="93" t="s">
        <v>169</v>
      </c>
      <c r="AT47" s="78" t="s">
        <v>146</v>
      </c>
      <c r="AU47" s="92" t="s">
        <v>183</v>
      </c>
      <c r="AV47" s="92" t="s">
        <v>445</v>
      </c>
      <c r="AW47" s="93">
        <v>2025</v>
      </c>
      <c r="AX47" s="93">
        <v>14</v>
      </c>
      <c r="AY47" s="93">
        <v>31</v>
      </c>
      <c r="AZ47" s="78" t="s">
        <v>322</v>
      </c>
    </row>
    <row r="48" spans="1:52" x14ac:dyDescent="0.25">
      <c r="A48" s="78" t="s">
        <v>1109</v>
      </c>
      <c r="B48" s="78" t="s">
        <v>971</v>
      </c>
      <c r="C48" s="79">
        <v>45846.447755046298</v>
      </c>
      <c r="D48" s="79">
        <v>45846.444835451388</v>
      </c>
      <c r="E48" s="79">
        <v>45846.444822557867</v>
      </c>
      <c r="F48" s="78" t="s">
        <v>972</v>
      </c>
      <c r="G48" s="78" t="s">
        <v>555</v>
      </c>
      <c r="H48" s="87">
        <v>45747</v>
      </c>
      <c r="I48" s="85">
        <v>0.77777777777777768</v>
      </c>
      <c r="J48" s="88">
        <v>45747</v>
      </c>
      <c r="K48" s="89">
        <v>0.91666666666666663</v>
      </c>
      <c r="L48" s="87">
        <v>45747</v>
      </c>
      <c r="M48" s="85">
        <v>0.93032407407407403</v>
      </c>
      <c r="N48" s="78" t="s">
        <v>174</v>
      </c>
      <c r="O48" s="78" t="s">
        <v>295</v>
      </c>
      <c r="P48" s="78" t="s">
        <v>556</v>
      </c>
      <c r="Q48" s="78" t="s">
        <v>557</v>
      </c>
      <c r="R48" s="78" t="s">
        <v>191</v>
      </c>
      <c r="S48" s="80">
        <v>7</v>
      </c>
      <c r="T48" s="78" t="s">
        <v>558</v>
      </c>
      <c r="U48" s="80"/>
      <c r="V48" s="80"/>
      <c r="W48" s="78" t="s">
        <v>559</v>
      </c>
      <c r="X48" s="78" t="s">
        <v>995</v>
      </c>
      <c r="Y48" s="78" t="s">
        <v>561</v>
      </c>
      <c r="Z48" s="78" t="s">
        <v>161</v>
      </c>
      <c r="AA48" s="78"/>
      <c r="AB48" s="78"/>
      <c r="AC48" s="78"/>
      <c r="AD48" s="78"/>
      <c r="AE48" s="78" t="s">
        <v>989</v>
      </c>
      <c r="AF48" s="78" t="s">
        <v>931</v>
      </c>
      <c r="AG48" s="78" t="s">
        <v>562</v>
      </c>
      <c r="AH48" s="78" t="s">
        <v>256</v>
      </c>
      <c r="AI48" s="78" t="s">
        <v>228</v>
      </c>
      <c r="AJ48" s="78" t="s">
        <v>166</v>
      </c>
      <c r="AK48" s="78" t="s">
        <v>563</v>
      </c>
      <c r="AL48" s="80">
        <v>9</v>
      </c>
      <c r="AM48" s="81">
        <v>45747</v>
      </c>
      <c r="AN48" s="82">
        <v>0.77777777777777779</v>
      </c>
      <c r="AO48" s="82">
        <v>0.75</v>
      </c>
      <c r="AP48" s="80" t="s">
        <v>266</v>
      </c>
      <c r="AQ48" s="78" t="s">
        <v>565</v>
      </c>
      <c r="AR48" s="80" t="s">
        <v>564</v>
      </c>
      <c r="AS48" s="93" t="s">
        <v>169</v>
      </c>
      <c r="AT48" s="78" t="s">
        <v>266</v>
      </c>
      <c r="AU48" s="92" t="s">
        <v>183</v>
      </c>
      <c r="AV48" s="92" t="s">
        <v>445</v>
      </c>
      <c r="AW48" s="93">
        <v>2025</v>
      </c>
      <c r="AX48" s="93">
        <v>14</v>
      </c>
      <c r="AY48" s="93">
        <v>31</v>
      </c>
      <c r="AZ48" s="78" t="s">
        <v>565</v>
      </c>
    </row>
    <row r="49" spans="1:52" x14ac:dyDescent="0.25">
      <c r="A49" s="78" t="s">
        <v>1109</v>
      </c>
      <c r="B49" s="78" t="s">
        <v>971</v>
      </c>
      <c r="C49" s="79">
        <v>45846.447755046298</v>
      </c>
      <c r="D49" s="79">
        <v>45846.444835451388</v>
      </c>
      <c r="E49" s="79">
        <v>45846.444822557867</v>
      </c>
      <c r="F49" s="78" t="s">
        <v>972</v>
      </c>
      <c r="G49" s="78" t="s">
        <v>566</v>
      </c>
      <c r="H49" s="87">
        <v>45747</v>
      </c>
      <c r="I49" s="85">
        <v>0.75</v>
      </c>
      <c r="J49" s="88"/>
      <c r="K49" s="89"/>
      <c r="L49" s="87">
        <v>45748</v>
      </c>
      <c r="M49" s="85">
        <v>3.6863425925925924E-2</v>
      </c>
      <c r="N49" s="78" t="s">
        <v>174</v>
      </c>
      <c r="O49" s="78"/>
      <c r="P49" s="78"/>
      <c r="Q49" s="78" t="s">
        <v>567</v>
      </c>
      <c r="R49" s="78" t="s">
        <v>156</v>
      </c>
      <c r="S49" s="80"/>
      <c r="T49" s="78" t="s">
        <v>568</v>
      </c>
      <c r="U49" s="80">
        <v>2</v>
      </c>
      <c r="V49" s="80">
        <v>0</v>
      </c>
      <c r="W49" s="78" t="s">
        <v>996</v>
      </c>
      <c r="X49" s="78" t="s">
        <v>947</v>
      </c>
      <c r="Y49" s="78" t="s">
        <v>997</v>
      </c>
      <c r="Z49" s="78" t="s">
        <v>976</v>
      </c>
      <c r="AA49" s="78"/>
      <c r="AB49" s="78"/>
      <c r="AC49" s="78"/>
      <c r="AD49" s="78"/>
      <c r="AE49" s="78" t="s">
        <v>989</v>
      </c>
      <c r="AF49" s="78" t="s">
        <v>931</v>
      </c>
      <c r="AG49" s="78" t="s">
        <v>571</v>
      </c>
      <c r="AH49" s="78" t="s">
        <v>444</v>
      </c>
      <c r="AI49" s="78" t="s">
        <v>228</v>
      </c>
      <c r="AJ49" s="78" t="s">
        <v>364</v>
      </c>
      <c r="AK49" s="78" t="s">
        <v>563</v>
      </c>
      <c r="AL49" s="80">
        <v>9</v>
      </c>
      <c r="AM49" s="81">
        <v>45747</v>
      </c>
      <c r="AN49" s="82">
        <v>0.75</v>
      </c>
      <c r="AO49" s="82">
        <v>0.75</v>
      </c>
      <c r="AP49" s="80" t="s">
        <v>266</v>
      </c>
      <c r="AQ49" s="78" t="s">
        <v>172</v>
      </c>
      <c r="AR49" s="80" t="s">
        <v>174</v>
      </c>
      <c r="AS49" s="93" t="s">
        <v>169</v>
      </c>
      <c r="AT49" s="78" t="s">
        <v>266</v>
      </c>
      <c r="AU49" s="92" t="s">
        <v>183</v>
      </c>
      <c r="AV49" s="92" t="s">
        <v>445</v>
      </c>
      <c r="AW49" s="93">
        <v>2025</v>
      </c>
      <c r="AX49" s="93">
        <v>14</v>
      </c>
      <c r="AY49" s="93">
        <v>31</v>
      </c>
      <c r="AZ49" s="78" t="s">
        <v>172</v>
      </c>
    </row>
    <row r="50" spans="1:52" x14ac:dyDescent="0.25">
      <c r="A50" s="78" t="s">
        <v>1109</v>
      </c>
      <c r="B50" s="78" t="s">
        <v>971</v>
      </c>
      <c r="C50" s="79">
        <v>45846.447755046298</v>
      </c>
      <c r="D50" s="79">
        <v>45846.444835451388</v>
      </c>
      <c r="E50" s="79">
        <v>45846.444822557867</v>
      </c>
      <c r="F50" s="78" t="s">
        <v>972</v>
      </c>
      <c r="G50" s="78" t="s">
        <v>572</v>
      </c>
      <c r="H50" s="87">
        <v>45747</v>
      </c>
      <c r="I50" s="85">
        <v>0.83333333333333326</v>
      </c>
      <c r="J50" s="88"/>
      <c r="K50" s="89"/>
      <c r="L50" s="87">
        <v>45747</v>
      </c>
      <c r="M50" s="85">
        <v>0.99899305555555551</v>
      </c>
      <c r="N50" s="78" t="s">
        <v>174</v>
      </c>
      <c r="O50" s="78"/>
      <c r="P50" s="78"/>
      <c r="Q50" s="78" t="s">
        <v>567</v>
      </c>
      <c r="R50" s="78" t="s">
        <v>156</v>
      </c>
      <c r="S50" s="80">
        <v>9</v>
      </c>
      <c r="T50" s="78" t="s">
        <v>573</v>
      </c>
      <c r="U50" s="80">
        <v>5</v>
      </c>
      <c r="V50" s="80">
        <v>0</v>
      </c>
      <c r="W50" s="78" t="s">
        <v>998</v>
      </c>
      <c r="X50" s="78" t="s">
        <v>947</v>
      </c>
      <c r="Y50" s="78" t="s">
        <v>575</v>
      </c>
      <c r="Z50" s="78" t="s">
        <v>161</v>
      </c>
      <c r="AA50" s="78"/>
      <c r="AB50" s="78"/>
      <c r="AC50" s="78"/>
      <c r="AD50" s="78"/>
      <c r="AE50" s="78" t="s">
        <v>989</v>
      </c>
      <c r="AF50" s="78" t="s">
        <v>931</v>
      </c>
      <c r="AG50" s="78" t="s">
        <v>571</v>
      </c>
      <c r="AH50" s="78" t="s">
        <v>444</v>
      </c>
      <c r="AI50" s="78" t="s">
        <v>228</v>
      </c>
      <c r="AJ50" s="78" t="s">
        <v>364</v>
      </c>
      <c r="AK50" s="78" t="s">
        <v>563</v>
      </c>
      <c r="AL50" s="80">
        <v>9</v>
      </c>
      <c r="AM50" s="81">
        <v>45747</v>
      </c>
      <c r="AN50" s="82">
        <v>0.83333333333333337</v>
      </c>
      <c r="AO50" s="82">
        <v>0.83333333333333337</v>
      </c>
      <c r="AP50" s="80" t="s">
        <v>168</v>
      </c>
      <c r="AQ50" s="78" t="s">
        <v>172</v>
      </c>
      <c r="AR50" s="80" t="s">
        <v>174</v>
      </c>
      <c r="AS50" s="93" t="s">
        <v>169</v>
      </c>
      <c r="AT50" s="78" t="s">
        <v>168</v>
      </c>
      <c r="AU50" s="92" t="s">
        <v>183</v>
      </c>
      <c r="AV50" s="92" t="s">
        <v>445</v>
      </c>
      <c r="AW50" s="93">
        <v>2025</v>
      </c>
      <c r="AX50" s="93">
        <v>14</v>
      </c>
      <c r="AY50" s="93">
        <v>31</v>
      </c>
      <c r="AZ50" s="78" t="s">
        <v>172</v>
      </c>
    </row>
    <row r="51" spans="1:52" x14ac:dyDescent="0.25">
      <c r="A51" s="78" t="s">
        <v>1109</v>
      </c>
      <c r="B51" s="78" t="s">
        <v>971</v>
      </c>
      <c r="C51" s="79">
        <v>45846.447755046298</v>
      </c>
      <c r="D51" s="79">
        <v>45846.444835451388</v>
      </c>
      <c r="E51" s="79">
        <v>45846.444822557867</v>
      </c>
      <c r="F51" s="78" t="s">
        <v>972</v>
      </c>
      <c r="G51" s="78" t="s">
        <v>576</v>
      </c>
      <c r="H51" s="87">
        <v>45748</v>
      </c>
      <c r="I51" s="85">
        <v>0.85324074074074074</v>
      </c>
      <c r="J51" s="88"/>
      <c r="K51" s="89"/>
      <c r="L51" s="87">
        <v>45748</v>
      </c>
      <c r="M51" s="85">
        <v>0.85324074074074074</v>
      </c>
      <c r="N51" s="78" t="s">
        <v>174</v>
      </c>
      <c r="O51" s="78"/>
      <c r="P51" s="78"/>
      <c r="Q51" s="78" t="s">
        <v>577</v>
      </c>
      <c r="R51" s="78" t="s">
        <v>414</v>
      </c>
      <c r="S51" s="80">
        <v>7</v>
      </c>
      <c r="T51" s="78" t="s">
        <v>578</v>
      </c>
      <c r="U51" s="80"/>
      <c r="V51" s="80"/>
      <c r="W51" s="78" t="s">
        <v>579</v>
      </c>
      <c r="X51" s="78" t="s">
        <v>999</v>
      </c>
      <c r="Y51" s="78" t="s">
        <v>581</v>
      </c>
      <c r="Z51" s="78" t="s">
        <v>161</v>
      </c>
      <c r="AA51" s="78"/>
      <c r="AB51" s="78"/>
      <c r="AC51" s="78"/>
      <c r="AD51" s="78"/>
      <c r="AE51" s="78" t="s">
        <v>934</v>
      </c>
      <c r="AF51" s="78" t="s">
        <v>931</v>
      </c>
      <c r="AG51" s="78" t="s">
        <v>417</v>
      </c>
      <c r="AH51" s="78" t="s">
        <v>142</v>
      </c>
      <c r="AI51" s="78" t="s">
        <v>228</v>
      </c>
      <c r="AJ51" s="78" t="s">
        <v>166</v>
      </c>
      <c r="AK51" s="78" t="s">
        <v>182</v>
      </c>
      <c r="AL51" s="80">
        <v>9</v>
      </c>
      <c r="AM51" s="81">
        <v>45748</v>
      </c>
      <c r="AN51" s="82">
        <v>0.85324074074074074</v>
      </c>
      <c r="AO51" s="82">
        <v>0.83333333333333337</v>
      </c>
      <c r="AP51" s="80" t="s">
        <v>168</v>
      </c>
      <c r="AQ51" s="78" t="s">
        <v>184</v>
      </c>
      <c r="AR51" s="80" t="s">
        <v>174</v>
      </c>
      <c r="AS51" s="93" t="s">
        <v>169</v>
      </c>
      <c r="AT51" s="78" t="s">
        <v>168</v>
      </c>
      <c r="AU51" s="92" t="s">
        <v>148</v>
      </c>
      <c r="AV51" s="92" t="s">
        <v>582</v>
      </c>
      <c r="AW51" s="93">
        <v>2025</v>
      </c>
      <c r="AX51" s="93">
        <v>14</v>
      </c>
      <c r="AY51" s="93">
        <v>1</v>
      </c>
      <c r="AZ51" s="78" t="s">
        <v>184</v>
      </c>
    </row>
    <row r="52" spans="1:52" x14ac:dyDescent="0.25">
      <c r="A52" s="78" t="s">
        <v>1109</v>
      </c>
      <c r="B52" s="78" t="s">
        <v>971</v>
      </c>
      <c r="C52" s="79">
        <v>45846.447755046298</v>
      </c>
      <c r="D52" s="79">
        <v>45846.444835451388</v>
      </c>
      <c r="E52" s="79">
        <v>45846.444822557867</v>
      </c>
      <c r="F52" s="78" t="s">
        <v>972</v>
      </c>
      <c r="G52" s="78" t="s">
        <v>587</v>
      </c>
      <c r="H52" s="87">
        <v>45749</v>
      </c>
      <c r="I52" s="85">
        <v>0.89930555555555558</v>
      </c>
      <c r="J52" s="88"/>
      <c r="K52" s="89"/>
      <c r="L52" s="87">
        <v>45749</v>
      </c>
      <c r="M52" s="85">
        <v>0.90325231481481483</v>
      </c>
      <c r="N52" s="78" t="s">
        <v>588</v>
      </c>
      <c r="O52" s="78" t="s">
        <v>136</v>
      </c>
      <c r="P52" s="78" t="s">
        <v>189</v>
      </c>
      <c r="Q52" s="78" t="s">
        <v>589</v>
      </c>
      <c r="R52" s="78" t="s">
        <v>138</v>
      </c>
      <c r="S52" s="80">
        <v>8</v>
      </c>
      <c r="T52" s="78" t="s">
        <v>590</v>
      </c>
      <c r="U52" s="80"/>
      <c r="V52" s="80"/>
      <c r="W52" s="78"/>
      <c r="X52" s="78"/>
      <c r="Y52" s="78"/>
      <c r="Z52" s="78"/>
      <c r="AA52" s="78"/>
      <c r="AB52" s="78"/>
      <c r="AC52" s="78"/>
      <c r="AD52" s="78"/>
      <c r="AE52" s="78" t="s">
        <v>935</v>
      </c>
      <c r="AF52" s="78" t="s">
        <v>931</v>
      </c>
      <c r="AG52" s="78" t="s">
        <v>525</v>
      </c>
      <c r="AH52" s="78" t="s">
        <v>211</v>
      </c>
      <c r="AI52" s="78" t="s">
        <v>143</v>
      </c>
      <c r="AJ52" s="78" t="s">
        <v>283</v>
      </c>
      <c r="AK52" s="78"/>
      <c r="AL52" s="80">
        <v>9</v>
      </c>
      <c r="AM52" s="81">
        <v>45749</v>
      </c>
      <c r="AN52" s="82">
        <v>0.89930555555555558</v>
      </c>
      <c r="AO52" s="82">
        <v>0.875</v>
      </c>
      <c r="AP52" s="80" t="s">
        <v>168</v>
      </c>
      <c r="AQ52" s="78" t="s">
        <v>592</v>
      </c>
      <c r="AR52" s="80" t="s">
        <v>591</v>
      </c>
      <c r="AS52" s="93" t="s">
        <v>169</v>
      </c>
      <c r="AT52" s="78" t="s">
        <v>168</v>
      </c>
      <c r="AU52" s="92" t="s">
        <v>239</v>
      </c>
      <c r="AV52" s="92" t="s">
        <v>582</v>
      </c>
      <c r="AW52" s="93">
        <v>2025</v>
      </c>
      <c r="AX52" s="93">
        <v>14</v>
      </c>
      <c r="AY52" s="93">
        <v>2</v>
      </c>
      <c r="AZ52" s="78" t="s">
        <v>592</v>
      </c>
    </row>
    <row r="53" spans="1:52" x14ac:dyDescent="0.25">
      <c r="A53" s="78" t="s">
        <v>1109</v>
      </c>
      <c r="B53" s="78" t="s">
        <v>971</v>
      </c>
      <c r="C53" s="79">
        <v>45846.447755046298</v>
      </c>
      <c r="D53" s="79">
        <v>45846.444835451388</v>
      </c>
      <c r="E53" s="79">
        <v>45846.444822557867</v>
      </c>
      <c r="F53" s="78" t="s">
        <v>972</v>
      </c>
      <c r="G53" s="78" t="s">
        <v>583</v>
      </c>
      <c r="H53" s="87">
        <v>45748</v>
      </c>
      <c r="I53" s="85">
        <v>0.5</v>
      </c>
      <c r="J53" s="88">
        <v>45751</v>
      </c>
      <c r="K53" s="89">
        <v>0.52083333333333337</v>
      </c>
      <c r="L53" s="87">
        <v>45751</v>
      </c>
      <c r="M53" s="85">
        <v>0.54546296296296293</v>
      </c>
      <c r="N53" s="78" t="s">
        <v>242</v>
      </c>
      <c r="O53" s="78"/>
      <c r="P53" s="78"/>
      <c r="Q53" s="78" t="s">
        <v>584</v>
      </c>
      <c r="R53" s="78" t="s">
        <v>288</v>
      </c>
      <c r="S53" s="80">
        <v>5</v>
      </c>
      <c r="T53" s="78" t="s">
        <v>26</v>
      </c>
      <c r="U53" s="80"/>
      <c r="V53" s="80"/>
      <c r="W53" s="78"/>
      <c r="X53" s="78"/>
      <c r="Y53" s="78"/>
      <c r="Z53" s="78"/>
      <c r="AA53" s="78"/>
      <c r="AB53" s="78"/>
      <c r="AC53" s="78"/>
      <c r="AD53" s="78"/>
      <c r="AE53" s="78" t="s">
        <v>950</v>
      </c>
      <c r="AF53" s="78" t="s">
        <v>931</v>
      </c>
      <c r="AG53" s="78" t="s">
        <v>585</v>
      </c>
      <c r="AH53" s="78" t="s">
        <v>164</v>
      </c>
      <c r="AI53" s="78" t="s">
        <v>488</v>
      </c>
      <c r="AJ53" s="78" t="s">
        <v>166</v>
      </c>
      <c r="AK53" s="78" t="s">
        <v>246</v>
      </c>
      <c r="AL53" s="80">
        <v>9</v>
      </c>
      <c r="AM53" s="81">
        <v>45748</v>
      </c>
      <c r="AN53" s="82">
        <v>0.5</v>
      </c>
      <c r="AO53" s="82">
        <v>0.5</v>
      </c>
      <c r="AP53" s="80" t="s">
        <v>146</v>
      </c>
      <c r="AQ53" s="78" t="s">
        <v>586</v>
      </c>
      <c r="AR53" s="80" t="s">
        <v>242</v>
      </c>
      <c r="AS53" s="93" t="s">
        <v>169</v>
      </c>
      <c r="AT53" s="78" t="s">
        <v>146</v>
      </c>
      <c r="AU53" s="92" t="s">
        <v>148</v>
      </c>
      <c r="AV53" s="92" t="s">
        <v>582</v>
      </c>
      <c r="AW53" s="93">
        <v>2025</v>
      </c>
      <c r="AX53" s="93">
        <v>14</v>
      </c>
      <c r="AY53" s="93">
        <v>1</v>
      </c>
      <c r="AZ53" s="78" t="s">
        <v>586</v>
      </c>
    </row>
    <row r="54" spans="1:52" x14ac:dyDescent="0.25">
      <c r="A54" s="78" t="s">
        <v>1109</v>
      </c>
      <c r="B54" s="78" t="s">
        <v>971</v>
      </c>
      <c r="C54" s="79">
        <v>45846.447755046298</v>
      </c>
      <c r="D54" s="79">
        <v>45846.444835451388</v>
      </c>
      <c r="E54" s="79">
        <v>45846.444822557867</v>
      </c>
      <c r="F54" s="78" t="s">
        <v>972</v>
      </c>
      <c r="G54" s="78" t="s">
        <v>593</v>
      </c>
      <c r="H54" s="87">
        <v>45755</v>
      </c>
      <c r="I54" s="85">
        <v>3.2638888888888884E-2</v>
      </c>
      <c r="J54" s="88"/>
      <c r="K54" s="89"/>
      <c r="L54" s="87">
        <v>45755</v>
      </c>
      <c r="M54" s="85">
        <v>3.6493055555555556E-2</v>
      </c>
      <c r="N54" s="78" t="s">
        <v>174</v>
      </c>
      <c r="O54" s="78" t="s">
        <v>219</v>
      </c>
      <c r="P54" s="78" t="s">
        <v>594</v>
      </c>
      <c r="Q54" s="78" t="s">
        <v>595</v>
      </c>
      <c r="R54" s="78" t="s">
        <v>553</v>
      </c>
      <c r="S54" s="80">
        <v>7</v>
      </c>
      <c r="T54" s="78" t="s">
        <v>596</v>
      </c>
      <c r="U54" s="80"/>
      <c r="V54" s="80"/>
      <c r="W54" s="78" t="s">
        <v>1000</v>
      </c>
      <c r="X54" s="78" t="s">
        <v>452</v>
      </c>
      <c r="Y54" s="78" t="s">
        <v>598</v>
      </c>
      <c r="Z54" s="78" t="s">
        <v>161</v>
      </c>
      <c r="AA54" s="78"/>
      <c r="AB54" s="78"/>
      <c r="AC54" s="78"/>
      <c r="AD54" s="78"/>
      <c r="AE54" s="78" t="s">
        <v>1001</v>
      </c>
      <c r="AF54" s="78" t="s">
        <v>931</v>
      </c>
      <c r="AG54" s="78" t="s">
        <v>255</v>
      </c>
      <c r="AH54" s="78" t="s">
        <v>256</v>
      </c>
      <c r="AI54" s="78" t="s">
        <v>310</v>
      </c>
      <c r="AJ54" s="78" t="s">
        <v>166</v>
      </c>
      <c r="AK54" s="78" t="s">
        <v>182</v>
      </c>
      <c r="AL54" s="80">
        <v>9</v>
      </c>
      <c r="AM54" s="81">
        <v>45755</v>
      </c>
      <c r="AN54" s="82">
        <v>3.2638888888888891E-2</v>
      </c>
      <c r="AO54" s="82">
        <v>0</v>
      </c>
      <c r="AP54" s="80" t="s">
        <v>343</v>
      </c>
      <c r="AQ54" s="78" t="s">
        <v>601</v>
      </c>
      <c r="AR54" s="80" t="s">
        <v>600</v>
      </c>
      <c r="AS54" s="93" t="s">
        <v>169</v>
      </c>
      <c r="AT54" s="78" t="s">
        <v>343</v>
      </c>
      <c r="AU54" s="92" t="s">
        <v>148</v>
      </c>
      <c r="AV54" s="92" t="s">
        <v>582</v>
      </c>
      <c r="AW54" s="93">
        <v>2025</v>
      </c>
      <c r="AX54" s="93">
        <v>15</v>
      </c>
      <c r="AY54" s="93">
        <v>8</v>
      </c>
      <c r="AZ54" s="78" t="s">
        <v>601</v>
      </c>
    </row>
    <row r="55" spans="1:52" x14ac:dyDescent="0.25">
      <c r="A55" s="78" t="s">
        <v>1109</v>
      </c>
      <c r="B55" s="78" t="s">
        <v>971</v>
      </c>
      <c r="C55" s="79">
        <v>45846.447755046298</v>
      </c>
      <c r="D55" s="79">
        <v>45846.444835451388</v>
      </c>
      <c r="E55" s="79">
        <v>45846.444822557867</v>
      </c>
      <c r="F55" s="78" t="s">
        <v>972</v>
      </c>
      <c r="G55" s="78" t="s">
        <v>612</v>
      </c>
      <c r="H55" s="87">
        <v>45756</v>
      </c>
      <c r="I55" s="85">
        <v>0.96527777777777768</v>
      </c>
      <c r="J55" s="88">
        <v>45756</v>
      </c>
      <c r="K55" s="89">
        <v>0.96597222222222223</v>
      </c>
      <c r="L55" s="87">
        <v>45757</v>
      </c>
      <c r="M55" s="85">
        <v>0.57611111111111113</v>
      </c>
      <c r="N55" s="78" t="s">
        <v>174</v>
      </c>
      <c r="O55" s="78"/>
      <c r="P55" s="78"/>
      <c r="Q55" s="78" t="s">
        <v>613</v>
      </c>
      <c r="R55" s="78" t="s">
        <v>325</v>
      </c>
      <c r="S55" s="80">
        <v>8</v>
      </c>
      <c r="T55" s="78" t="s">
        <v>614</v>
      </c>
      <c r="U55" s="80"/>
      <c r="V55" s="80"/>
      <c r="W55" s="78" t="s">
        <v>615</v>
      </c>
      <c r="X55" s="78" t="s">
        <v>991</v>
      </c>
      <c r="Y55" s="78" t="s">
        <v>616</v>
      </c>
      <c r="Z55" s="78" t="s">
        <v>161</v>
      </c>
      <c r="AA55" s="78"/>
      <c r="AB55" s="78"/>
      <c r="AC55" s="78"/>
      <c r="AD55" s="78"/>
      <c r="AE55" s="78" t="s">
        <v>932</v>
      </c>
      <c r="AF55" s="78" t="s">
        <v>931</v>
      </c>
      <c r="AG55" s="78" t="s">
        <v>265</v>
      </c>
      <c r="AH55" s="78" t="s">
        <v>164</v>
      </c>
      <c r="AI55" s="78" t="s">
        <v>488</v>
      </c>
      <c r="AJ55" s="78" t="s">
        <v>166</v>
      </c>
      <c r="AK55" s="78" t="s">
        <v>182</v>
      </c>
      <c r="AL55" s="80">
        <v>9</v>
      </c>
      <c r="AM55" s="81">
        <v>45756</v>
      </c>
      <c r="AN55" s="82">
        <v>0.96527777777777779</v>
      </c>
      <c r="AO55" s="82">
        <v>0.95833333333333337</v>
      </c>
      <c r="AP55" s="80" t="s">
        <v>168</v>
      </c>
      <c r="AQ55" s="78" t="s">
        <v>617</v>
      </c>
      <c r="AR55" s="80" t="s">
        <v>174</v>
      </c>
      <c r="AS55" s="93" t="s">
        <v>169</v>
      </c>
      <c r="AT55" s="78" t="s">
        <v>168</v>
      </c>
      <c r="AU55" s="92" t="s">
        <v>239</v>
      </c>
      <c r="AV55" s="92" t="s">
        <v>582</v>
      </c>
      <c r="AW55" s="93">
        <v>2025</v>
      </c>
      <c r="AX55" s="93">
        <v>15</v>
      </c>
      <c r="AY55" s="93">
        <v>9</v>
      </c>
      <c r="AZ55" s="78" t="s">
        <v>617</v>
      </c>
    </row>
    <row r="56" spans="1:52" x14ac:dyDescent="0.25">
      <c r="A56" s="78" t="s">
        <v>1109</v>
      </c>
      <c r="B56" s="78" t="s">
        <v>971</v>
      </c>
      <c r="C56" s="79">
        <v>45846.447755046298</v>
      </c>
      <c r="D56" s="79">
        <v>45846.444835451388</v>
      </c>
      <c r="E56" s="79">
        <v>45846.444822557867</v>
      </c>
      <c r="F56" s="78" t="s">
        <v>972</v>
      </c>
      <c r="G56" s="78" t="s">
        <v>602</v>
      </c>
      <c r="H56" s="87">
        <v>45755</v>
      </c>
      <c r="I56" s="85">
        <v>0.5</v>
      </c>
      <c r="J56" s="88">
        <v>45759</v>
      </c>
      <c r="K56" s="89">
        <v>0.5</v>
      </c>
      <c r="L56" s="87">
        <v>45759</v>
      </c>
      <c r="M56" s="85">
        <v>0.5269907407407407</v>
      </c>
      <c r="N56" s="78" t="s">
        <v>242</v>
      </c>
      <c r="O56" s="78"/>
      <c r="P56" s="78"/>
      <c r="Q56" s="78" t="s">
        <v>603</v>
      </c>
      <c r="R56" s="78" t="s">
        <v>288</v>
      </c>
      <c r="S56" s="80">
        <v>5</v>
      </c>
      <c r="T56" s="78" t="s">
        <v>29</v>
      </c>
      <c r="U56" s="80"/>
      <c r="V56" s="80"/>
      <c r="W56" s="78"/>
      <c r="X56" s="78"/>
      <c r="Y56" s="78"/>
      <c r="Z56" s="78"/>
      <c r="AA56" s="78"/>
      <c r="AB56" s="78"/>
      <c r="AC56" s="78"/>
      <c r="AD56" s="78"/>
      <c r="AE56" s="78" t="s">
        <v>932</v>
      </c>
      <c r="AF56" s="78" t="s">
        <v>931</v>
      </c>
      <c r="AG56" s="78" t="s">
        <v>530</v>
      </c>
      <c r="AH56" s="78" t="s">
        <v>384</v>
      </c>
      <c r="AI56" s="78" t="s">
        <v>310</v>
      </c>
      <c r="AJ56" s="78" t="s">
        <v>166</v>
      </c>
      <c r="AK56" s="78" t="s">
        <v>246</v>
      </c>
      <c r="AL56" s="80">
        <v>9</v>
      </c>
      <c r="AM56" s="81">
        <v>45755</v>
      </c>
      <c r="AN56" s="82">
        <v>0.5</v>
      </c>
      <c r="AO56" s="82">
        <v>0.5</v>
      </c>
      <c r="AP56" s="80" t="s">
        <v>146</v>
      </c>
      <c r="AQ56" s="78" t="s">
        <v>352</v>
      </c>
      <c r="AR56" s="80" t="s">
        <v>242</v>
      </c>
      <c r="AS56" s="93" t="s">
        <v>169</v>
      </c>
      <c r="AT56" s="78" t="s">
        <v>146</v>
      </c>
      <c r="AU56" s="92" t="s">
        <v>148</v>
      </c>
      <c r="AV56" s="92" t="s">
        <v>582</v>
      </c>
      <c r="AW56" s="93">
        <v>2025</v>
      </c>
      <c r="AX56" s="93">
        <v>15</v>
      </c>
      <c r="AY56" s="93">
        <v>8</v>
      </c>
      <c r="AZ56" s="78" t="s">
        <v>352</v>
      </c>
    </row>
    <row r="57" spans="1:52" x14ac:dyDescent="0.25">
      <c r="A57" s="78" t="s">
        <v>1109</v>
      </c>
      <c r="B57" s="78" t="s">
        <v>971</v>
      </c>
      <c r="C57" s="79">
        <v>45846.447755046298</v>
      </c>
      <c r="D57" s="79">
        <v>45846.444835451388</v>
      </c>
      <c r="E57" s="79">
        <v>45846.444822557867</v>
      </c>
      <c r="F57" s="78" t="s">
        <v>972</v>
      </c>
      <c r="G57" s="78" t="s">
        <v>618</v>
      </c>
      <c r="H57" s="87"/>
      <c r="I57" s="85"/>
      <c r="J57" s="88">
        <v>45760</v>
      </c>
      <c r="K57" s="89">
        <v>0.6875</v>
      </c>
      <c r="L57" s="87">
        <v>45760</v>
      </c>
      <c r="M57" s="85">
        <v>0.69084490740740745</v>
      </c>
      <c r="N57" s="78" t="s">
        <v>174</v>
      </c>
      <c r="O57" s="78" t="s">
        <v>619</v>
      </c>
      <c r="P57" s="78"/>
      <c r="Q57" s="78" t="s">
        <v>620</v>
      </c>
      <c r="R57" s="78" t="s">
        <v>191</v>
      </c>
      <c r="S57" s="80">
        <v>7</v>
      </c>
      <c r="T57" s="78" t="s">
        <v>621</v>
      </c>
      <c r="U57" s="80"/>
      <c r="V57" s="80"/>
      <c r="W57" s="78" t="s">
        <v>1002</v>
      </c>
      <c r="X57" s="78" t="s">
        <v>942</v>
      </c>
      <c r="Y57" s="78" t="s">
        <v>160</v>
      </c>
      <c r="Z57" s="78" t="s">
        <v>161</v>
      </c>
      <c r="AA57" s="78" t="s">
        <v>1003</v>
      </c>
      <c r="AB57" s="78" t="s">
        <v>161</v>
      </c>
      <c r="AC57" s="78" t="s">
        <v>981</v>
      </c>
      <c r="AD57" s="78" t="s">
        <v>624</v>
      </c>
      <c r="AE57" s="78" t="s">
        <v>950</v>
      </c>
      <c r="AF57" s="78" t="s">
        <v>931</v>
      </c>
      <c r="AG57" s="78" t="s">
        <v>625</v>
      </c>
      <c r="AH57" s="78" t="s">
        <v>328</v>
      </c>
      <c r="AI57" s="78" t="s">
        <v>228</v>
      </c>
      <c r="AJ57" s="78" t="s">
        <v>144</v>
      </c>
      <c r="AK57" s="78" t="s">
        <v>182</v>
      </c>
      <c r="AL57" s="80">
        <v>9</v>
      </c>
      <c r="AM57" s="81">
        <v>45760</v>
      </c>
      <c r="AN57" s="82">
        <v>0.6875</v>
      </c>
      <c r="AO57" s="82">
        <v>0.66666666666666663</v>
      </c>
      <c r="AP57" s="80" t="s">
        <v>266</v>
      </c>
      <c r="AQ57" s="78" t="s">
        <v>627</v>
      </c>
      <c r="AR57" s="80" t="s">
        <v>626</v>
      </c>
      <c r="AS57" s="93" t="s">
        <v>169</v>
      </c>
      <c r="AT57" s="78" t="s">
        <v>266</v>
      </c>
      <c r="AU57" s="92" t="s">
        <v>311</v>
      </c>
      <c r="AV57" s="92" t="s">
        <v>582</v>
      </c>
      <c r="AW57" s="93">
        <v>2025</v>
      </c>
      <c r="AX57" s="93">
        <v>16</v>
      </c>
      <c r="AY57" s="93">
        <v>13</v>
      </c>
      <c r="AZ57" s="78" t="s">
        <v>627</v>
      </c>
    </row>
    <row r="58" spans="1:52" x14ac:dyDescent="0.25">
      <c r="A58" s="78" t="s">
        <v>1109</v>
      </c>
      <c r="B58" s="78" t="s">
        <v>971</v>
      </c>
      <c r="C58" s="79">
        <v>45846.447755046298</v>
      </c>
      <c r="D58" s="79">
        <v>45846.444835451388</v>
      </c>
      <c r="E58" s="79">
        <v>45846.444822557867</v>
      </c>
      <c r="F58" s="78" t="s">
        <v>972</v>
      </c>
      <c r="G58" s="78" t="s">
        <v>628</v>
      </c>
      <c r="H58" s="87">
        <v>45760</v>
      </c>
      <c r="I58" s="85">
        <v>0.78115740740740747</v>
      </c>
      <c r="J58" s="88"/>
      <c r="K58" s="89"/>
      <c r="L58" s="87">
        <v>45760</v>
      </c>
      <c r="M58" s="85">
        <v>0.78115740740740736</v>
      </c>
      <c r="N58" s="78" t="s">
        <v>242</v>
      </c>
      <c r="O58" s="78" t="s">
        <v>629</v>
      </c>
      <c r="P58" s="78" t="s">
        <v>556</v>
      </c>
      <c r="Q58" s="78" t="s">
        <v>630</v>
      </c>
      <c r="R58" s="78" t="s">
        <v>414</v>
      </c>
      <c r="S58" s="80">
        <v>7</v>
      </c>
      <c r="T58" s="78" t="s">
        <v>34</v>
      </c>
      <c r="U58" s="80"/>
      <c r="V58" s="80"/>
      <c r="W58" s="78"/>
      <c r="X58" s="78"/>
      <c r="Y58" s="78"/>
      <c r="Z58" s="78"/>
      <c r="AA58" s="78"/>
      <c r="AB58" s="78"/>
      <c r="AC58" s="78"/>
      <c r="AD58" s="78"/>
      <c r="AE58" s="78" t="s">
        <v>950</v>
      </c>
      <c r="AF58" s="78" t="s">
        <v>931</v>
      </c>
      <c r="AG58" s="78" t="s">
        <v>291</v>
      </c>
      <c r="AH58" s="78" t="s">
        <v>256</v>
      </c>
      <c r="AI58" s="78" t="s">
        <v>228</v>
      </c>
      <c r="AJ58" s="78" t="s">
        <v>144</v>
      </c>
      <c r="AK58" s="78" t="s">
        <v>246</v>
      </c>
      <c r="AL58" s="80">
        <v>9</v>
      </c>
      <c r="AM58" s="81">
        <v>45760</v>
      </c>
      <c r="AN58" s="82">
        <v>0.78115740740740736</v>
      </c>
      <c r="AO58" s="82">
        <v>0.75</v>
      </c>
      <c r="AP58" s="80" t="s">
        <v>266</v>
      </c>
      <c r="AQ58" s="78" t="s">
        <v>184</v>
      </c>
      <c r="AR58" s="80" t="s">
        <v>631</v>
      </c>
      <c r="AS58" s="93" t="s">
        <v>169</v>
      </c>
      <c r="AT58" s="78" t="s">
        <v>266</v>
      </c>
      <c r="AU58" s="92" t="s">
        <v>311</v>
      </c>
      <c r="AV58" s="92" t="s">
        <v>582</v>
      </c>
      <c r="AW58" s="93">
        <v>2025</v>
      </c>
      <c r="AX58" s="93">
        <v>16</v>
      </c>
      <c r="AY58" s="93">
        <v>13</v>
      </c>
      <c r="AZ58" s="78" t="s">
        <v>184</v>
      </c>
    </row>
    <row r="59" spans="1:52" x14ac:dyDescent="0.25">
      <c r="A59" s="78" t="s">
        <v>1109</v>
      </c>
      <c r="B59" s="78" t="s">
        <v>971</v>
      </c>
      <c r="C59" s="79">
        <v>45846.447755046298</v>
      </c>
      <c r="D59" s="79">
        <v>45846.444835451388</v>
      </c>
      <c r="E59" s="79">
        <v>45846.444822557867</v>
      </c>
      <c r="F59" s="78" t="s">
        <v>972</v>
      </c>
      <c r="G59" s="78" t="s">
        <v>514</v>
      </c>
      <c r="H59" s="87">
        <v>45739</v>
      </c>
      <c r="I59" s="85">
        <v>0.6201388888888888</v>
      </c>
      <c r="J59" s="88">
        <v>45739</v>
      </c>
      <c r="K59" s="89">
        <v>0.64166666666666672</v>
      </c>
      <c r="L59" s="87">
        <v>45761</v>
      </c>
      <c r="M59" s="85">
        <v>0.49540509259259258</v>
      </c>
      <c r="N59" s="78" t="s">
        <v>188</v>
      </c>
      <c r="O59" s="78"/>
      <c r="P59" s="78"/>
      <c r="Q59" s="78" t="s">
        <v>515</v>
      </c>
      <c r="R59" s="78" t="s">
        <v>516</v>
      </c>
      <c r="S59" s="80">
        <v>9</v>
      </c>
      <c r="T59" s="78" t="s">
        <v>517</v>
      </c>
      <c r="U59" s="80"/>
      <c r="V59" s="80"/>
      <c r="W59" s="78"/>
      <c r="X59" s="78"/>
      <c r="Y59" s="78"/>
      <c r="Z59" s="78"/>
      <c r="AA59" s="78"/>
      <c r="AB59" s="78"/>
      <c r="AC59" s="78"/>
      <c r="AD59" s="78"/>
      <c r="AE59" s="78" t="s">
        <v>936</v>
      </c>
      <c r="AF59" s="78" t="s">
        <v>931</v>
      </c>
      <c r="AG59" s="78" t="s">
        <v>443</v>
      </c>
      <c r="AH59" s="78" t="s">
        <v>142</v>
      </c>
      <c r="AI59" s="78" t="s">
        <v>275</v>
      </c>
      <c r="AJ59" s="78" t="s">
        <v>166</v>
      </c>
      <c r="AK59" s="78" t="s">
        <v>197</v>
      </c>
      <c r="AL59" s="80">
        <v>9</v>
      </c>
      <c r="AM59" s="81">
        <v>45739</v>
      </c>
      <c r="AN59" s="82">
        <v>0.62013888888888891</v>
      </c>
      <c r="AO59" s="82">
        <v>0.58333333333333337</v>
      </c>
      <c r="AP59" s="80" t="s">
        <v>146</v>
      </c>
      <c r="AQ59" s="78" t="s">
        <v>519</v>
      </c>
      <c r="AR59" s="80" t="s">
        <v>188</v>
      </c>
      <c r="AS59" s="93" t="s">
        <v>169</v>
      </c>
      <c r="AT59" s="78" t="s">
        <v>146</v>
      </c>
      <c r="AU59" s="92" t="s">
        <v>311</v>
      </c>
      <c r="AV59" s="92" t="s">
        <v>445</v>
      </c>
      <c r="AW59" s="93">
        <v>2025</v>
      </c>
      <c r="AX59" s="93">
        <v>13</v>
      </c>
      <c r="AY59" s="93">
        <v>23</v>
      </c>
      <c r="AZ59" s="78" t="s">
        <v>519</v>
      </c>
    </row>
    <row r="60" spans="1:52" x14ac:dyDescent="0.25">
      <c r="A60" s="78" t="s">
        <v>1109</v>
      </c>
      <c r="B60" s="78" t="s">
        <v>971</v>
      </c>
      <c r="C60" s="79">
        <v>45846.447755046298</v>
      </c>
      <c r="D60" s="79">
        <v>45846.444835451388</v>
      </c>
      <c r="E60" s="79">
        <v>45846.444822557867</v>
      </c>
      <c r="F60" s="78" t="s">
        <v>972</v>
      </c>
      <c r="G60" s="78" t="s">
        <v>632</v>
      </c>
      <c r="H60" s="87">
        <v>45761</v>
      </c>
      <c r="I60" s="85">
        <v>0.95833333333333326</v>
      </c>
      <c r="J60" s="88">
        <v>45762</v>
      </c>
      <c r="K60" s="89">
        <v>0.77083333333333337</v>
      </c>
      <c r="L60" s="87">
        <v>45762</v>
      </c>
      <c r="M60" s="85">
        <v>0.77781250000000002</v>
      </c>
      <c r="N60" s="78" t="s">
        <v>242</v>
      </c>
      <c r="O60" s="78" t="s">
        <v>295</v>
      </c>
      <c r="P60" s="78" t="s">
        <v>556</v>
      </c>
      <c r="Q60" s="78" t="s">
        <v>633</v>
      </c>
      <c r="R60" s="78" t="s">
        <v>138</v>
      </c>
      <c r="S60" s="80">
        <v>8</v>
      </c>
      <c r="T60" s="78" t="s">
        <v>634</v>
      </c>
      <c r="U60" s="80"/>
      <c r="V60" s="80"/>
      <c r="W60" s="78"/>
      <c r="X60" s="78"/>
      <c r="Y60" s="78"/>
      <c r="Z60" s="78"/>
      <c r="AA60" s="78"/>
      <c r="AB60" s="78"/>
      <c r="AC60" s="78"/>
      <c r="AD60" s="78"/>
      <c r="AE60" s="78" t="s">
        <v>1001</v>
      </c>
      <c r="AF60" s="78" t="s">
        <v>931</v>
      </c>
      <c r="AG60" s="78" t="s">
        <v>635</v>
      </c>
      <c r="AH60" s="78" t="s">
        <v>542</v>
      </c>
      <c r="AI60" s="78" t="s">
        <v>228</v>
      </c>
      <c r="AJ60" s="78" t="s">
        <v>320</v>
      </c>
      <c r="AK60" s="78" t="s">
        <v>246</v>
      </c>
      <c r="AL60" s="80">
        <v>9</v>
      </c>
      <c r="AM60" s="81">
        <v>45761</v>
      </c>
      <c r="AN60" s="82">
        <v>0.95833333333333337</v>
      </c>
      <c r="AO60" s="82">
        <v>0.95833333333333337</v>
      </c>
      <c r="AP60" s="80" t="s">
        <v>168</v>
      </c>
      <c r="AQ60" s="78" t="s">
        <v>150</v>
      </c>
      <c r="AR60" s="80" t="s">
        <v>636</v>
      </c>
      <c r="AS60" s="93" t="s">
        <v>169</v>
      </c>
      <c r="AT60" s="78" t="s">
        <v>168</v>
      </c>
      <c r="AU60" s="92" t="s">
        <v>183</v>
      </c>
      <c r="AV60" s="92" t="s">
        <v>582</v>
      </c>
      <c r="AW60" s="93">
        <v>2025</v>
      </c>
      <c r="AX60" s="93">
        <v>16</v>
      </c>
      <c r="AY60" s="93">
        <v>14</v>
      </c>
      <c r="AZ60" s="78" t="s">
        <v>150</v>
      </c>
    </row>
    <row r="61" spans="1:52" x14ac:dyDescent="0.25">
      <c r="A61" s="78" t="s">
        <v>1109</v>
      </c>
      <c r="B61" s="78" t="s">
        <v>971</v>
      </c>
      <c r="C61" s="79">
        <v>45846.447755046298</v>
      </c>
      <c r="D61" s="79">
        <v>45846.444835451388</v>
      </c>
      <c r="E61" s="79">
        <v>45846.444822557867</v>
      </c>
      <c r="F61" s="78" t="s">
        <v>972</v>
      </c>
      <c r="G61" s="78" t="s">
        <v>637</v>
      </c>
      <c r="H61" s="87">
        <v>45763</v>
      </c>
      <c r="I61" s="85">
        <v>0.25</v>
      </c>
      <c r="J61" s="88">
        <v>45765</v>
      </c>
      <c r="K61" s="89"/>
      <c r="L61" s="87">
        <v>45765</v>
      </c>
      <c r="M61" s="85">
        <v>0.9226388888888889</v>
      </c>
      <c r="N61" s="78" t="s">
        <v>242</v>
      </c>
      <c r="O61" s="78"/>
      <c r="P61" s="78"/>
      <c r="Q61" s="78" t="s">
        <v>638</v>
      </c>
      <c r="R61" s="78" t="s">
        <v>414</v>
      </c>
      <c r="S61" s="80">
        <v>7</v>
      </c>
      <c r="T61" s="78" t="s">
        <v>639</v>
      </c>
      <c r="U61" s="80"/>
      <c r="V61" s="80"/>
      <c r="W61" s="78"/>
      <c r="X61" s="78"/>
      <c r="Y61" s="78"/>
      <c r="Z61" s="78"/>
      <c r="AA61" s="78"/>
      <c r="AB61" s="78"/>
      <c r="AC61" s="78"/>
      <c r="AD61" s="78"/>
      <c r="AE61" s="78" t="s">
        <v>946</v>
      </c>
      <c r="AF61" s="78" t="s">
        <v>931</v>
      </c>
      <c r="AG61" s="78" t="s">
        <v>327</v>
      </c>
      <c r="AH61" s="78" t="s">
        <v>328</v>
      </c>
      <c r="AI61" s="78" t="s">
        <v>275</v>
      </c>
      <c r="AJ61" s="78" t="s">
        <v>166</v>
      </c>
      <c r="AK61" s="78" t="s">
        <v>246</v>
      </c>
      <c r="AL61" s="80">
        <v>9</v>
      </c>
      <c r="AM61" s="81">
        <v>45763</v>
      </c>
      <c r="AN61" s="82">
        <v>0.25</v>
      </c>
      <c r="AO61" s="82">
        <v>0.25</v>
      </c>
      <c r="AP61" s="80" t="s">
        <v>385</v>
      </c>
      <c r="AQ61" s="78" t="s">
        <v>640</v>
      </c>
      <c r="AR61" s="80" t="s">
        <v>242</v>
      </c>
      <c r="AS61" s="93" t="s">
        <v>169</v>
      </c>
      <c r="AT61" s="78" t="s">
        <v>385</v>
      </c>
      <c r="AU61" s="92" t="s">
        <v>239</v>
      </c>
      <c r="AV61" s="92" t="s">
        <v>582</v>
      </c>
      <c r="AW61" s="93">
        <v>2025</v>
      </c>
      <c r="AX61" s="93">
        <v>16</v>
      </c>
      <c r="AY61" s="93">
        <v>16</v>
      </c>
      <c r="AZ61" s="78" t="s">
        <v>640</v>
      </c>
    </row>
    <row r="62" spans="1:52" x14ac:dyDescent="0.25">
      <c r="A62" s="78" t="s">
        <v>1109</v>
      </c>
      <c r="B62" s="78" t="s">
        <v>971</v>
      </c>
      <c r="C62" s="79">
        <v>45846.447755046298</v>
      </c>
      <c r="D62" s="79">
        <v>45846.444835451388</v>
      </c>
      <c r="E62" s="79">
        <v>45846.444822557867</v>
      </c>
      <c r="F62" s="78" t="s">
        <v>972</v>
      </c>
      <c r="G62" s="78" t="s">
        <v>641</v>
      </c>
      <c r="H62" s="87">
        <v>45765</v>
      </c>
      <c r="I62" s="85">
        <v>0.85416666666666674</v>
      </c>
      <c r="J62" s="88"/>
      <c r="K62" s="89"/>
      <c r="L62" s="87">
        <v>45765</v>
      </c>
      <c r="M62" s="85">
        <v>0.97768518518518521</v>
      </c>
      <c r="N62" s="78" t="s">
        <v>206</v>
      </c>
      <c r="O62" s="78" t="s">
        <v>642</v>
      </c>
      <c r="P62" s="78" t="s">
        <v>387</v>
      </c>
      <c r="Q62" s="78" t="s">
        <v>643</v>
      </c>
      <c r="R62" s="78" t="s">
        <v>644</v>
      </c>
      <c r="S62" s="80">
        <v>7</v>
      </c>
      <c r="T62" s="78" t="s">
        <v>645</v>
      </c>
      <c r="U62" s="80"/>
      <c r="V62" s="80"/>
      <c r="W62" s="78"/>
      <c r="X62" s="78"/>
      <c r="Y62" s="78"/>
      <c r="Z62" s="78"/>
      <c r="AA62" s="78"/>
      <c r="AB62" s="78"/>
      <c r="AC62" s="78"/>
      <c r="AD62" s="78"/>
      <c r="AE62" s="78" t="s">
        <v>946</v>
      </c>
      <c r="AF62" s="78" t="s">
        <v>931</v>
      </c>
      <c r="AG62" s="78" t="s">
        <v>646</v>
      </c>
      <c r="AH62" s="78" t="s">
        <v>328</v>
      </c>
      <c r="AI62" s="78" t="s">
        <v>534</v>
      </c>
      <c r="AJ62" s="78" t="s">
        <v>301</v>
      </c>
      <c r="AK62" s="78" t="s">
        <v>213</v>
      </c>
      <c r="AL62" s="80">
        <v>9</v>
      </c>
      <c r="AM62" s="81">
        <v>45765</v>
      </c>
      <c r="AN62" s="82">
        <v>0.85416666666666663</v>
      </c>
      <c r="AO62" s="82">
        <v>0.83333333333333337</v>
      </c>
      <c r="AP62" s="80" t="s">
        <v>168</v>
      </c>
      <c r="AQ62" s="78" t="s">
        <v>648</v>
      </c>
      <c r="AR62" s="80" t="s">
        <v>647</v>
      </c>
      <c r="AS62" s="93" t="s">
        <v>169</v>
      </c>
      <c r="AT62" s="78" t="s">
        <v>168</v>
      </c>
      <c r="AU62" s="92" t="s">
        <v>170</v>
      </c>
      <c r="AV62" s="92" t="s">
        <v>582</v>
      </c>
      <c r="AW62" s="93">
        <v>2025</v>
      </c>
      <c r="AX62" s="93">
        <v>16</v>
      </c>
      <c r="AY62" s="93">
        <v>18</v>
      </c>
      <c r="AZ62" s="78" t="s">
        <v>648</v>
      </c>
    </row>
    <row r="63" spans="1:52" x14ac:dyDescent="0.25">
      <c r="A63" s="78" t="s">
        <v>1109</v>
      </c>
      <c r="B63" s="78" t="s">
        <v>971</v>
      </c>
      <c r="C63" s="79">
        <v>45846.447755046298</v>
      </c>
      <c r="D63" s="79">
        <v>45846.444835451388</v>
      </c>
      <c r="E63" s="79">
        <v>45846.444822557867</v>
      </c>
      <c r="F63" s="78" t="s">
        <v>972</v>
      </c>
      <c r="G63" s="78" t="s">
        <v>649</v>
      </c>
      <c r="H63" s="87">
        <v>45766</v>
      </c>
      <c r="I63" s="85">
        <v>0.58333333333333326</v>
      </c>
      <c r="J63" s="88">
        <v>45766</v>
      </c>
      <c r="K63" s="89">
        <v>0.625</v>
      </c>
      <c r="L63" s="87">
        <v>45766</v>
      </c>
      <c r="M63" s="85">
        <v>0.63688657407407412</v>
      </c>
      <c r="N63" s="78" t="s">
        <v>174</v>
      </c>
      <c r="O63" s="78" t="s">
        <v>295</v>
      </c>
      <c r="P63" s="78"/>
      <c r="Q63" s="78" t="s">
        <v>650</v>
      </c>
      <c r="R63" s="78" t="s">
        <v>358</v>
      </c>
      <c r="S63" s="80">
        <v>8</v>
      </c>
      <c r="T63" s="78" t="s">
        <v>651</v>
      </c>
      <c r="U63" s="80"/>
      <c r="V63" s="80"/>
      <c r="W63" s="78" t="s">
        <v>1004</v>
      </c>
      <c r="X63" s="78" t="s">
        <v>981</v>
      </c>
      <c r="Y63" s="78" t="s">
        <v>653</v>
      </c>
      <c r="Z63" s="78" t="s">
        <v>161</v>
      </c>
      <c r="AA63" s="78" t="s">
        <v>1005</v>
      </c>
      <c r="AB63" s="78" t="s">
        <v>161</v>
      </c>
      <c r="AC63" s="78" t="s">
        <v>655</v>
      </c>
      <c r="AD63" s="78" t="s">
        <v>656</v>
      </c>
      <c r="AE63" s="78" t="s">
        <v>1006</v>
      </c>
      <c r="AF63" s="78" t="s">
        <v>931</v>
      </c>
      <c r="AG63" s="78" t="s">
        <v>530</v>
      </c>
      <c r="AH63" s="78" t="s">
        <v>384</v>
      </c>
      <c r="AI63" s="78" t="s">
        <v>488</v>
      </c>
      <c r="AJ63" s="78" t="s">
        <v>166</v>
      </c>
      <c r="AK63" s="78" t="s">
        <v>182</v>
      </c>
      <c r="AL63" s="80">
        <v>9</v>
      </c>
      <c r="AM63" s="81">
        <v>45766</v>
      </c>
      <c r="AN63" s="82">
        <v>0.58333333333333337</v>
      </c>
      <c r="AO63" s="82">
        <v>0.58333333333333337</v>
      </c>
      <c r="AP63" s="80" t="s">
        <v>146</v>
      </c>
      <c r="AQ63" s="78" t="s">
        <v>658</v>
      </c>
      <c r="AR63" s="80" t="s">
        <v>302</v>
      </c>
      <c r="AS63" s="93" t="s">
        <v>169</v>
      </c>
      <c r="AT63" s="78" t="s">
        <v>146</v>
      </c>
      <c r="AU63" s="92" t="s">
        <v>292</v>
      </c>
      <c r="AV63" s="92" t="s">
        <v>582</v>
      </c>
      <c r="AW63" s="93">
        <v>2025</v>
      </c>
      <c r="AX63" s="93">
        <v>16</v>
      </c>
      <c r="AY63" s="93">
        <v>19</v>
      </c>
      <c r="AZ63" s="78" t="s">
        <v>658</v>
      </c>
    </row>
    <row r="64" spans="1:52" x14ac:dyDescent="0.25">
      <c r="A64" s="78" t="s">
        <v>1109</v>
      </c>
      <c r="B64" s="78" t="s">
        <v>971</v>
      </c>
      <c r="C64" s="79">
        <v>45846.447755046298</v>
      </c>
      <c r="D64" s="79">
        <v>45846.444835451388</v>
      </c>
      <c r="E64" s="79">
        <v>45846.444822557867</v>
      </c>
      <c r="F64" s="78" t="s">
        <v>972</v>
      </c>
      <c r="G64" s="78" t="s">
        <v>663</v>
      </c>
      <c r="H64" s="87"/>
      <c r="I64" s="85"/>
      <c r="J64" s="88"/>
      <c r="K64" s="89"/>
      <c r="L64" s="87">
        <v>45768</v>
      </c>
      <c r="M64" s="85">
        <v>0.40254629629629629</v>
      </c>
      <c r="N64" s="78" t="s">
        <v>242</v>
      </c>
      <c r="O64" s="78"/>
      <c r="P64" s="78"/>
      <c r="Q64" s="78" t="s">
        <v>664</v>
      </c>
      <c r="R64" s="78" t="s">
        <v>414</v>
      </c>
      <c r="S64" s="80">
        <v>7</v>
      </c>
      <c r="T64" s="78" t="s">
        <v>665</v>
      </c>
      <c r="U64" s="80"/>
      <c r="V64" s="80"/>
      <c r="W64" s="78"/>
      <c r="X64" s="78"/>
      <c r="Y64" s="78"/>
      <c r="Z64" s="78"/>
      <c r="AA64" s="78"/>
      <c r="AB64" s="78"/>
      <c r="AC64" s="78"/>
      <c r="AD64" s="78"/>
      <c r="AE64" s="78" t="s">
        <v>1007</v>
      </c>
      <c r="AF64" s="78" t="s">
        <v>931</v>
      </c>
      <c r="AG64" s="78" t="s">
        <v>585</v>
      </c>
      <c r="AH64" s="78" t="s">
        <v>164</v>
      </c>
      <c r="AI64" s="78" t="s">
        <v>534</v>
      </c>
      <c r="AJ64" s="78" t="s">
        <v>301</v>
      </c>
      <c r="AK64" s="78" t="s">
        <v>246</v>
      </c>
      <c r="AL64" s="80">
        <v>9</v>
      </c>
      <c r="AM64" s="81">
        <v>45768</v>
      </c>
      <c r="AN64" s="82">
        <v>0.40254629629629629</v>
      </c>
      <c r="AO64" s="82">
        <v>0.375</v>
      </c>
      <c r="AP64" s="80" t="s">
        <v>276</v>
      </c>
      <c r="AQ64" s="78" t="s">
        <v>666</v>
      </c>
      <c r="AR64" s="80" t="s">
        <v>242</v>
      </c>
      <c r="AS64" s="93" t="s">
        <v>169</v>
      </c>
      <c r="AT64" s="78" t="s">
        <v>276</v>
      </c>
      <c r="AU64" s="92" t="s">
        <v>183</v>
      </c>
      <c r="AV64" s="92" t="s">
        <v>582</v>
      </c>
      <c r="AW64" s="93">
        <v>2025</v>
      </c>
      <c r="AX64" s="93">
        <v>17</v>
      </c>
      <c r="AY64" s="93">
        <v>21</v>
      </c>
      <c r="AZ64" s="78" t="s">
        <v>666</v>
      </c>
    </row>
    <row r="65" spans="1:52" x14ac:dyDescent="0.25">
      <c r="A65" s="78" t="s">
        <v>1109</v>
      </c>
      <c r="B65" s="78" t="s">
        <v>971</v>
      </c>
      <c r="C65" s="79">
        <v>45846.447755046298</v>
      </c>
      <c r="D65" s="79">
        <v>45846.444835451388</v>
      </c>
      <c r="E65" s="79">
        <v>45846.444822557867</v>
      </c>
      <c r="F65" s="78" t="s">
        <v>972</v>
      </c>
      <c r="G65" s="78" t="s">
        <v>659</v>
      </c>
      <c r="H65" s="87">
        <v>45767</v>
      </c>
      <c r="I65" s="85">
        <v>0.14861111111111103</v>
      </c>
      <c r="J65" s="88">
        <v>45768</v>
      </c>
      <c r="K65" s="89">
        <v>0.33333333333333331</v>
      </c>
      <c r="L65" s="87">
        <v>45768</v>
      </c>
      <c r="M65" s="85">
        <v>0.33649305555555553</v>
      </c>
      <c r="N65" s="78" t="s">
        <v>367</v>
      </c>
      <c r="O65" s="78"/>
      <c r="P65" s="78"/>
      <c r="Q65" s="78" t="s">
        <v>660</v>
      </c>
      <c r="R65" s="78" t="s">
        <v>516</v>
      </c>
      <c r="S65" s="80">
        <v>9</v>
      </c>
      <c r="T65" s="78" t="s">
        <v>661</v>
      </c>
      <c r="U65" s="80"/>
      <c r="V65" s="80"/>
      <c r="W65" s="78"/>
      <c r="X65" s="78"/>
      <c r="Y65" s="78"/>
      <c r="Z65" s="78"/>
      <c r="AA65" s="78"/>
      <c r="AB65" s="78"/>
      <c r="AC65" s="78"/>
      <c r="AD65" s="78"/>
      <c r="AE65" s="78" t="s">
        <v>1007</v>
      </c>
      <c r="AF65" s="78" t="s">
        <v>931</v>
      </c>
      <c r="AG65" s="78" t="s">
        <v>530</v>
      </c>
      <c r="AH65" s="78" t="s">
        <v>384</v>
      </c>
      <c r="AI65" s="78" t="s">
        <v>310</v>
      </c>
      <c r="AJ65" s="78" t="s">
        <v>166</v>
      </c>
      <c r="AK65" s="78" t="s">
        <v>246</v>
      </c>
      <c r="AL65" s="80">
        <v>9</v>
      </c>
      <c r="AM65" s="81">
        <v>45767</v>
      </c>
      <c r="AN65" s="82">
        <v>0.14861111111111111</v>
      </c>
      <c r="AO65" s="82">
        <v>0.125</v>
      </c>
      <c r="AP65" s="80" t="s">
        <v>343</v>
      </c>
      <c r="AQ65" s="78" t="s">
        <v>662</v>
      </c>
      <c r="AR65" s="80" t="s">
        <v>367</v>
      </c>
      <c r="AS65" s="93" t="s">
        <v>169</v>
      </c>
      <c r="AT65" s="78" t="s">
        <v>343</v>
      </c>
      <c r="AU65" s="92" t="s">
        <v>311</v>
      </c>
      <c r="AV65" s="92" t="s">
        <v>582</v>
      </c>
      <c r="AW65" s="93">
        <v>2025</v>
      </c>
      <c r="AX65" s="93">
        <v>17</v>
      </c>
      <c r="AY65" s="93">
        <v>20</v>
      </c>
      <c r="AZ65" s="78" t="s">
        <v>662</v>
      </c>
    </row>
    <row r="66" spans="1:52" x14ac:dyDescent="0.25">
      <c r="A66" s="78" t="s">
        <v>1109</v>
      </c>
      <c r="B66" s="78" t="s">
        <v>971</v>
      </c>
      <c r="C66" s="79">
        <v>45846.447755046298</v>
      </c>
      <c r="D66" s="79">
        <v>45846.444835451388</v>
      </c>
      <c r="E66" s="79">
        <v>45846.444822557867</v>
      </c>
      <c r="F66" s="78" t="s">
        <v>972</v>
      </c>
      <c r="G66" s="78" t="s">
        <v>604</v>
      </c>
      <c r="H66" s="87">
        <v>45755</v>
      </c>
      <c r="I66" s="85">
        <v>0.20833333333333326</v>
      </c>
      <c r="J66" s="88">
        <v>45757</v>
      </c>
      <c r="K66" s="89">
        <v>0.375</v>
      </c>
      <c r="L66" s="87">
        <v>45768</v>
      </c>
      <c r="M66" s="85">
        <v>0.53252314814814816</v>
      </c>
      <c r="N66" s="78" t="s">
        <v>174</v>
      </c>
      <c r="O66" s="78"/>
      <c r="P66" s="78"/>
      <c r="Q66" s="78" t="s">
        <v>605</v>
      </c>
      <c r="R66" s="78" t="s">
        <v>270</v>
      </c>
      <c r="S66" s="80">
        <v>5</v>
      </c>
      <c r="T66" s="78" t="s">
        <v>606</v>
      </c>
      <c r="U66" s="80"/>
      <c r="V66" s="80"/>
      <c r="W66" s="78" t="s">
        <v>607</v>
      </c>
      <c r="X66" s="78" t="s">
        <v>608</v>
      </c>
      <c r="Y66" s="78" t="s">
        <v>609</v>
      </c>
      <c r="Z66" s="78" t="s">
        <v>161</v>
      </c>
      <c r="AA66" s="78"/>
      <c r="AB66" s="78"/>
      <c r="AC66" s="78"/>
      <c r="AD66" s="78"/>
      <c r="AE66" s="78" t="s">
        <v>1007</v>
      </c>
      <c r="AF66" s="78" t="s">
        <v>931</v>
      </c>
      <c r="AG66" s="78" t="s">
        <v>585</v>
      </c>
      <c r="AH66" s="78" t="s">
        <v>164</v>
      </c>
      <c r="AI66" s="78" t="s">
        <v>180</v>
      </c>
      <c r="AJ66" s="78" t="s">
        <v>166</v>
      </c>
      <c r="AK66" s="78" t="s">
        <v>182</v>
      </c>
      <c r="AL66" s="80">
        <v>9</v>
      </c>
      <c r="AM66" s="81">
        <v>45755</v>
      </c>
      <c r="AN66" s="82">
        <v>0.20833333333333334</v>
      </c>
      <c r="AO66" s="82">
        <v>0.20833333333333334</v>
      </c>
      <c r="AP66" s="80" t="s">
        <v>385</v>
      </c>
      <c r="AQ66" s="78" t="s">
        <v>611</v>
      </c>
      <c r="AR66" s="80" t="s">
        <v>174</v>
      </c>
      <c r="AS66" s="93" t="s">
        <v>169</v>
      </c>
      <c r="AT66" s="78" t="s">
        <v>385</v>
      </c>
      <c r="AU66" s="92" t="s">
        <v>148</v>
      </c>
      <c r="AV66" s="92" t="s">
        <v>582</v>
      </c>
      <c r="AW66" s="93">
        <v>2025</v>
      </c>
      <c r="AX66" s="93">
        <v>15</v>
      </c>
      <c r="AY66" s="93">
        <v>8</v>
      </c>
      <c r="AZ66" s="78" t="s">
        <v>611</v>
      </c>
    </row>
    <row r="67" spans="1:52" x14ac:dyDescent="0.25">
      <c r="A67" s="78" t="s">
        <v>1109</v>
      </c>
      <c r="B67" s="78" t="s">
        <v>971</v>
      </c>
      <c r="C67" s="79">
        <v>45846.447755046298</v>
      </c>
      <c r="D67" s="79">
        <v>45846.444835451388</v>
      </c>
      <c r="E67" s="79">
        <v>45846.444822557867</v>
      </c>
      <c r="F67" s="78" t="s">
        <v>972</v>
      </c>
      <c r="G67" s="78" t="s">
        <v>667</v>
      </c>
      <c r="H67" s="87">
        <v>45771</v>
      </c>
      <c r="I67" s="85">
        <v>0.45277777777777772</v>
      </c>
      <c r="J67" s="88"/>
      <c r="K67" s="89"/>
      <c r="L67" s="87">
        <v>45771</v>
      </c>
      <c r="M67" s="85">
        <v>0.63624999999999998</v>
      </c>
      <c r="N67" s="78" t="s">
        <v>423</v>
      </c>
      <c r="O67" s="78" t="s">
        <v>188</v>
      </c>
      <c r="P67" s="78" t="s">
        <v>189</v>
      </c>
      <c r="Q67" s="78" t="s">
        <v>190</v>
      </c>
      <c r="R67" s="78" t="s">
        <v>191</v>
      </c>
      <c r="S67" s="80">
        <v>7</v>
      </c>
      <c r="T67" s="78" t="s">
        <v>668</v>
      </c>
      <c r="U67" s="80"/>
      <c r="V67" s="80"/>
      <c r="W67" s="78"/>
      <c r="X67" s="78"/>
      <c r="Y67" s="78"/>
      <c r="Z67" s="78"/>
      <c r="AA67" s="78"/>
      <c r="AB67" s="78"/>
      <c r="AC67" s="78"/>
      <c r="AD67" s="78"/>
      <c r="AE67" s="78" t="s">
        <v>193</v>
      </c>
      <c r="AF67" s="78" t="s">
        <v>931</v>
      </c>
      <c r="AG67" s="78" t="s">
        <v>194</v>
      </c>
      <c r="AH67" s="78" t="s">
        <v>195</v>
      </c>
      <c r="AI67" s="78" t="s">
        <v>194</v>
      </c>
      <c r="AJ67" s="78" t="s">
        <v>320</v>
      </c>
      <c r="AK67" s="78" t="s">
        <v>197</v>
      </c>
      <c r="AL67" s="80">
        <v>9</v>
      </c>
      <c r="AM67" s="81">
        <v>45771</v>
      </c>
      <c r="AN67" s="82">
        <v>0.45277777777777778</v>
      </c>
      <c r="AO67" s="82">
        <v>0.41666666666666669</v>
      </c>
      <c r="AP67" s="80" t="s">
        <v>276</v>
      </c>
      <c r="AQ67" s="78" t="s">
        <v>199</v>
      </c>
      <c r="AR67" s="80" t="s">
        <v>669</v>
      </c>
      <c r="AS67" s="93" t="s">
        <v>169</v>
      </c>
      <c r="AT67" s="78" t="s">
        <v>276</v>
      </c>
      <c r="AU67" s="92" t="s">
        <v>247</v>
      </c>
      <c r="AV67" s="92" t="s">
        <v>582</v>
      </c>
      <c r="AW67" s="93">
        <v>2025</v>
      </c>
      <c r="AX67" s="93">
        <v>17</v>
      </c>
      <c r="AY67" s="93">
        <v>24</v>
      </c>
      <c r="AZ67" s="78" t="s">
        <v>199</v>
      </c>
    </row>
    <row r="68" spans="1:52" x14ac:dyDescent="0.25">
      <c r="A68" s="78" t="s">
        <v>1109</v>
      </c>
      <c r="B68" s="78" t="s">
        <v>971</v>
      </c>
      <c r="C68" s="79">
        <v>45846.447755046298</v>
      </c>
      <c r="D68" s="79">
        <v>45846.444835451388</v>
      </c>
      <c r="E68" s="79">
        <v>45846.444822557867</v>
      </c>
      <c r="F68" s="78" t="s">
        <v>972</v>
      </c>
      <c r="G68" s="78" t="s">
        <v>670</v>
      </c>
      <c r="H68" s="87">
        <v>45772</v>
      </c>
      <c r="I68" s="85">
        <v>0.5</v>
      </c>
      <c r="J68" s="88">
        <v>45775</v>
      </c>
      <c r="K68" s="89">
        <v>0.625</v>
      </c>
      <c r="L68" s="87">
        <v>45775</v>
      </c>
      <c r="M68" s="85">
        <v>0.66496527777777781</v>
      </c>
      <c r="N68" s="78" t="s">
        <v>154</v>
      </c>
      <c r="O68" s="78"/>
      <c r="P68" s="78"/>
      <c r="Q68" s="78" t="s">
        <v>671</v>
      </c>
      <c r="R68" s="78" t="s">
        <v>156</v>
      </c>
      <c r="S68" s="80">
        <v>9</v>
      </c>
      <c r="T68" s="78" t="s">
        <v>672</v>
      </c>
      <c r="U68" s="80"/>
      <c r="V68" s="80"/>
      <c r="W68" s="78" t="s">
        <v>673</v>
      </c>
      <c r="X68" s="78" t="s">
        <v>1008</v>
      </c>
      <c r="Y68" s="78" t="s">
        <v>675</v>
      </c>
      <c r="Z68" s="78" t="s">
        <v>161</v>
      </c>
      <c r="AA68" s="78"/>
      <c r="AB68" s="78"/>
      <c r="AC68" s="78"/>
      <c r="AD68" s="78"/>
      <c r="AE68" s="78" t="s">
        <v>935</v>
      </c>
      <c r="AF68" s="78" t="s">
        <v>931</v>
      </c>
      <c r="AG68" s="78" t="s">
        <v>530</v>
      </c>
      <c r="AH68" s="78" t="s">
        <v>384</v>
      </c>
      <c r="AI68" s="78" t="s">
        <v>350</v>
      </c>
      <c r="AJ68" s="78" t="s">
        <v>320</v>
      </c>
      <c r="AK68" s="78" t="s">
        <v>167</v>
      </c>
      <c r="AL68" s="80">
        <v>9</v>
      </c>
      <c r="AM68" s="81">
        <v>45772</v>
      </c>
      <c r="AN68" s="82">
        <v>0.5</v>
      </c>
      <c r="AO68" s="82">
        <v>0.5</v>
      </c>
      <c r="AP68" s="80" t="s">
        <v>146</v>
      </c>
      <c r="AQ68" s="78" t="s">
        <v>676</v>
      </c>
      <c r="AR68" s="80" t="s">
        <v>154</v>
      </c>
      <c r="AS68" s="93" t="s">
        <v>169</v>
      </c>
      <c r="AT68" s="78" t="s">
        <v>146</v>
      </c>
      <c r="AU68" s="92" t="s">
        <v>170</v>
      </c>
      <c r="AV68" s="92" t="s">
        <v>582</v>
      </c>
      <c r="AW68" s="93">
        <v>2025</v>
      </c>
      <c r="AX68" s="93">
        <v>17</v>
      </c>
      <c r="AY68" s="93">
        <v>25</v>
      </c>
      <c r="AZ68" s="78" t="s">
        <v>676</v>
      </c>
    </row>
    <row r="69" spans="1:52" x14ac:dyDescent="0.25">
      <c r="A69" s="78" t="s">
        <v>1109</v>
      </c>
      <c r="B69" s="78" t="s">
        <v>971</v>
      </c>
      <c r="C69" s="79">
        <v>45846.447755046298</v>
      </c>
      <c r="D69" s="79">
        <v>45846.444835451388</v>
      </c>
      <c r="E69" s="79">
        <v>45846.444822557867</v>
      </c>
      <c r="F69" s="78" t="s">
        <v>972</v>
      </c>
      <c r="G69" s="78" t="s">
        <v>690</v>
      </c>
      <c r="H69" s="87">
        <v>45776</v>
      </c>
      <c r="I69" s="85">
        <v>0.5625</v>
      </c>
      <c r="J69" s="88"/>
      <c r="K69" s="89"/>
      <c r="L69" s="87">
        <v>45776</v>
      </c>
      <c r="M69" s="85">
        <v>0.61762731481481481</v>
      </c>
      <c r="N69" s="78" t="s">
        <v>154</v>
      </c>
      <c r="O69" s="78"/>
      <c r="P69" s="78"/>
      <c r="Q69" s="78" t="s">
        <v>691</v>
      </c>
      <c r="R69" s="78" t="s">
        <v>425</v>
      </c>
      <c r="S69" s="80">
        <v>8</v>
      </c>
      <c r="T69" s="78" t="s">
        <v>692</v>
      </c>
      <c r="U69" s="80"/>
      <c r="V69" s="80"/>
      <c r="W69" s="78" t="s">
        <v>693</v>
      </c>
      <c r="X69" s="78" t="s">
        <v>955</v>
      </c>
      <c r="Y69" s="78" t="s">
        <v>694</v>
      </c>
      <c r="Z69" s="78" t="s">
        <v>161</v>
      </c>
      <c r="AA69" s="78"/>
      <c r="AB69" s="78"/>
      <c r="AC69" s="78"/>
      <c r="AD69" s="78"/>
      <c r="AE69" s="78" t="s">
        <v>1006</v>
      </c>
      <c r="AF69" s="78" t="s">
        <v>931</v>
      </c>
      <c r="AG69" s="78" t="s">
        <v>585</v>
      </c>
      <c r="AH69" s="78" t="s">
        <v>164</v>
      </c>
      <c r="AI69" s="78" t="s">
        <v>228</v>
      </c>
      <c r="AJ69" s="78" t="s">
        <v>435</v>
      </c>
      <c r="AK69" s="78" t="s">
        <v>167</v>
      </c>
      <c r="AL69" s="80">
        <v>9</v>
      </c>
      <c r="AM69" s="81">
        <v>45776</v>
      </c>
      <c r="AN69" s="82">
        <v>0.5625</v>
      </c>
      <c r="AO69" s="82">
        <v>0.54166666666666663</v>
      </c>
      <c r="AP69" s="80" t="s">
        <v>146</v>
      </c>
      <c r="AQ69" s="78" t="s">
        <v>428</v>
      </c>
      <c r="AR69" s="80" t="s">
        <v>154</v>
      </c>
      <c r="AS69" s="93" t="s">
        <v>169</v>
      </c>
      <c r="AT69" s="78" t="s">
        <v>146</v>
      </c>
      <c r="AU69" s="92" t="s">
        <v>148</v>
      </c>
      <c r="AV69" s="92" t="s">
        <v>582</v>
      </c>
      <c r="AW69" s="93">
        <v>2025</v>
      </c>
      <c r="AX69" s="93">
        <v>18</v>
      </c>
      <c r="AY69" s="93">
        <v>29</v>
      </c>
      <c r="AZ69" s="78" t="s">
        <v>428</v>
      </c>
    </row>
    <row r="70" spans="1:52" x14ac:dyDescent="0.25">
      <c r="A70" s="78" t="s">
        <v>1109</v>
      </c>
      <c r="B70" s="78" t="s">
        <v>971</v>
      </c>
      <c r="C70" s="79">
        <v>45846.447755046298</v>
      </c>
      <c r="D70" s="79">
        <v>45846.444835451388</v>
      </c>
      <c r="E70" s="79">
        <v>45846.444822557867</v>
      </c>
      <c r="F70" s="78" t="s">
        <v>972</v>
      </c>
      <c r="G70" s="78" t="s">
        <v>677</v>
      </c>
      <c r="H70" s="87">
        <v>45774</v>
      </c>
      <c r="I70" s="85">
        <v>0.77083333333333326</v>
      </c>
      <c r="J70" s="88"/>
      <c r="K70" s="89"/>
      <c r="L70" s="87">
        <v>45776</v>
      </c>
      <c r="M70" s="85">
        <v>0.35416666666666669</v>
      </c>
      <c r="N70" s="78" t="s">
        <v>206</v>
      </c>
      <c r="O70" s="78" t="s">
        <v>388</v>
      </c>
      <c r="P70" s="78"/>
      <c r="Q70" s="78" t="s">
        <v>678</v>
      </c>
      <c r="R70" s="78" t="s">
        <v>400</v>
      </c>
      <c r="S70" s="80">
        <v>6</v>
      </c>
      <c r="T70" s="78" t="s">
        <v>679</v>
      </c>
      <c r="U70" s="80"/>
      <c r="V70" s="80"/>
      <c r="W70" s="78" t="s">
        <v>937</v>
      </c>
      <c r="X70" s="78" t="s">
        <v>452</v>
      </c>
      <c r="Y70" s="78"/>
      <c r="Z70" s="78"/>
      <c r="AA70" s="78" t="s">
        <v>938</v>
      </c>
      <c r="AB70" s="78"/>
      <c r="AC70" s="78" t="s">
        <v>939</v>
      </c>
      <c r="AD70" s="78"/>
      <c r="AE70" s="78" t="s">
        <v>682</v>
      </c>
      <c r="AF70" s="78" t="s">
        <v>931</v>
      </c>
      <c r="AG70" s="78" t="s">
        <v>683</v>
      </c>
      <c r="AH70" s="78" t="s">
        <v>684</v>
      </c>
      <c r="AI70" s="78"/>
      <c r="AJ70" s="78"/>
      <c r="AK70" s="78"/>
      <c r="AL70" s="80">
        <v>9</v>
      </c>
      <c r="AM70" s="81">
        <v>45774</v>
      </c>
      <c r="AN70" s="82">
        <v>0.77083333333333337</v>
      </c>
      <c r="AO70" s="82">
        <v>0.75</v>
      </c>
      <c r="AP70" s="80" t="s">
        <v>266</v>
      </c>
      <c r="AQ70" s="78" t="s">
        <v>686</v>
      </c>
      <c r="AR70" s="80" t="s">
        <v>685</v>
      </c>
      <c r="AS70" s="93" t="s">
        <v>169</v>
      </c>
      <c r="AT70" s="78" t="s">
        <v>266</v>
      </c>
      <c r="AU70" s="92" t="s">
        <v>311</v>
      </c>
      <c r="AV70" s="92" t="s">
        <v>582</v>
      </c>
      <c r="AW70" s="93">
        <v>2025</v>
      </c>
      <c r="AX70" s="93">
        <v>18</v>
      </c>
      <c r="AY70" s="93">
        <v>27</v>
      </c>
      <c r="AZ70" s="78" t="s">
        <v>686</v>
      </c>
    </row>
    <row r="71" spans="1:52" x14ac:dyDescent="0.25">
      <c r="A71" s="78" t="s">
        <v>1109</v>
      </c>
      <c r="B71" s="78" t="s">
        <v>971</v>
      </c>
      <c r="C71" s="79">
        <v>45846.447755046298</v>
      </c>
      <c r="D71" s="79">
        <v>45846.444835451388</v>
      </c>
      <c r="E71" s="79">
        <v>45846.444822557867</v>
      </c>
      <c r="F71" s="78" t="s">
        <v>972</v>
      </c>
      <c r="G71" s="78" t="s">
        <v>695</v>
      </c>
      <c r="H71" s="87">
        <v>45777</v>
      </c>
      <c r="I71" s="85">
        <v>0.68012731481481481</v>
      </c>
      <c r="J71" s="88"/>
      <c r="K71" s="89"/>
      <c r="L71" s="87">
        <v>45777</v>
      </c>
      <c r="M71" s="85">
        <v>0.68012731481481481</v>
      </c>
      <c r="N71" s="78" t="s">
        <v>206</v>
      </c>
      <c r="O71" s="78"/>
      <c r="P71" s="78"/>
      <c r="Q71" s="78" t="s">
        <v>696</v>
      </c>
      <c r="R71" s="78"/>
      <c r="S71" s="80"/>
      <c r="T71" s="78" t="s">
        <v>697</v>
      </c>
      <c r="U71" s="80"/>
      <c r="V71" s="80"/>
      <c r="W71" s="78"/>
      <c r="X71" s="78"/>
      <c r="Y71" s="78"/>
      <c r="Z71" s="78"/>
      <c r="AA71" s="78"/>
      <c r="AB71" s="78"/>
      <c r="AC71" s="78"/>
      <c r="AD71" s="78"/>
      <c r="AE71" s="78" t="s">
        <v>958</v>
      </c>
      <c r="AF71" s="78" t="s">
        <v>931</v>
      </c>
      <c r="AG71" s="78" t="s">
        <v>141</v>
      </c>
      <c r="AH71" s="78" t="s">
        <v>142</v>
      </c>
      <c r="AI71" s="78" t="s">
        <v>698</v>
      </c>
      <c r="AJ71" s="78" t="s">
        <v>320</v>
      </c>
      <c r="AK71" s="78" t="s">
        <v>213</v>
      </c>
      <c r="AL71" s="80">
        <v>9</v>
      </c>
      <c r="AM71" s="81">
        <v>45777</v>
      </c>
      <c r="AN71" s="82">
        <v>0.68012731481481481</v>
      </c>
      <c r="AO71" s="82">
        <v>0.66666666666666663</v>
      </c>
      <c r="AP71" s="80" t="s">
        <v>266</v>
      </c>
      <c r="AQ71" s="78" t="s">
        <v>699</v>
      </c>
      <c r="AR71" s="80" t="s">
        <v>206</v>
      </c>
      <c r="AS71" s="93" t="s">
        <v>169</v>
      </c>
      <c r="AT71" s="78" t="s">
        <v>266</v>
      </c>
      <c r="AU71" s="92" t="s">
        <v>239</v>
      </c>
      <c r="AV71" s="92" t="s">
        <v>582</v>
      </c>
      <c r="AW71" s="93">
        <v>2025</v>
      </c>
      <c r="AX71" s="93">
        <v>18</v>
      </c>
      <c r="AY71" s="93">
        <v>30</v>
      </c>
      <c r="AZ71" s="78" t="s">
        <v>699</v>
      </c>
    </row>
    <row r="72" spans="1:52" x14ac:dyDescent="0.25">
      <c r="A72" s="78" t="s">
        <v>1109</v>
      </c>
      <c r="B72" s="78" t="s">
        <v>971</v>
      </c>
      <c r="C72" s="79">
        <v>45846.447755046298</v>
      </c>
      <c r="D72" s="79">
        <v>45846.444835451388</v>
      </c>
      <c r="E72" s="79">
        <v>45846.444822557867</v>
      </c>
      <c r="F72" s="78" t="s">
        <v>972</v>
      </c>
      <c r="G72" s="78" t="s">
        <v>700</v>
      </c>
      <c r="H72" s="87">
        <v>45778</v>
      </c>
      <c r="I72" s="85">
        <v>0.93593750000000009</v>
      </c>
      <c r="J72" s="88"/>
      <c r="K72" s="89"/>
      <c r="L72" s="87">
        <v>45778</v>
      </c>
      <c r="M72" s="85">
        <v>0.93593749999999998</v>
      </c>
      <c r="N72" s="78" t="s">
        <v>242</v>
      </c>
      <c r="O72" s="78" t="s">
        <v>295</v>
      </c>
      <c r="P72" s="78" t="s">
        <v>701</v>
      </c>
      <c r="Q72" s="78" t="s">
        <v>702</v>
      </c>
      <c r="R72" s="78" t="s">
        <v>191</v>
      </c>
      <c r="S72" s="80">
        <v>7</v>
      </c>
      <c r="T72" s="78" t="s">
        <v>703</v>
      </c>
      <c r="U72" s="80"/>
      <c r="V72" s="80"/>
      <c r="W72" s="78"/>
      <c r="X72" s="78"/>
      <c r="Y72" s="78"/>
      <c r="Z72" s="78"/>
      <c r="AA72" s="78"/>
      <c r="AB72" s="78"/>
      <c r="AC72" s="78"/>
      <c r="AD72" s="78"/>
      <c r="AE72" s="78" t="s">
        <v>958</v>
      </c>
      <c r="AF72" s="78" t="s">
        <v>931</v>
      </c>
      <c r="AG72" s="78" t="s">
        <v>635</v>
      </c>
      <c r="AH72" s="78" t="s">
        <v>256</v>
      </c>
      <c r="AI72" s="78" t="s">
        <v>228</v>
      </c>
      <c r="AJ72" s="78" t="s">
        <v>166</v>
      </c>
      <c r="AK72" s="78" t="s">
        <v>246</v>
      </c>
      <c r="AL72" s="80">
        <v>9</v>
      </c>
      <c r="AM72" s="81">
        <v>45778</v>
      </c>
      <c r="AN72" s="82">
        <v>0.93593749999999998</v>
      </c>
      <c r="AO72" s="82">
        <v>0.91666666666666663</v>
      </c>
      <c r="AP72" s="80" t="s">
        <v>168</v>
      </c>
      <c r="AQ72" s="78" t="s">
        <v>627</v>
      </c>
      <c r="AR72" s="80" t="s">
        <v>704</v>
      </c>
      <c r="AS72" s="93" t="s">
        <v>169</v>
      </c>
      <c r="AT72" s="78" t="s">
        <v>168</v>
      </c>
      <c r="AU72" s="92" t="s">
        <v>247</v>
      </c>
      <c r="AV72" s="92" t="s">
        <v>705</v>
      </c>
      <c r="AW72" s="93">
        <v>2025</v>
      </c>
      <c r="AX72" s="93">
        <v>18</v>
      </c>
      <c r="AY72" s="93">
        <v>1</v>
      </c>
      <c r="AZ72" s="78" t="s">
        <v>627</v>
      </c>
    </row>
    <row r="73" spans="1:52" x14ac:dyDescent="0.25">
      <c r="A73" s="78" t="s">
        <v>1109</v>
      </c>
      <c r="B73" s="78" t="s">
        <v>971</v>
      </c>
      <c r="C73" s="79">
        <v>45846.447755046298</v>
      </c>
      <c r="D73" s="79">
        <v>45846.444835451388</v>
      </c>
      <c r="E73" s="79">
        <v>45846.444822557867</v>
      </c>
      <c r="F73" s="78" t="s">
        <v>972</v>
      </c>
      <c r="G73" s="78" t="s">
        <v>437</v>
      </c>
      <c r="H73" s="87">
        <v>45717</v>
      </c>
      <c r="I73" s="85">
        <v>0.25</v>
      </c>
      <c r="J73" s="88">
        <v>45780</v>
      </c>
      <c r="K73" s="89">
        <v>0.49583333333333335</v>
      </c>
      <c r="L73" s="87">
        <v>45780</v>
      </c>
      <c r="M73" s="85">
        <v>0.49972222222222223</v>
      </c>
      <c r="N73" s="78" t="s">
        <v>154</v>
      </c>
      <c r="O73" s="78"/>
      <c r="P73" s="78"/>
      <c r="Q73" s="78" t="s">
        <v>438</v>
      </c>
      <c r="R73" s="78" t="s">
        <v>425</v>
      </c>
      <c r="S73" s="80">
        <v>8</v>
      </c>
      <c r="T73" s="78" t="s">
        <v>439</v>
      </c>
      <c r="U73" s="80"/>
      <c r="V73" s="80"/>
      <c r="W73" s="78" t="s">
        <v>440</v>
      </c>
      <c r="X73" s="78" t="s">
        <v>1009</v>
      </c>
      <c r="Y73" s="78" t="s">
        <v>442</v>
      </c>
      <c r="Z73" s="78" t="s">
        <v>161</v>
      </c>
      <c r="AA73" s="78"/>
      <c r="AB73" s="78"/>
      <c r="AC73" s="78"/>
      <c r="AD73" s="78"/>
      <c r="AE73" s="78" t="s">
        <v>950</v>
      </c>
      <c r="AF73" s="78" t="s">
        <v>931</v>
      </c>
      <c r="AG73" s="78" t="s">
        <v>443</v>
      </c>
      <c r="AH73" s="78" t="s">
        <v>444</v>
      </c>
      <c r="AI73" s="78" t="s">
        <v>310</v>
      </c>
      <c r="AJ73" s="78" t="s">
        <v>166</v>
      </c>
      <c r="AK73" s="78" t="s">
        <v>167</v>
      </c>
      <c r="AL73" s="80">
        <v>9</v>
      </c>
      <c r="AM73" s="81">
        <v>45717</v>
      </c>
      <c r="AN73" s="82">
        <v>0.25</v>
      </c>
      <c r="AO73" s="82">
        <v>0.25</v>
      </c>
      <c r="AP73" s="80" t="s">
        <v>385</v>
      </c>
      <c r="AQ73" s="78" t="s">
        <v>446</v>
      </c>
      <c r="AR73" s="80" t="s">
        <v>154</v>
      </c>
      <c r="AS73" s="93" t="s">
        <v>169</v>
      </c>
      <c r="AT73" s="78" t="s">
        <v>385</v>
      </c>
      <c r="AU73" s="92" t="s">
        <v>292</v>
      </c>
      <c r="AV73" s="92" t="s">
        <v>445</v>
      </c>
      <c r="AW73" s="93">
        <v>2025</v>
      </c>
      <c r="AX73" s="93">
        <v>9</v>
      </c>
      <c r="AY73" s="93">
        <v>1</v>
      </c>
      <c r="AZ73" s="78" t="s">
        <v>446</v>
      </c>
    </row>
    <row r="74" spans="1:52" x14ac:dyDescent="0.25">
      <c r="A74" s="78" t="s">
        <v>1109</v>
      </c>
      <c r="B74" s="78" t="s">
        <v>971</v>
      </c>
      <c r="C74" s="79">
        <v>45846.447755046298</v>
      </c>
      <c r="D74" s="79">
        <v>45846.444835451388</v>
      </c>
      <c r="E74" s="79">
        <v>45846.444822557867</v>
      </c>
      <c r="F74" s="78" t="s">
        <v>972</v>
      </c>
      <c r="G74" s="78" t="s">
        <v>711</v>
      </c>
      <c r="H74" s="87">
        <v>45782</v>
      </c>
      <c r="I74" s="85">
        <v>0.625</v>
      </c>
      <c r="J74" s="88"/>
      <c r="K74" s="89"/>
      <c r="L74" s="87">
        <v>45782</v>
      </c>
      <c r="M74" s="85">
        <v>0.75549768518518523</v>
      </c>
      <c r="N74" s="78" t="s">
        <v>154</v>
      </c>
      <c r="O74" s="78" t="s">
        <v>712</v>
      </c>
      <c r="P74" s="78"/>
      <c r="Q74" s="78" t="s">
        <v>713</v>
      </c>
      <c r="R74" s="78" t="s">
        <v>516</v>
      </c>
      <c r="S74" s="80">
        <v>9</v>
      </c>
      <c r="T74" s="78" t="s">
        <v>714</v>
      </c>
      <c r="U74" s="80"/>
      <c r="V74" s="80"/>
      <c r="W74" s="78" t="s">
        <v>1010</v>
      </c>
      <c r="X74" s="78" t="s">
        <v>952</v>
      </c>
      <c r="Y74" s="78" t="s">
        <v>716</v>
      </c>
      <c r="Z74" s="78" t="s">
        <v>976</v>
      </c>
      <c r="AA74" s="78"/>
      <c r="AB74" s="78"/>
      <c r="AC74" s="78"/>
      <c r="AD74" s="78"/>
      <c r="AE74" s="78" t="s">
        <v>1001</v>
      </c>
      <c r="AF74" s="78" t="s">
        <v>931</v>
      </c>
      <c r="AG74" s="78" t="s">
        <v>393</v>
      </c>
      <c r="AH74" s="78" t="s">
        <v>384</v>
      </c>
      <c r="AI74" s="78"/>
      <c r="AJ74" s="78"/>
      <c r="AK74" s="78"/>
      <c r="AL74" s="80">
        <v>9</v>
      </c>
      <c r="AM74" s="81">
        <v>45782</v>
      </c>
      <c r="AN74" s="82">
        <v>0.625</v>
      </c>
      <c r="AO74" s="82">
        <v>0.625</v>
      </c>
      <c r="AP74" s="80" t="s">
        <v>146</v>
      </c>
      <c r="AQ74" s="78" t="s">
        <v>718</v>
      </c>
      <c r="AR74" s="80" t="s">
        <v>717</v>
      </c>
      <c r="AS74" s="93" t="s">
        <v>169</v>
      </c>
      <c r="AT74" s="78" t="s">
        <v>146</v>
      </c>
      <c r="AU74" s="92" t="s">
        <v>183</v>
      </c>
      <c r="AV74" s="92" t="s">
        <v>705</v>
      </c>
      <c r="AW74" s="93">
        <v>2025</v>
      </c>
      <c r="AX74" s="93">
        <v>19</v>
      </c>
      <c r="AY74" s="93">
        <v>5</v>
      </c>
      <c r="AZ74" s="78" t="s">
        <v>718</v>
      </c>
    </row>
    <row r="75" spans="1:52" x14ac:dyDescent="0.25">
      <c r="A75" s="78" t="s">
        <v>1109</v>
      </c>
      <c r="B75" s="78" t="s">
        <v>971</v>
      </c>
      <c r="C75" s="79">
        <v>45846.447755046298</v>
      </c>
      <c r="D75" s="79">
        <v>45846.444835451388</v>
      </c>
      <c r="E75" s="79">
        <v>45846.444822557867</v>
      </c>
      <c r="F75" s="78" t="s">
        <v>972</v>
      </c>
      <c r="G75" s="78" t="s">
        <v>725</v>
      </c>
      <c r="H75" s="87">
        <v>45786</v>
      </c>
      <c r="I75" s="85">
        <v>0.60416666666666674</v>
      </c>
      <c r="J75" s="88"/>
      <c r="K75" s="89"/>
      <c r="L75" s="87">
        <v>45786</v>
      </c>
      <c r="M75" s="85">
        <v>0.60798611111111112</v>
      </c>
      <c r="N75" s="78" t="s">
        <v>206</v>
      </c>
      <c r="O75" s="78" t="s">
        <v>726</v>
      </c>
      <c r="P75" s="78"/>
      <c r="Q75" s="78" t="s">
        <v>727</v>
      </c>
      <c r="R75" s="78" t="s">
        <v>270</v>
      </c>
      <c r="S75" s="80">
        <v>5</v>
      </c>
      <c r="T75" s="78" t="s">
        <v>728</v>
      </c>
      <c r="U75" s="80"/>
      <c r="V75" s="80"/>
      <c r="W75" s="78"/>
      <c r="X75" s="78"/>
      <c r="Y75" s="78"/>
      <c r="Z75" s="78"/>
      <c r="AA75" s="78"/>
      <c r="AB75" s="78"/>
      <c r="AC75" s="78"/>
      <c r="AD75" s="78"/>
      <c r="AE75" s="78" t="s">
        <v>936</v>
      </c>
      <c r="AF75" s="78" t="s">
        <v>931</v>
      </c>
      <c r="AG75" s="78" t="s">
        <v>729</v>
      </c>
      <c r="AH75" s="78" t="s">
        <v>256</v>
      </c>
      <c r="AI75" s="78" t="s">
        <v>310</v>
      </c>
      <c r="AJ75" s="78" t="s">
        <v>144</v>
      </c>
      <c r="AK75" s="78" t="s">
        <v>213</v>
      </c>
      <c r="AL75" s="80">
        <v>9</v>
      </c>
      <c r="AM75" s="81">
        <v>45786</v>
      </c>
      <c r="AN75" s="82">
        <v>0.60416666666666663</v>
      </c>
      <c r="AO75" s="82">
        <v>0.58333333333333337</v>
      </c>
      <c r="AP75" s="80" t="s">
        <v>146</v>
      </c>
      <c r="AQ75" s="78" t="s">
        <v>731</v>
      </c>
      <c r="AR75" s="80" t="s">
        <v>730</v>
      </c>
      <c r="AS75" s="93" t="s">
        <v>169</v>
      </c>
      <c r="AT75" s="78" t="s">
        <v>146</v>
      </c>
      <c r="AU75" s="92" t="s">
        <v>170</v>
      </c>
      <c r="AV75" s="92" t="s">
        <v>705</v>
      </c>
      <c r="AW75" s="93">
        <v>2025</v>
      </c>
      <c r="AX75" s="93">
        <v>19</v>
      </c>
      <c r="AY75" s="93">
        <v>9</v>
      </c>
      <c r="AZ75" s="78" t="s">
        <v>731</v>
      </c>
    </row>
    <row r="76" spans="1:52" x14ac:dyDescent="0.25">
      <c r="A76" s="78" t="s">
        <v>1109</v>
      </c>
      <c r="B76" s="78" t="s">
        <v>971</v>
      </c>
      <c r="C76" s="79">
        <v>45846.447755046298</v>
      </c>
      <c r="D76" s="79">
        <v>45846.444835451388</v>
      </c>
      <c r="E76" s="79">
        <v>45846.444822557867</v>
      </c>
      <c r="F76" s="78" t="s">
        <v>972</v>
      </c>
      <c r="G76" s="78" t="s">
        <v>732</v>
      </c>
      <c r="H76" s="87">
        <v>45788</v>
      </c>
      <c r="I76" s="85">
        <v>79.166666666666671</v>
      </c>
      <c r="J76" s="88">
        <v>45789</v>
      </c>
      <c r="K76" s="89">
        <v>0.13958333333333334</v>
      </c>
      <c r="L76" s="87">
        <v>45789</v>
      </c>
      <c r="M76" s="85">
        <v>0.28483796296296299</v>
      </c>
      <c r="N76" s="78" t="s">
        <v>174</v>
      </c>
      <c r="O76" s="78"/>
      <c r="P76" s="78"/>
      <c r="Q76" s="78" t="s">
        <v>733</v>
      </c>
      <c r="R76" s="78" t="s">
        <v>270</v>
      </c>
      <c r="S76" s="80">
        <v>5</v>
      </c>
      <c r="T76" s="78" t="s">
        <v>734</v>
      </c>
      <c r="U76" s="80"/>
      <c r="V76" s="80"/>
      <c r="W76" s="78" t="s">
        <v>735</v>
      </c>
      <c r="X76" s="78" t="s">
        <v>995</v>
      </c>
      <c r="Y76" s="78" t="s">
        <v>736</v>
      </c>
      <c r="Z76" s="78" t="s">
        <v>161</v>
      </c>
      <c r="AA76" s="78"/>
      <c r="AB76" s="78"/>
      <c r="AC76" s="78"/>
      <c r="AD76" s="78"/>
      <c r="AE76" s="78" t="s">
        <v>946</v>
      </c>
      <c r="AF76" s="78" t="s">
        <v>931</v>
      </c>
      <c r="AG76" s="78" t="s">
        <v>210</v>
      </c>
      <c r="AH76" s="78" t="s">
        <v>211</v>
      </c>
      <c r="AI76" s="78" t="s">
        <v>228</v>
      </c>
      <c r="AJ76" s="78" t="s">
        <v>166</v>
      </c>
      <c r="AK76" s="78" t="s">
        <v>182</v>
      </c>
      <c r="AL76" s="80">
        <v>9</v>
      </c>
      <c r="AM76" s="81">
        <v>45788</v>
      </c>
      <c r="AN76" s="82">
        <v>0.16666666666666666</v>
      </c>
      <c r="AO76" s="82">
        <v>0.16666666666666666</v>
      </c>
      <c r="AP76" s="80" t="s">
        <v>385</v>
      </c>
      <c r="AQ76" s="78" t="s">
        <v>737</v>
      </c>
      <c r="AR76" s="80" t="s">
        <v>174</v>
      </c>
      <c r="AS76" s="93" t="s">
        <v>169</v>
      </c>
      <c r="AT76" s="78" t="s">
        <v>385</v>
      </c>
      <c r="AU76" s="92" t="s">
        <v>311</v>
      </c>
      <c r="AV76" s="92" t="s">
        <v>705</v>
      </c>
      <c r="AW76" s="93">
        <v>2025</v>
      </c>
      <c r="AX76" s="93">
        <v>20</v>
      </c>
      <c r="AY76" s="93">
        <v>11</v>
      </c>
      <c r="AZ76" s="78" t="s">
        <v>737</v>
      </c>
    </row>
    <row r="77" spans="1:52" x14ac:dyDescent="0.25">
      <c r="A77" s="78" t="s">
        <v>1109</v>
      </c>
      <c r="B77" s="78" t="s">
        <v>971</v>
      </c>
      <c r="C77" s="79">
        <v>45846.447755046298</v>
      </c>
      <c r="D77" s="79">
        <v>45846.444835451388</v>
      </c>
      <c r="E77" s="79">
        <v>45846.444822557867</v>
      </c>
      <c r="F77" s="78" t="s">
        <v>972</v>
      </c>
      <c r="G77" s="78" t="s">
        <v>742</v>
      </c>
      <c r="H77" s="87">
        <v>45789</v>
      </c>
      <c r="I77" s="85">
        <v>0.27222222222222214</v>
      </c>
      <c r="J77" s="88"/>
      <c r="K77" s="89"/>
      <c r="L77" s="87">
        <v>45789</v>
      </c>
      <c r="M77" s="85">
        <v>0.27627314814814813</v>
      </c>
      <c r="N77" s="78" t="s">
        <v>242</v>
      </c>
      <c r="O77" s="78" t="s">
        <v>388</v>
      </c>
      <c r="P77" s="78" t="s">
        <v>743</v>
      </c>
      <c r="Q77" s="78" t="s">
        <v>744</v>
      </c>
      <c r="R77" s="78" t="s">
        <v>390</v>
      </c>
      <c r="S77" s="80">
        <v>9</v>
      </c>
      <c r="T77" s="78" t="s">
        <v>745</v>
      </c>
      <c r="U77" s="80"/>
      <c r="V77" s="80"/>
      <c r="W77" s="78" t="s">
        <v>941</v>
      </c>
      <c r="X77" s="78" t="s">
        <v>942</v>
      </c>
      <c r="Y77" s="78" t="s">
        <v>178</v>
      </c>
      <c r="Z77" s="78" t="s">
        <v>161</v>
      </c>
      <c r="AA77" s="78"/>
      <c r="AB77" s="78"/>
      <c r="AC77" s="78"/>
      <c r="AD77" s="78"/>
      <c r="AE77" s="78" t="s">
        <v>943</v>
      </c>
      <c r="AF77" s="78" t="s">
        <v>931</v>
      </c>
      <c r="AG77" s="78" t="s">
        <v>163</v>
      </c>
      <c r="AH77" s="78" t="s">
        <v>328</v>
      </c>
      <c r="AI77" s="78" t="s">
        <v>350</v>
      </c>
      <c r="AJ77" s="78" t="s">
        <v>364</v>
      </c>
      <c r="AK77" s="78" t="s">
        <v>747</v>
      </c>
      <c r="AL77" s="80">
        <v>9</v>
      </c>
      <c r="AM77" s="81">
        <v>45789</v>
      </c>
      <c r="AN77" s="82">
        <v>0.2722222222222222</v>
      </c>
      <c r="AO77" s="82">
        <v>0.25</v>
      </c>
      <c r="AP77" s="80" t="s">
        <v>385</v>
      </c>
      <c r="AQ77" s="78" t="s">
        <v>749</v>
      </c>
      <c r="AR77" s="80" t="s">
        <v>748</v>
      </c>
      <c r="AS77" s="93" t="s">
        <v>169</v>
      </c>
      <c r="AT77" s="78" t="s">
        <v>385</v>
      </c>
      <c r="AU77" s="92" t="s">
        <v>183</v>
      </c>
      <c r="AV77" s="92" t="s">
        <v>705</v>
      </c>
      <c r="AW77" s="93">
        <v>2025</v>
      </c>
      <c r="AX77" s="93">
        <v>20</v>
      </c>
      <c r="AY77" s="93">
        <v>12</v>
      </c>
      <c r="AZ77" s="78" t="s">
        <v>749</v>
      </c>
    </row>
    <row r="78" spans="1:52" x14ac:dyDescent="0.25">
      <c r="A78" s="78" t="s">
        <v>1109</v>
      </c>
      <c r="B78" s="78" t="s">
        <v>971</v>
      </c>
      <c r="C78" s="79">
        <v>45846.447755046298</v>
      </c>
      <c r="D78" s="79">
        <v>45846.444835451388</v>
      </c>
      <c r="E78" s="79">
        <v>45846.444822557867</v>
      </c>
      <c r="F78" s="78" t="s">
        <v>972</v>
      </c>
      <c r="G78" s="78" t="s">
        <v>706</v>
      </c>
      <c r="H78" s="87">
        <v>45781</v>
      </c>
      <c r="I78" s="85">
        <v>0.54166666666666674</v>
      </c>
      <c r="J78" s="88"/>
      <c r="K78" s="89"/>
      <c r="L78" s="87">
        <v>45789</v>
      </c>
      <c r="M78" s="85">
        <v>0.55585648148148148</v>
      </c>
      <c r="N78" s="78" t="s">
        <v>242</v>
      </c>
      <c r="O78" s="78"/>
      <c r="P78" s="78"/>
      <c r="Q78" s="78" t="s">
        <v>707</v>
      </c>
      <c r="R78" s="78" t="s">
        <v>138</v>
      </c>
      <c r="S78" s="80">
        <v>8</v>
      </c>
      <c r="T78" s="78" t="s">
        <v>708</v>
      </c>
      <c r="U78" s="80"/>
      <c r="V78" s="80"/>
      <c r="W78" s="78"/>
      <c r="X78" s="78"/>
      <c r="Y78" s="78"/>
      <c r="Z78" s="78"/>
      <c r="AA78" s="78"/>
      <c r="AB78" s="78"/>
      <c r="AC78" s="78"/>
      <c r="AD78" s="78"/>
      <c r="AE78" s="78" t="s">
        <v>943</v>
      </c>
      <c r="AF78" s="78" t="s">
        <v>931</v>
      </c>
      <c r="AG78" s="78" t="s">
        <v>475</v>
      </c>
      <c r="AH78" s="78" t="s">
        <v>211</v>
      </c>
      <c r="AI78" s="78" t="s">
        <v>350</v>
      </c>
      <c r="AJ78" s="78" t="s">
        <v>301</v>
      </c>
      <c r="AK78" s="78" t="s">
        <v>246</v>
      </c>
      <c r="AL78" s="80">
        <v>9</v>
      </c>
      <c r="AM78" s="81">
        <v>45781</v>
      </c>
      <c r="AN78" s="82">
        <v>0.54166666666666663</v>
      </c>
      <c r="AO78" s="82">
        <v>0.54166666666666663</v>
      </c>
      <c r="AP78" s="80" t="s">
        <v>146</v>
      </c>
      <c r="AQ78" s="78" t="s">
        <v>710</v>
      </c>
      <c r="AR78" s="80" t="s">
        <v>242</v>
      </c>
      <c r="AS78" s="93" t="s">
        <v>169</v>
      </c>
      <c r="AT78" s="78" t="s">
        <v>146</v>
      </c>
      <c r="AU78" s="92" t="s">
        <v>311</v>
      </c>
      <c r="AV78" s="92" t="s">
        <v>705</v>
      </c>
      <c r="AW78" s="93">
        <v>2025</v>
      </c>
      <c r="AX78" s="93">
        <v>19</v>
      </c>
      <c r="AY78" s="93">
        <v>4</v>
      </c>
      <c r="AZ78" s="78" t="s">
        <v>710</v>
      </c>
    </row>
    <row r="79" spans="1:52" x14ac:dyDescent="0.25">
      <c r="A79" s="78" t="s">
        <v>1109</v>
      </c>
      <c r="B79" s="78" t="s">
        <v>971</v>
      </c>
      <c r="C79" s="79">
        <v>45846.447755046298</v>
      </c>
      <c r="D79" s="79">
        <v>45846.444835451388</v>
      </c>
      <c r="E79" s="79">
        <v>45846.444822557867</v>
      </c>
      <c r="F79" s="78" t="s">
        <v>972</v>
      </c>
      <c r="G79" s="78" t="s">
        <v>738</v>
      </c>
      <c r="H79" s="87">
        <v>45788</v>
      </c>
      <c r="I79" s="85"/>
      <c r="J79" s="88"/>
      <c r="K79" s="89"/>
      <c r="L79" s="87">
        <v>45790</v>
      </c>
      <c r="M79" s="85">
        <v>0.63552083333333331</v>
      </c>
      <c r="N79" s="78" t="s">
        <v>136</v>
      </c>
      <c r="O79" s="78" t="s">
        <v>189</v>
      </c>
      <c r="P79" s="78"/>
      <c r="Q79" s="78" t="s">
        <v>190</v>
      </c>
      <c r="R79" s="78" t="s">
        <v>191</v>
      </c>
      <c r="S79" s="80"/>
      <c r="T79" s="78" t="s">
        <v>739</v>
      </c>
      <c r="U79" s="80"/>
      <c r="V79" s="80"/>
      <c r="W79" s="78"/>
      <c r="X79" s="78"/>
      <c r="Y79" s="78"/>
      <c r="Z79" s="78"/>
      <c r="AA79" s="78"/>
      <c r="AB79" s="78"/>
      <c r="AC79" s="78"/>
      <c r="AD79" s="78"/>
      <c r="AE79" s="78" t="s">
        <v>945</v>
      </c>
      <c r="AF79" s="78" t="s">
        <v>931</v>
      </c>
      <c r="AG79" s="78" t="s">
        <v>194</v>
      </c>
      <c r="AH79" s="78" t="s">
        <v>444</v>
      </c>
      <c r="AI79" s="78" t="s">
        <v>194</v>
      </c>
      <c r="AJ79" s="78" t="s">
        <v>166</v>
      </c>
      <c r="AK79" s="78" t="s">
        <v>741</v>
      </c>
      <c r="AL79" s="80">
        <v>9</v>
      </c>
      <c r="AM79" s="81">
        <v>45788</v>
      </c>
      <c r="AN79" s="82">
        <v>0.63552083333333331</v>
      </c>
      <c r="AO79" s="82">
        <v>0.625</v>
      </c>
      <c r="AP79" s="80" t="s">
        <v>146</v>
      </c>
      <c r="AQ79" s="78" t="s">
        <v>199</v>
      </c>
      <c r="AR79" s="80" t="s">
        <v>284</v>
      </c>
      <c r="AS79" s="93" t="s">
        <v>169</v>
      </c>
      <c r="AT79" s="78" t="s">
        <v>146</v>
      </c>
      <c r="AU79" s="92" t="s">
        <v>311</v>
      </c>
      <c r="AV79" s="92" t="s">
        <v>705</v>
      </c>
      <c r="AW79" s="93">
        <v>2025</v>
      </c>
      <c r="AX79" s="93">
        <v>20</v>
      </c>
      <c r="AY79" s="93">
        <v>11</v>
      </c>
      <c r="AZ79" s="78" t="s">
        <v>199</v>
      </c>
    </row>
    <row r="80" spans="1:52" x14ac:dyDescent="0.25">
      <c r="A80" s="78" t="s">
        <v>1109</v>
      </c>
      <c r="B80" s="78" t="s">
        <v>971</v>
      </c>
      <c r="C80" s="79">
        <v>45846.447755046298</v>
      </c>
      <c r="D80" s="79">
        <v>45846.444835451388</v>
      </c>
      <c r="E80" s="79">
        <v>45846.444822557867</v>
      </c>
      <c r="F80" s="78" t="s">
        <v>972</v>
      </c>
      <c r="G80" s="78" t="s">
        <v>719</v>
      </c>
      <c r="H80" s="87">
        <v>45782</v>
      </c>
      <c r="I80" s="85">
        <v>0.74097222222222214</v>
      </c>
      <c r="J80" s="88"/>
      <c r="K80" s="89"/>
      <c r="L80" s="87">
        <v>45791</v>
      </c>
      <c r="M80" s="85">
        <v>0.64642361111111113</v>
      </c>
      <c r="N80" s="78" t="s">
        <v>154</v>
      </c>
      <c r="O80" s="78" t="s">
        <v>347</v>
      </c>
      <c r="P80" s="78"/>
      <c r="Q80" s="78" t="s">
        <v>720</v>
      </c>
      <c r="R80" s="78" t="s">
        <v>251</v>
      </c>
      <c r="S80" s="80">
        <v>9</v>
      </c>
      <c r="T80" s="78" t="s">
        <v>721</v>
      </c>
      <c r="U80" s="80"/>
      <c r="V80" s="80"/>
      <c r="W80" s="78"/>
      <c r="X80" s="78" t="s">
        <v>981</v>
      </c>
      <c r="Y80" s="78" t="s">
        <v>722</v>
      </c>
      <c r="Z80" s="78"/>
      <c r="AA80" s="78"/>
      <c r="AB80" s="78"/>
      <c r="AC80" s="78"/>
      <c r="AD80" s="78"/>
      <c r="AE80" s="78" t="s">
        <v>950</v>
      </c>
      <c r="AF80" s="78" t="s">
        <v>931</v>
      </c>
      <c r="AG80" s="78" t="s">
        <v>646</v>
      </c>
      <c r="AH80" s="78" t="s">
        <v>328</v>
      </c>
      <c r="AI80" s="78" t="s">
        <v>350</v>
      </c>
      <c r="AJ80" s="78" t="s">
        <v>181</v>
      </c>
      <c r="AK80" s="78" t="s">
        <v>167</v>
      </c>
      <c r="AL80" s="80">
        <v>9</v>
      </c>
      <c r="AM80" s="81">
        <v>45782</v>
      </c>
      <c r="AN80" s="82">
        <v>0.74097222222222225</v>
      </c>
      <c r="AO80" s="82">
        <v>0.70833333333333337</v>
      </c>
      <c r="AP80" s="80" t="s">
        <v>266</v>
      </c>
      <c r="AQ80" s="78" t="s">
        <v>724</v>
      </c>
      <c r="AR80" s="80" t="s">
        <v>723</v>
      </c>
      <c r="AS80" s="93" t="s">
        <v>169</v>
      </c>
      <c r="AT80" s="78" t="s">
        <v>266</v>
      </c>
      <c r="AU80" s="92" t="s">
        <v>183</v>
      </c>
      <c r="AV80" s="92" t="s">
        <v>705</v>
      </c>
      <c r="AW80" s="93">
        <v>2025</v>
      </c>
      <c r="AX80" s="93">
        <v>19</v>
      </c>
      <c r="AY80" s="93">
        <v>5</v>
      </c>
      <c r="AZ80" s="78" t="s">
        <v>724</v>
      </c>
    </row>
    <row r="81" spans="1:52" x14ac:dyDescent="0.25">
      <c r="A81" s="78" t="s">
        <v>1109</v>
      </c>
      <c r="B81" s="78" t="s">
        <v>971</v>
      </c>
      <c r="C81" s="79">
        <v>45846.447755046298</v>
      </c>
      <c r="D81" s="79">
        <v>45846.444835451388</v>
      </c>
      <c r="E81" s="79">
        <v>45846.444822557867</v>
      </c>
      <c r="F81" s="78" t="s">
        <v>972</v>
      </c>
      <c r="G81" s="78" t="s">
        <v>750</v>
      </c>
      <c r="H81" s="87">
        <v>45789</v>
      </c>
      <c r="I81" s="85">
        <v>0.8125</v>
      </c>
      <c r="J81" s="88">
        <v>45789</v>
      </c>
      <c r="K81" s="89">
        <v>0.85069444444444442</v>
      </c>
      <c r="L81" s="87">
        <v>45792</v>
      </c>
      <c r="M81" s="85">
        <v>0.34418981481481481</v>
      </c>
      <c r="N81" s="78" t="s">
        <v>154</v>
      </c>
      <c r="O81" s="78"/>
      <c r="P81" s="78"/>
      <c r="Q81" s="78" t="s">
        <v>751</v>
      </c>
      <c r="R81" s="78" t="s">
        <v>553</v>
      </c>
      <c r="S81" s="80"/>
      <c r="T81" s="78" t="s">
        <v>752</v>
      </c>
      <c r="U81" s="80"/>
      <c r="V81" s="80"/>
      <c r="W81" s="78" t="s">
        <v>753</v>
      </c>
      <c r="X81" s="78" t="s">
        <v>754</v>
      </c>
      <c r="Y81" s="78" t="s">
        <v>755</v>
      </c>
      <c r="Z81" s="78" t="s">
        <v>161</v>
      </c>
      <c r="AA81" s="78"/>
      <c r="AB81" s="78"/>
      <c r="AC81" s="78"/>
      <c r="AD81" s="78"/>
      <c r="AE81" s="78" t="s">
        <v>943</v>
      </c>
      <c r="AF81" s="78" t="s">
        <v>931</v>
      </c>
      <c r="AG81" s="78" t="s">
        <v>525</v>
      </c>
      <c r="AH81" s="78" t="s">
        <v>211</v>
      </c>
      <c r="AI81" s="78" t="s">
        <v>488</v>
      </c>
      <c r="AJ81" s="78" t="s">
        <v>166</v>
      </c>
      <c r="AK81" s="78" t="s">
        <v>167</v>
      </c>
      <c r="AL81" s="80">
        <v>9</v>
      </c>
      <c r="AM81" s="81">
        <v>45789</v>
      </c>
      <c r="AN81" s="82">
        <v>0.8125</v>
      </c>
      <c r="AO81" s="82">
        <v>0.79166666666666663</v>
      </c>
      <c r="AP81" s="80" t="s">
        <v>266</v>
      </c>
      <c r="AQ81" s="78" t="s">
        <v>756</v>
      </c>
      <c r="AR81" s="80" t="s">
        <v>154</v>
      </c>
      <c r="AS81" s="93" t="s">
        <v>169</v>
      </c>
      <c r="AT81" s="78" t="s">
        <v>266</v>
      </c>
      <c r="AU81" s="92" t="s">
        <v>183</v>
      </c>
      <c r="AV81" s="92" t="s">
        <v>705</v>
      </c>
      <c r="AW81" s="93">
        <v>2025</v>
      </c>
      <c r="AX81" s="93">
        <v>20</v>
      </c>
      <c r="AY81" s="93">
        <v>12</v>
      </c>
      <c r="AZ81" s="78" t="s">
        <v>756</v>
      </c>
    </row>
    <row r="82" spans="1:52" x14ac:dyDescent="0.25">
      <c r="A82" s="78" t="s">
        <v>1109</v>
      </c>
      <c r="B82" s="78" t="s">
        <v>971</v>
      </c>
      <c r="C82" s="79">
        <v>45846.447755046298</v>
      </c>
      <c r="D82" s="79">
        <v>45846.444835451388</v>
      </c>
      <c r="E82" s="79">
        <v>45846.444822557867</v>
      </c>
      <c r="F82" s="78" t="s">
        <v>972</v>
      </c>
      <c r="G82" s="78" t="s">
        <v>757</v>
      </c>
      <c r="H82" s="87">
        <v>45789</v>
      </c>
      <c r="I82" s="85">
        <v>0.33333333333333326</v>
      </c>
      <c r="J82" s="88">
        <v>45793</v>
      </c>
      <c r="K82" s="89"/>
      <c r="L82" s="87">
        <v>45793</v>
      </c>
      <c r="M82" s="85">
        <v>0.55564814814814811</v>
      </c>
      <c r="N82" s="78" t="s">
        <v>242</v>
      </c>
      <c r="O82" s="78"/>
      <c r="P82" s="78"/>
      <c r="Q82" s="78" t="s">
        <v>758</v>
      </c>
      <c r="R82" s="78" t="s">
        <v>270</v>
      </c>
      <c r="S82" s="80">
        <v>5</v>
      </c>
      <c r="T82" s="78" t="s">
        <v>759</v>
      </c>
      <c r="U82" s="80"/>
      <c r="V82" s="80"/>
      <c r="W82" s="78"/>
      <c r="X82" s="78"/>
      <c r="Y82" s="78"/>
      <c r="Z82" s="78"/>
      <c r="AA82" s="78"/>
      <c r="AB82" s="78"/>
      <c r="AC82" s="78"/>
      <c r="AD82" s="78"/>
      <c r="AE82" s="78" t="s">
        <v>958</v>
      </c>
      <c r="AF82" s="78" t="s">
        <v>931</v>
      </c>
      <c r="AG82" s="78" t="s">
        <v>635</v>
      </c>
      <c r="AH82" s="78" t="s">
        <v>256</v>
      </c>
      <c r="AI82" s="78" t="s">
        <v>350</v>
      </c>
      <c r="AJ82" s="78" t="s">
        <v>301</v>
      </c>
      <c r="AK82" s="78" t="s">
        <v>246</v>
      </c>
      <c r="AL82" s="80">
        <v>9</v>
      </c>
      <c r="AM82" s="81">
        <v>45789</v>
      </c>
      <c r="AN82" s="82">
        <v>0.33333333333333331</v>
      </c>
      <c r="AO82" s="82">
        <v>0.33333333333333331</v>
      </c>
      <c r="AP82" s="80" t="s">
        <v>276</v>
      </c>
      <c r="AQ82" s="78" t="s">
        <v>760</v>
      </c>
      <c r="AR82" s="80" t="s">
        <v>242</v>
      </c>
      <c r="AS82" s="93" t="s">
        <v>169</v>
      </c>
      <c r="AT82" s="78" t="s">
        <v>276</v>
      </c>
      <c r="AU82" s="92" t="s">
        <v>183</v>
      </c>
      <c r="AV82" s="92" t="s">
        <v>705</v>
      </c>
      <c r="AW82" s="93">
        <v>2025</v>
      </c>
      <c r="AX82" s="93">
        <v>20</v>
      </c>
      <c r="AY82" s="93">
        <v>12</v>
      </c>
      <c r="AZ82" s="78" t="s">
        <v>760</v>
      </c>
    </row>
    <row r="83" spans="1:52" x14ac:dyDescent="0.25">
      <c r="A83" s="78" t="s">
        <v>1109</v>
      </c>
      <c r="B83" s="78" t="s">
        <v>971</v>
      </c>
      <c r="C83" s="79">
        <v>45846.447755046298</v>
      </c>
      <c r="D83" s="79">
        <v>45846.444835451388</v>
      </c>
      <c r="E83" s="79">
        <v>45846.444822557867</v>
      </c>
      <c r="F83" s="78" t="s">
        <v>972</v>
      </c>
      <c r="G83" s="78" t="s">
        <v>769</v>
      </c>
      <c r="H83" s="87">
        <v>45795</v>
      </c>
      <c r="I83" s="85">
        <v>0.8125</v>
      </c>
      <c r="J83" s="88"/>
      <c r="K83" s="89"/>
      <c r="L83" s="87">
        <v>45796</v>
      </c>
      <c r="M83" s="85">
        <v>0.81428240740740743</v>
      </c>
      <c r="N83" s="78" t="s">
        <v>154</v>
      </c>
      <c r="O83" s="78"/>
      <c r="P83" s="78"/>
      <c r="Q83" s="78" t="s">
        <v>770</v>
      </c>
      <c r="R83" s="78" t="s">
        <v>251</v>
      </c>
      <c r="S83" s="80">
        <v>9</v>
      </c>
      <c r="T83" s="78" t="s">
        <v>771</v>
      </c>
      <c r="U83" s="80"/>
      <c r="V83" s="80"/>
      <c r="W83" s="78" t="s">
        <v>772</v>
      </c>
      <c r="X83" s="78" t="s">
        <v>981</v>
      </c>
      <c r="Y83" s="78" t="s">
        <v>773</v>
      </c>
      <c r="Z83" s="78" t="s">
        <v>161</v>
      </c>
      <c r="AA83" s="78"/>
      <c r="AB83" s="78"/>
      <c r="AC83" s="78"/>
      <c r="AD83" s="78"/>
      <c r="AE83" s="78" t="s">
        <v>1007</v>
      </c>
      <c r="AF83" s="78" t="s">
        <v>931</v>
      </c>
      <c r="AG83" s="78" t="s">
        <v>245</v>
      </c>
      <c r="AH83" s="78" t="s">
        <v>142</v>
      </c>
      <c r="AI83" s="78" t="s">
        <v>350</v>
      </c>
      <c r="AJ83" s="78" t="s">
        <v>181</v>
      </c>
      <c r="AK83" s="78" t="s">
        <v>167</v>
      </c>
      <c r="AL83" s="80">
        <v>9</v>
      </c>
      <c r="AM83" s="81">
        <v>45795</v>
      </c>
      <c r="AN83" s="82">
        <v>0.8125</v>
      </c>
      <c r="AO83" s="82">
        <v>0.79166666666666663</v>
      </c>
      <c r="AP83" s="80" t="s">
        <v>266</v>
      </c>
      <c r="AQ83" s="78" t="s">
        <v>774</v>
      </c>
      <c r="AR83" s="80" t="s">
        <v>154</v>
      </c>
      <c r="AS83" s="93" t="s">
        <v>169</v>
      </c>
      <c r="AT83" s="78" t="s">
        <v>266</v>
      </c>
      <c r="AU83" s="92" t="s">
        <v>311</v>
      </c>
      <c r="AV83" s="92" t="s">
        <v>705</v>
      </c>
      <c r="AW83" s="93">
        <v>2025</v>
      </c>
      <c r="AX83" s="93">
        <v>21</v>
      </c>
      <c r="AY83" s="93">
        <v>18</v>
      </c>
      <c r="AZ83" s="78" t="s">
        <v>774</v>
      </c>
    </row>
    <row r="84" spans="1:52" x14ac:dyDescent="0.25">
      <c r="A84" s="78" t="s">
        <v>1109</v>
      </c>
      <c r="B84" s="78" t="s">
        <v>971</v>
      </c>
      <c r="C84" s="79">
        <v>45846.447755046298</v>
      </c>
      <c r="D84" s="79">
        <v>45846.444835451388</v>
      </c>
      <c r="E84" s="79">
        <v>45846.444822557867</v>
      </c>
      <c r="F84" s="78" t="s">
        <v>972</v>
      </c>
      <c r="G84" s="78" t="s">
        <v>765</v>
      </c>
      <c r="H84" s="87">
        <v>45791</v>
      </c>
      <c r="I84" s="85">
        <v>0.46875</v>
      </c>
      <c r="J84" s="88"/>
      <c r="K84" s="89"/>
      <c r="L84" s="87">
        <v>45797</v>
      </c>
      <c r="M84" s="85">
        <v>0.56267361111111114</v>
      </c>
      <c r="N84" s="78" t="s">
        <v>174</v>
      </c>
      <c r="O84" s="78" t="s">
        <v>295</v>
      </c>
      <c r="P84" s="78"/>
      <c r="Q84" s="78" t="s">
        <v>766</v>
      </c>
      <c r="R84" s="78" t="s">
        <v>325</v>
      </c>
      <c r="S84" s="80">
        <v>8</v>
      </c>
      <c r="T84" s="78" t="s">
        <v>767</v>
      </c>
      <c r="U84" s="80"/>
      <c r="V84" s="80"/>
      <c r="W84" s="78" t="s">
        <v>768</v>
      </c>
      <c r="X84" s="78"/>
      <c r="Y84" s="78"/>
      <c r="Z84" s="78"/>
      <c r="AA84" s="78"/>
      <c r="AB84" s="78"/>
      <c r="AC84" s="78"/>
      <c r="AD84" s="78"/>
      <c r="AE84" s="78" t="s">
        <v>946</v>
      </c>
      <c r="AF84" s="78" t="s">
        <v>931</v>
      </c>
      <c r="AG84" s="78" t="s">
        <v>334</v>
      </c>
      <c r="AH84" s="78" t="s">
        <v>164</v>
      </c>
      <c r="AI84" s="78" t="s">
        <v>310</v>
      </c>
      <c r="AJ84" s="78" t="s">
        <v>166</v>
      </c>
      <c r="AK84" s="78" t="s">
        <v>182</v>
      </c>
      <c r="AL84" s="80">
        <v>9</v>
      </c>
      <c r="AM84" s="81">
        <v>45791</v>
      </c>
      <c r="AN84" s="82">
        <v>0.46875</v>
      </c>
      <c r="AO84" s="82">
        <v>0.45833333333333331</v>
      </c>
      <c r="AP84" s="80" t="s">
        <v>276</v>
      </c>
      <c r="AQ84" s="78" t="s">
        <v>374</v>
      </c>
      <c r="AR84" s="80" t="s">
        <v>302</v>
      </c>
      <c r="AS84" s="93" t="s">
        <v>169</v>
      </c>
      <c r="AT84" s="78" t="s">
        <v>276</v>
      </c>
      <c r="AU84" s="92" t="s">
        <v>239</v>
      </c>
      <c r="AV84" s="92" t="s">
        <v>705</v>
      </c>
      <c r="AW84" s="93">
        <v>2025</v>
      </c>
      <c r="AX84" s="93">
        <v>20</v>
      </c>
      <c r="AY84" s="93">
        <v>14</v>
      </c>
      <c r="AZ84" s="78" t="s">
        <v>374</v>
      </c>
    </row>
    <row r="85" spans="1:52" x14ac:dyDescent="0.25">
      <c r="A85" s="78" t="s">
        <v>1109</v>
      </c>
      <c r="B85" s="78" t="s">
        <v>971</v>
      </c>
      <c r="C85" s="79">
        <v>45846.447755046298</v>
      </c>
      <c r="D85" s="79">
        <v>45846.444835451388</v>
      </c>
      <c r="E85" s="79">
        <v>45846.444822557867</v>
      </c>
      <c r="F85" s="78" t="s">
        <v>972</v>
      </c>
      <c r="G85" s="78" t="s">
        <v>761</v>
      </c>
      <c r="H85" s="87">
        <v>45790</v>
      </c>
      <c r="I85" s="85">
        <v>0.64583333333333326</v>
      </c>
      <c r="J85" s="88"/>
      <c r="K85" s="89"/>
      <c r="L85" s="87">
        <v>45798</v>
      </c>
      <c r="M85" s="85">
        <v>0.58729166666666666</v>
      </c>
      <c r="N85" s="78" t="s">
        <v>188</v>
      </c>
      <c r="O85" s="78"/>
      <c r="P85" s="78"/>
      <c r="Q85" s="78" t="s">
        <v>762</v>
      </c>
      <c r="R85" s="78" t="s">
        <v>251</v>
      </c>
      <c r="S85" s="80">
        <v>9</v>
      </c>
      <c r="T85" s="78" t="s">
        <v>763</v>
      </c>
      <c r="U85" s="80"/>
      <c r="V85" s="80"/>
      <c r="W85" s="78"/>
      <c r="X85" s="78"/>
      <c r="Y85" s="78"/>
      <c r="Z85" s="78"/>
      <c r="AA85" s="78"/>
      <c r="AB85" s="78"/>
      <c r="AC85" s="78"/>
      <c r="AD85" s="78"/>
      <c r="AE85" s="78" t="s">
        <v>946</v>
      </c>
      <c r="AF85" s="78" t="s">
        <v>931</v>
      </c>
      <c r="AG85" s="78" t="s">
        <v>334</v>
      </c>
      <c r="AH85" s="78" t="s">
        <v>164</v>
      </c>
      <c r="AI85" s="78" t="s">
        <v>257</v>
      </c>
      <c r="AJ85" s="78" t="s">
        <v>320</v>
      </c>
      <c r="AK85" s="78" t="s">
        <v>197</v>
      </c>
      <c r="AL85" s="80">
        <v>9</v>
      </c>
      <c r="AM85" s="81">
        <v>45790</v>
      </c>
      <c r="AN85" s="82">
        <v>0.64583333333333337</v>
      </c>
      <c r="AO85" s="82">
        <v>0.625</v>
      </c>
      <c r="AP85" s="80" t="s">
        <v>146</v>
      </c>
      <c r="AQ85" s="78" t="s">
        <v>764</v>
      </c>
      <c r="AR85" s="80" t="s">
        <v>188</v>
      </c>
      <c r="AS85" s="93" t="s">
        <v>169</v>
      </c>
      <c r="AT85" s="78" t="s">
        <v>146</v>
      </c>
      <c r="AU85" s="92" t="s">
        <v>148</v>
      </c>
      <c r="AV85" s="92" t="s">
        <v>705</v>
      </c>
      <c r="AW85" s="93">
        <v>2025</v>
      </c>
      <c r="AX85" s="93">
        <v>20</v>
      </c>
      <c r="AY85" s="93">
        <v>13</v>
      </c>
      <c r="AZ85" s="78" t="s">
        <v>764</v>
      </c>
    </row>
    <row r="86" spans="1:52" x14ac:dyDescent="0.25">
      <c r="A86" s="78" t="s">
        <v>1109</v>
      </c>
      <c r="B86" s="78" t="s">
        <v>971</v>
      </c>
      <c r="C86" s="79">
        <v>45846.447755046298</v>
      </c>
      <c r="D86" s="79">
        <v>45846.444835451388</v>
      </c>
      <c r="E86" s="79">
        <v>45846.444822557867</v>
      </c>
      <c r="F86" s="78" t="s">
        <v>972</v>
      </c>
      <c r="G86" s="78" t="s">
        <v>778</v>
      </c>
      <c r="H86" s="87">
        <v>45801</v>
      </c>
      <c r="I86" s="85">
        <v>0.93333333333333335</v>
      </c>
      <c r="J86" s="88"/>
      <c r="K86" s="89"/>
      <c r="L86" s="87">
        <v>45801</v>
      </c>
      <c r="M86" s="85">
        <v>0.94206018518518519</v>
      </c>
      <c r="N86" s="78" t="s">
        <v>242</v>
      </c>
      <c r="O86" s="78" t="s">
        <v>556</v>
      </c>
      <c r="P86" s="78" t="s">
        <v>779</v>
      </c>
      <c r="Q86" s="78" t="s">
        <v>780</v>
      </c>
      <c r="R86" s="78" t="s">
        <v>378</v>
      </c>
      <c r="S86" s="80">
        <v>5</v>
      </c>
      <c r="T86" s="78" t="s">
        <v>781</v>
      </c>
      <c r="U86" s="80"/>
      <c r="V86" s="80"/>
      <c r="W86" s="78"/>
      <c r="X86" s="78"/>
      <c r="Y86" s="78"/>
      <c r="Z86" s="78"/>
      <c r="AA86" s="78"/>
      <c r="AB86" s="78"/>
      <c r="AC86" s="78"/>
      <c r="AD86" s="78"/>
      <c r="AE86" s="78" t="s">
        <v>936</v>
      </c>
      <c r="AF86" s="78" t="s">
        <v>931</v>
      </c>
      <c r="AG86" s="78" t="s">
        <v>562</v>
      </c>
      <c r="AH86" s="78" t="s">
        <v>444</v>
      </c>
      <c r="AI86" s="78" t="s">
        <v>228</v>
      </c>
      <c r="AJ86" s="78" t="s">
        <v>166</v>
      </c>
      <c r="AK86" s="78" t="s">
        <v>246</v>
      </c>
      <c r="AL86" s="80">
        <v>9</v>
      </c>
      <c r="AM86" s="81">
        <v>45801</v>
      </c>
      <c r="AN86" s="82">
        <v>0.93333333333333335</v>
      </c>
      <c r="AO86" s="82">
        <v>0.91666666666666663</v>
      </c>
      <c r="AP86" s="80" t="s">
        <v>168</v>
      </c>
      <c r="AQ86" s="78" t="s">
        <v>783</v>
      </c>
      <c r="AR86" s="80" t="s">
        <v>782</v>
      </c>
      <c r="AS86" s="93" t="s">
        <v>169</v>
      </c>
      <c r="AT86" s="78" t="s">
        <v>168</v>
      </c>
      <c r="AU86" s="92" t="s">
        <v>292</v>
      </c>
      <c r="AV86" s="92" t="s">
        <v>705</v>
      </c>
      <c r="AW86" s="93">
        <v>2025</v>
      </c>
      <c r="AX86" s="93">
        <v>21</v>
      </c>
      <c r="AY86" s="93">
        <v>24</v>
      </c>
      <c r="AZ86" s="78" t="s">
        <v>783</v>
      </c>
    </row>
    <row r="87" spans="1:52" x14ac:dyDescent="0.25">
      <c r="A87" s="78" t="s">
        <v>1109</v>
      </c>
      <c r="B87" s="78" t="s">
        <v>971</v>
      </c>
      <c r="C87" s="79">
        <v>45846.447755046298</v>
      </c>
      <c r="D87" s="79">
        <v>45846.444835451388</v>
      </c>
      <c r="E87" s="79">
        <v>45846.444822557867</v>
      </c>
      <c r="F87" s="78" t="s">
        <v>972</v>
      </c>
      <c r="G87" s="78" t="s">
        <v>784</v>
      </c>
      <c r="H87" s="87">
        <v>45802</v>
      </c>
      <c r="I87" s="85">
        <v>0.23958333333333326</v>
      </c>
      <c r="J87" s="88"/>
      <c r="K87" s="89">
        <v>0.29166666666666669</v>
      </c>
      <c r="L87" s="87">
        <v>45802</v>
      </c>
      <c r="M87" s="85">
        <v>0.36920138888888887</v>
      </c>
      <c r="N87" s="78" t="s">
        <v>367</v>
      </c>
      <c r="O87" s="78"/>
      <c r="P87" s="78"/>
      <c r="Q87" s="78" t="s">
        <v>785</v>
      </c>
      <c r="R87" s="78" t="s">
        <v>414</v>
      </c>
      <c r="S87" s="80">
        <v>7</v>
      </c>
      <c r="T87" s="78" t="s">
        <v>786</v>
      </c>
      <c r="U87" s="80"/>
      <c r="V87" s="80"/>
      <c r="W87" s="78"/>
      <c r="X87" s="78"/>
      <c r="Y87" s="78"/>
      <c r="Z87" s="78"/>
      <c r="AA87" s="78"/>
      <c r="AB87" s="78"/>
      <c r="AC87" s="78"/>
      <c r="AD87" s="78"/>
      <c r="AE87" s="78" t="s">
        <v>1001</v>
      </c>
      <c r="AF87" s="78" t="s">
        <v>931</v>
      </c>
      <c r="AG87" s="78" t="s">
        <v>787</v>
      </c>
      <c r="AH87" s="78" t="s">
        <v>542</v>
      </c>
      <c r="AI87" s="78" t="s">
        <v>350</v>
      </c>
      <c r="AJ87" s="78" t="s">
        <v>320</v>
      </c>
      <c r="AK87" s="78" t="s">
        <v>246</v>
      </c>
      <c r="AL87" s="80">
        <v>9</v>
      </c>
      <c r="AM87" s="81">
        <v>45802</v>
      </c>
      <c r="AN87" s="82">
        <v>0.23958333333333334</v>
      </c>
      <c r="AO87" s="82">
        <v>0.20833333333333334</v>
      </c>
      <c r="AP87" s="80" t="s">
        <v>385</v>
      </c>
      <c r="AQ87" s="78" t="s">
        <v>184</v>
      </c>
      <c r="AR87" s="80" t="s">
        <v>367</v>
      </c>
      <c r="AS87" s="93" t="s">
        <v>169</v>
      </c>
      <c r="AT87" s="78" t="s">
        <v>385</v>
      </c>
      <c r="AU87" s="92" t="s">
        <v>311</v>
      </c>
      <c r="AV87" s="92" t="s">
        <v>705</v>
      </c>
      <c r="AW87" s="93">
        <v>2025</v>
      </c>
      <c r="AX87" s="93">
        <v>22</v>
      </c>
      <c r="AY87" s="93">
        <v>25</v>
      </c>
      <c r="AZ87" s="78" t="s">
        <v>184</v>
      </c>
    </row>
    <row r="88" spans="1:52" x14ac:dyDescent="0.25">
      <c r="A88" s="78" t="s">
        <v>1109</v>
      </c>
      <c r="B88" s="78" t="s">
        <v>971</v>
      </c>
      <c r="C88" s="79">
        <v>45846.447755046298</v>
      </c>
      <c r="D88" s="79">
        <v>45846.444835451388</v>
      </c>
      <c r="E88" s="79">
        <v>45846.444822557867</v>
      </c>
      <c r="F88" s="78" t="s">
        <v>972</v>
      </c>
      <c r="G88" s="78" t="s">
        <v>788</v>
      </c>
      <c r="H88" s="87">
        <v>45802</v>
      </c>
      <c r="I88" s="85">
        <v>0.76041666666666674</v>
      </c>
      <c r="J88" s="88"/>
      <c r="K88" s="89"/>
      <c r="L88" s="87">
        <v>45802</v>
      </c>
      <c r="M88" s="85">
        <v>0.76521990740740742</v>
      </c>
      <c r="N88" s="78" t="s">
        <v>242</v>
      </c>
      <c r="O88" s="78" t="s">
        <v>219</v>
      </c>
      <c r="P88" s="78" t="s">
        <v>347</v>
      </c>
      <c r="Q88" s="78" t="s">
        <v>789</v>
      </c>
      <c r="R88" s="78" t="s">
        <v>378</v>
      </c>
      <c r="S88" s="80">
        <v>5</v>
      </c>
      <c r="T88" s="78" t="s">
        <v>790</v>
      </c>
      <c r="U88" s="80"/>
      <c r="V88" s="80"/>
      <c r="W88" s="78"/>
      <c r="X88" s="78"/>
      <c r="Y88" s="78"/>
      <c r="Z88" s="78"/>
      <c r="AA88" s="78"/>
      <c r="AB88" s="78"/>
      <c r="AC88" s="78"/>
      <c r="AD88" s="78"/>
      <c r="AE88" s="78" t="s">
        <v>936</v>
      </c>
      <c r="AF88" s="78" t="s">
        <v>931</v>
      </c>
      <c r="AG88" s="78" t="s">
        <v>309</v>
      </c>
      <c r="AH88" s="78" t="s">
        <v>444</v>
      </c>
      <c r="AI88" s="78" t="s">
        <v>228</v>
      </c>
      <c r="AJ88" s="78" t="s">
        <v>166</v>
      </c>
      <c r="AK88" s="78" t="s">
        <v>246</v>
      </c>
      <c r="AL88" s="80">
        <v>9</v>
      </c>
      <c r="AM88" s="81">
        <v>45802</v>
      </c>
      <c r="AN88" s="82">
        <v>0.76041666666666663</v>
      </c>
      <c r="AO88" s="82">
        <v>0.75</v>
      </c>
      <c r="AP88" s="80" t="s">
        <v>266</v>
      </c>
      <c r="AQ88" s="78" t="s">
        <v>792</v>
      </c>
      <c r="AR88" s="80" t="s">
        <v>791</v>
      </c>
      <c r="AS88" s="93" t="s">
        <v>169</v>
      </c>
      <c r="AT88" s="78" t="s">
        <v>266</v>
      </c>
      <c r="AU88" s="92" t="s">
        <v>311</v>
      </c>
      <c r="AV88" s="92" t="s">
        <v>705</v>
      </c>
      <c r="AW88" s="93">
        <v>2025</v>
      </c>
      <c r="AX88" s="93">
        <v>22</v>
      </c>
      <c r="AY88" s="93">
        <v>25</v>
      </c>
      <c r="AZ88" s="78" t="s">
        <v>792</v>
      </c>
    </row>
    <row r="89" spans="1:52" x14ac:dyDescent="0.25">
      <c r="A89" s="78" t="s">
        <v>1109</v>
      </c>
      <c r="B89" s="78" t="s">
        <v>971</v>
      </c>
      <c r="C89" s="79">
        <v>45846.447755046298</v>
      </c>
      <c r="D89" s="79">
        <v>45846.444835451388</v>
      </c>
      <c r="E89" s="79">
        <v>45846.444822557867</v>
      </c>
      <c r="F89" s="78" t="s">
        <v>972</v>
      </c>
      <c r="G89" s="78" t="s">
        <v>687</v>
      </c>
      <c r="H89" s="87">
        <v>45774</v>
      </c>
      <c r="I89" s="85">
        <v>0.79166666666666674</v>
      </c>
      <c r="J89" s="88">
        <v>45802</v>
      </c>
      <c r="K89" s="89"/>
      <c r="L89" s="87">
        <v>45802</v>
      </c>
      <c r="M89" s="85">
        <v>0.80763888888888891</v>
      </c>
      <c r="N89" s="78" t="s">
        <v>242</v>
      </c>
      <c r="O89" s="78"/>
      <c r="P89" s="78"/>
      <c r="Q89" s="78" t="s">
        <v>287</v>
      </c>
      <c r="R89" s="78" t="s">
        <v>288</v>
      </c>
      <c r="S89" s="80">
        <v>5</v>
      </c>
      <c r="T89" s="78" t="s">
        <v>688</v>
      </c>
      <c r="U89" s="80"/>
      <c r="V89" s="80"/>
      <c r="W89" s="78"/>
      <c r="X89" s="78"/>
      <c r="Y89" s="78"/>
      <c r="Z89" s="78"/>
      <c r="AA89" s="78"/>
      <c r="AB89" s="78"/>
      <c r="AC89" s="78"/>
      <c r="AD89" s="78"/>
      <c r="AE89" s="78" t="s">
        <v>936</v>
      </c>
      <c r="AF89" s="78" t="s">
        <v>931</v>
      </c>
      <c r="AG89" s="78" t="s">
        <v>689</v>
      </c>
      <c r="AH89" s="78" t="s">
        <v>211</v>
      </c>
      <c r="AI89" s="78" t="s">
        <v>488</v>
      </c>
      <c r="AJ89" s="78" t="s">
        <v>166</v>
      </c>
      <c r="AK89" s="78" t="s">
        <v>246</v>
      </c>
      <c r="AL89" s="80">
        <v>9</v>
      </c>
      <c r="AM89" s="81">
        <v>45774</v>
      </c>
      <c r="AN89" s="82">
        <v>0.79166666666666663</v>
      </c>
      <c r="AO89" s="82">
        <v>0.79166666666666663</v>
      </c>
      <c r="AP89" s="80" t="s">
        <v>266</v>
      </c>
      <c r="AQ89" s="78" t="s">
        <v>293</v>
      </c>
      <c r="AR89" s="80" t="s">
        <v>242</v>
      </c>
      <c r="AS89" s="93" t="s">
        <v>169</v>
      </c>
      <c r="AT89" s="78" t="s">
        <v>266</v>
      </c>
      <c r="AU89" s="92" t="s">
        <v>311</v>
      </c>
      <c r="AV89" s="92" t="s">
        <v>582</v>
      </c>
      <c r="AW89" s="93">
        <v>2025</v>
      </c>
      <c r="AX89" s="93">
        <v>18</v>
      </c>
      <c r="AY89" s="93">
        <v>27</v>
      </c>
      <c r="AZ89" s="78" t="s">
        <v>293</v>
      </c>
    </row>
    <row r="90" spans="1:52" x14ac:dyDescent="0.25">
      <c r="A90" s="78" t="s">
        <v>1109</v>
      </c>
      <c r="B90" s="78" t="s">
        <v>971</v>
      </c>
      <c r="C90" s="79">
        <v>45846.447755046298</v>
      </c>
      <c r="D90" s="79">
        <v>45846.444835451388</v>
      </c>
      <c r="E90" s="79">
        <v>45846.444822557867</v>
      </c>
      <c r="F90" s="78" t="s">
        <v>972</v>
      </c>
      <c r="G90" s="78" t="s">
        <v>793</v>
      </c>
      <c r="H90" s="87">
        <v>45804</v>
      </c>
      <c r="I90" s="85">
        <v>0.9770833333333333</v>
      </c>
      <c r="J90" s="88"/>
      <c r="K90" s="89"/>
      <c r="L90" s="87">
        <v>45803</v>
      </c>
      <c r="M90" s="85">
        <v>0.98570601851851847</v>
      </c>
      <c r="N90" s="78" t="s">
        <v>206</v>
      </c>
      <c r="O90" s="78" t="s">
        <v>779</v>
      </c>
      <c r="P90" s="78" t="s">
        <v>794</v>
      </c>
      <c r="Q90" s="78" t="s">
        <v>795</v>
      </c>
      <c r="R90" s="78" t="s">
        <v>270</v>
      </c>
      <c r="S90" s="80">
        <v>5</v>
      </c>
      <c r="T90" s="78" t="s">
        <v>796</v>
      </c>
      <c r="U90" s="80"/>
      <c r="V90" s="80"/>
      <c r="W90" s="78"/>
      <c r="X90" s="78"/>
      <c r="Y90" s="78"/>
      <c r="Z90" s="78"/>
      <c r="AA90" s="78"/>
      <c r="AB90" s="78"/>
      <c r="AC90" s="78"/>
      <c r="AD90" s="78"/>
      <c r="AE90" s="78" t="s">
        <v>930</v>
      </c>
      <c r="AF90" s="78" t="s">
        <v>931</v>
      </c>
      <c r="AG90" s="78" t="s">
        <v>443</v>
      </c>
      <c r="AH90" s="78" t="s">
        <v>444</v>
      </c>
      <c r="AI90" s="78" t="s">
        <v>275</v>
      </c>
      <c r="AJ90" s="78" t="s">
        <v>166</v>
      </c>
      <c r="AK90" s="78" t="s">
        <v>213</v>
      </c>
      <c r="AL90" s="80">
        <v>9</v>
      </c>
      <c r="AM90" s="81">
        <v>45804</v>
      </c>
      <c r="AN90" s="82">
        <v>0.9770833333333333</v>
      </c>
      <c r="AO90" s="82">
        <v>0.95833333333333337</v>
      </c>
      <c r="AP90" s="80" t="s">
        <v>168</v>
      </c>
      <c r="AQ90" s="78" t="s">
        <v>731</v>
      </c>
      <c r="AR90" s="80" t="s">
        <v>797</v>
      </c>
      <c r="AS90" s="93" t="s">
        <v>169</v>
      </c>
      <c r="AT90" s="78" t="s">
        <v>168</v>
      </c>
      <c r="AU90" s="92" t="s">
        <v>148</v>
      </c>
      <c r="AV90" s="92" t="s">
        <v>705</v>
      </c>
      <c r="AW90" s="93">
        <v>2025</v>
      </c>
      <c r="AX90" s="93">
        <v>22</v>
      </c>
      <c r="AY90" s="93">
        <v>27</v>
      </c>
      <c r="AZ90" s="78" t="s">
        <v>731</v>
      </c>
    </row>
    <row r="91" spans="1:52" x14ac:dyDescent="0.25">
      <c r="A91" s="78" t="s">
        <v>1109</v>
      </c>
      <c r="B91" s="78" t="s">
        <v>971</v>
      </c>
      <c r="C91" s="79">
        <v>45846.447755046298</v>
      </c>
      <c r="D91" s="79">
        <v>45846.444835451388</v>
      </c>
      <c r="E91" s="79">
        <v>45846.444822557867</v>
      </c>
      <c r="F91" s="78" t="s">
        <v>972</v>
      </c>
      <c r="G91" s="78" t="s">
        <v>775</v>
      </c>
      <c r="H91" s="87">
        <v>45800</v>
      </c>
      <c r="I91" s="85">
        <v>0.33333333333333326</v>
      </c>
      <c r="J91" s="88">
        <v>45800</v>
      </c>
      <c r="K91" s="89">
        <v>0.66666666666666663</v>
      </c>
      <c r="L91" s="87">
        <v>45805</v>
      </c>
      <c r="M91" s="85">
        <v>0.70393518518518516</v>
      </c>
      <c r="N91" s="78" t="s">
        <v>242</v>
      </c>
      <c r="O91" s="78"/>
      <c r="P91" s="78"/>
      <c r="Q91" s="78" t="s">
        <v>776</v>
      </c>
      <c r="R91" s="78"/>
      <c r="S91" s="80"/>
      <c r="T91" s="78" t="s">
        <v>777</v>
      </c>
      <c r="U91" s="80"/>
      <c r="V91" s="80"/>
      <c r="W91" s="78"/>
      <c r="X91" s="78"/>
      <c r="Y91" s="78"/>
      <c r="Z91" s="78"/>
      <c r="AA91" s="78"/>
      <c r="AB91" s="78"/>
      <c r="AC91" s="78"/>
      <c r="AD91" s="78"/>
      <c r="AE91" s="78" t="s">
        <v>946</v>
      </c>
      <c r="AF91" s="78" t="s">
        <v>931</v>
      </c>
      <c r="AG91" s="78" t="s">
        <v>646</v>
      </c>
      <c r="AH91" s="78" t="s">
        <v>328</v>
      </c>
      <c r="AI91" s="78" t="s">
        <v>310</v>
      </c>
      <c r="AJ91" s="78" t="s">
        <v>166</v>
      </c>
      <c r="AK91" s="78" t="s">
        <v>246</v>
      </c>
      <c r="AL91" s="80">
        <v>9</v>
      </c>
      <c r="AM91" s="81">
        <v>45800</v>
      </c>
      <c r="AN91" s="82">
        <v>0.33333333333333331</v>
      </c>
      <c r="AO91" s="82">
        <v>0.33333333333333331</v>
      </c>
      <c r="AP91" s="80" t="s">
        <v>276</v>
      </c>
      <c r="AQ91" s="78" t="s">
        <v>648</v>
      </c>
      <c r="AR91" s="80" t="s">
        <v>242</v>
      </c>
      <c r="AS91" s="93" t="s">
        <v>169</v>
      </c>
      <c r="AT91" s="78" t="s">
        <v>276</v>
      </c>
      <c r="AU91" s="92" t="s">
        <v>170</v>
      </c>
      <c r="AV91" s="92" t="s">
        <v>705</v>
      </c>
      <c r="AW91" s="93">
        <v>2025</v>
      </c>
      <c r="AX91" s="93">
        <v>21</v>
      </c>
      <c r="AY91" s="93">
        <v>23</v>
      </c>
      <c r="AZ91" s="78" t="s">
        <v>648</v>
      </c>
    </row>
    <row r="92" spans="1:52" x14ac:dyDescent="0.25">
      <c r="A92" s="78" t="s">
        <v>1109</v>
      </c>
      <c r="B92" s="78" t="s">
        <v>971</v>
      </c>
      <c r="C92" s="79">
        <v>45846.447755046298</v>
      </c>
      <c r="D92" s="79">
        <v>45846.444835451388</v>
      </c>
      <c r="E92" s="79">
        <v>45846.444822557867</v>
      </c>
      <c r="F92" s="78" t="s">
        <v>972</v>
      </c>
      <c r="G92" s="78" t="s">
        <v>798</v>
      </c>
      <c r="H92" s="87">
        <v>45806</v>
      </c>
      <c r="I92" s="85">
        <v>0.15972222222222232</v>
      </c>
      <c r="J92" s="88"/>
      <c r="K92" s="89"/>
      <c r="L92" s="87">
        <v>45806</v>
      </c>
      <c r="M92" s="85">
        <v>0.16469907407407408</v>
      </c>
      <c r="N92" s="78" t="s">
        <v>206</v>
      </c>
      <c r="O92" s="78"/>
      <c r="P92" s="78"/>
      <c r="Q92" s="78" t="s">
        <v>799</v>
      </c>
      <c r="R92" s="78" t="s">
        <v>138</v>
      </c>
      <c r="S92" s="80">
        <v>8</v>
      </c>
      <c r="T92" s="78" t="s">
        <v>800</v>
      </c>
      <c r="U92" s="80"/>
      <c r="V92" s="80"/>
      <c r="W92" s="78"/>
      <c r="X92" s="78"/>
      <c r="Y92" s="78"/>
      <c r="Z92" s="78"/>
      <c r="AA92" s="78"/>
      <c r="AB92" s="78"/>
      <c r="AC92" s="78"/>
      <c r="AD92" s="78"/>
      <c r="AE92" s="78" t="s">
        <v>964</v>
      </c>
      <c r="AF92" s="78" t="s">
        <v>931</v>
      </c>
      <c r="AG92" s="78" t="s">
        <v>801</v>
      </c>
      <c r="AH92" s="78" t="s">
        <v>164</v>
      </c>
      <c r="AI92" s="78" t="s">
        <v>350</v>
      </c>
      <c r="AJ92" s="78" t="s">
        <v>301</v>
      </c>
      <c r="AK92" s="78" t="s">
        <v>213</v>
      </c>
      <c r="AL92" s="80">
        <v>9</v>
      </c>
      <c r="AM92" s="81">
        <v>45806</v>
      </c>
      <c r="AN92" s="82">
        <v>0.15972222222222221</v>
      </c>
      <c r="AO92" s="82">
        <v>0.125</v>
      </c>
      <c r="AP92" s="80" t="s">
        <v>343</v>
      </c>
      <c r="AQ92" s="78" t="s">
        <v>802</v>
      </c>
      <c r="AR92" s="80" t="s">
        <v>206</v>
      </c>
      <c r="AS92" s="93" t="s">
        <v>169</v>
      </c>
      <c r="AT92" s="78" t="s">
        <v>343</v>
      </c>
      <c r="AU92" s="92" t="s">
        <v>247</v>
      </c>
      <c r="AV92" s="92" t="s">
        <v>705</v>
      </c>
      <c r="AW92" s="93">
        <v>2025</v>
      </c>
      <c r="AX92" s="93">
        <v>22</v>
      </c>
      <c r="AY92" s="93">
        <v>29</v>
      </c>
      <c r="AZ92" s="78" t="s">
        <v>802</v>
      </c>
    </row>
    <row r="93" spans="1:52" x14ac:dyDescent="0.25">
      <c r="A93" s="78" t="s">
        <v>1109</v>
      </c>
      <c r="B93" s="78" t="s">
        <v>971</v>
      </c>
      <c r="C93" s="79">
        <v>45846.447755046298</v>
      </c>
      <c r="D93" s="79">
        <v>45846.444835451388</v>
      </c>
      <c r="E93" s="79">
        <v>45846.444822557867</v>
      </c>
      <c r="F93" s="78" t="s">
        <v>972</v>
      </c>
      <c r="G93" s="78" t="s">
        <v>810</v>
      </c>
      <c r="H93" s="87">
        <v>45810</v>
      </c>
      <c r="I93" s="85">
        <v>0.56944444444444442</v>
      </c>
      <c r="J93" s="88">
        <v>45811</v>
      </c>
      <c r="K93" s="89">
        <v>0.25</v>
      </c>
      <c r="L93" s="87">
        <v>45811</v>
      </c>
      <c r="M93" s="85">
        <v>0.25730324074074074</v>
      </c>
      <c r="N93" s="78" t="s">
        <v>154</v>
      </c>
      <c r="O93" s="78"/>
      <c r="P93" s="78"/>
      <c r="Q93" s="78" t="s">
        <v>811</v>
      </c>
      <c r="R93" s="78" t="s">
        <v>812</v>
      </c>
      <c r="S93" s="80">
        <v>9</v>
      </c>
      <c r="T93" s="78" t="s">
        <v>813</v>
      </c>
      <c r="U93" s="80"/>
      <c r="V93" s="80"/>
      <c r="W93" s="78" t="s">
        <v>814</v>
      </c>
      <c r="X93" s="78" t="s">
        <v>981</v>
      </c>
      <c r="Y93" s="78" t="s">
        <v>815</v>
      </c>
      <c r="Z93" s="78" t="s">
        <v>161</v>
      </c>
      <c r="AA93" s="78"/>
      <c r="AB93" s="78"/>
      <c r="AC93" s="78"/>
      <c r="AD93" s="78"/>
      <c r="AE93" s="78" t="s">
        <v>989</v>
      </c>
      <c r="AF93" s="78" t="s">
        <v>931</v>
      </c>
      <c r="AG93" s="78" t="s">
        <v>141</v>
      </c>
      <c r="AH93" s="78" t="s">
        <v>142</v>
      </c>
      <c r="AI93" s="78" t="s">
        <v>488</v>
      </c>
      <c r="AJ93" s="78" t="s">
        <v>166</v>
      </c>
      <c r="AK93" s="78" t="s">
        <v>167</v>
      </c>
      <c r="AL93" s="80">
        <v>9</v>
      </c>
      <c r="AM93" s="81">
        <v>45810</v>
      </c>
      <c r="AN93" s="82">
        <v>0.56944444444444442</v>
      </c>
      <c r="AO93" s="82">
        <v>0.54166666666666663</v>
      </c>
      <c r="AP93" s="80" t="s">
        <v>146</v>
      </c>
      <c r="AQ93" s="78" t="s">
        <v>816</v>
      </c>
      <c r="AR93" s="80" t="s">
        <v>154</v>
      </c>
      <c r="AS93" s="93" t="s">
        <v>169</v>
      </c>
      <c r="AT93" s="78" t="s">
        <v>146</v>
      </c>
      <c r="AU93" s="92" t="s">
        <v>183</v>
      </c>
      <c r="AV93" s="92" t="s">
        <v>149</v>
      </c>
      <c r="AW93" s="93">
        <v>2025</v>
      </c>
      <c r="AX93" s="93">
        <v>23</v>
      </c>
      <c r="AY93" s="93">
        <v>2</v>
      </c>
      <c r="AZ93" s="78" t="s">
        <v>816</v>
      </c>
    </row>
    <row r="94" spans="1:52" x14ac:dyDescent="0.25">
      <c r="A94" s="78" t="s">
        <v>1109</v>
      </c>
      <c r="B94" s="78" t="s">
        <v>971</v>
      </c>
      <c r="C94" s="79">
        <v>45846.447755046298</v>
      </c>
      <c r="D94" s="79">
        <v>45846.444835451388</v>
      </c>
      <c r="E94" s="79">
        <v>45846.444822557867</v>
      </c>
      <c r="F94" s="78" t="s">
        <v>972</v>
      </c>
      <c r="G94" s="78" t="s">
        <v>817</v>
      </c>
      <c r="H94" s="87">
        <v>45811</v>
      </c>
      <c r="I94" s="85">
        <v>0.81298611111111119</v>
      </c>
      <c r="J94" s="88"/>
      <c r="K94" s="89"/>
      <c r="L94" s="87">
        <v>45811</v>
      </c>
      <c r="M94" s="85">
        <v>0.81298611111111108</v>
      </c>
      <c r="N94" s="78" t="s">
        <v>154</v>
      </c>
      <c r="O94" s="78"/>
      <c r="P94" s="78"/>
      <c r="Q94" s="78" t="s">
        <v>818</v>
      </c>
      <c r="R94" s="78" t="s">
        <v>414</v>
      </c>
      <c r="S94" s="80">
        <v>7</v>
      </c>
      <c r="T94" s="78" t="s">
        <v>819</v>
      </c>
      <c r="U94" s="80"/>
      <c r="V94" s="80"/>
      <c r="W94" s="78" t="s">
        <v>820</v>
      </c>
      <c r="X94" s="78" t="s">
        <v>821</v>
      </c>
      <c r="Y94" s="78" t="s">
        <v>822</v>
      </c>
      <c r="Z94" s="78" t="s">
        <v>161</v>
      </c>
      <c r="AA94" s="78"/>
      <c r="AB94" s="78"/>
      <c r="AC94" s="78"/>
      <c r="AD94" s="78"/>
      <c r="AE94" s="78" t="s">
        <v>993</v>
      </c>
      <c r="AF94" s="78" t="s">
        <v>931</v>
      </c>
      <c r="AG94" s="78" t="s">
        <v>554</v>
      </c>
      <c r="AH94" s="78" t="s">
        <v>256</v>
      </c>
      <c r="AI94" s="78" t="s">
        <v>257</v>
      </c>
      <c r="AJ94" s="78" t="s">
        <v>166</v>
      </c>
      <c r="AK94" s="78" t="s">
        <v>167</v>
      </c>
      <c r="AL94" s="80">
        <v>9</v>
      </c>
      <c r="AM94" s="81">
        <v>45811</v>
      </c>
      <c r="AN94" s="82">
        <v>0.81298611111111108</v>
      </c>
      <c r="AO94" s="82">
        <v>0.79166666666666663</v>
      </c>
      <c r="AP94" s="80" t="s">
        <v>266</v>
      </c>
      <c r="AQ94" s="78" t="s">
        <v>666</v>
      </c>
      <c r="AR94" s="80" t="s">
        <v>154</v>
      </c>
      <c r="AS94" s="93" t="s">
        <v>169</v>
      </c>
      <c r="AT94" s="78" t="s">
        <v>266</v>
      </c>
      <c r="AU94" s="92" t="s">
        <v>148</v>
      </c>
      <c r="AV94" s="92" t="s">
        <v>149</v>
      </c>
      <c r="AW94" s="93">
        <v>2025</v>
      </c>
      <c r="AX94" s="93">
        <v>23</v>
      </c>
      <c r="AY94" s="93">
        <v>3</v>
      </c>
      <c r="AZ94" s="78" t="s">
        <v>666</v>
      </c>
    </row>
    <row r="95" spans="1:52" x14ac:dyDescent="0.25">
      <c r="A95" s="78" t="s">
        <v>1109</v>
      </c>
      <c r="B95" s="78" t="s">
        <v>971</v>
      </c>
      <c r="C95" s="79">
        <v>45846.447755046298</v>
      </c>
      <c r="D95" s="79">
        <v>45846.444835451388</v>
      </c>
      <c r="E95" s="79">
        <v>45846.444822557867</v>
      </c>
      <c r="F95" s="78" t="s">
        <v>972</v>
      </c>
      <c r="G95" s="78" t="s">
        <v>803</v>
      </c>
      <c r="H95" s="87">
        <v>45809</v>
      </c>
      <c r="I95" s="85">
        <v>0.5</v>
      </c>
      <c r="J95" s="88"/>
      <c r="K95" s="89"/>
      <c r="L95" s="87">
        <v>45812</v>
      </c>
      <c r="M95" s="85">
        <v>0.3739351851851852</v>
      </c>
      <c r="N95" s="78" t="s">
        <v>136</v>
      </c>
      <c r="O95" s="78" t="s">
        <v>804</v>
      </c>
      <c r="P95" s="78" t="s">
        <v>166</v>
      </c>
      <c r="Q95" s="78" t="s">
        <v>805</v>
      </c>
      <c r="R95" s="78" t="s">
        <v>191</v>
      </c>
      <c r="S95" s="80">
        <v>7</v>
      </c>
      <c r="T95" s="78" t="s">
        <v>806</v>
      </c>
      <c r="U95" s="80"/>
      <c r="V95" s="80"/>
      <c r="W95" s="78"/>
      <c r="X95" s="78"/>
      <c r="Y95" s="78"/>
      <c r="Z95" s="78"/>
      <c r="AA95" s="78"/>
      <c r="AB95" s="78"/>
      <c r="AC95" s="78"/>
      <c r="AD95" s="78"/>
      <c r="AE95" s="78" t="s">
        <v>932</v>
      </c>
      <c r="AF95" s="78" t="s">
        <v>931</v>
      </c>
      <c r="AG95" s="78" t="s">
        <v>228</v>
      </c>
      <c r="AH95" s="78" t="s">
        <v>282</v>
      </c>
      <c r="AI95" s="78" t="s">
        <v>228</v>
      </c>
      <c r="AJ95" s="78" t="s">
        <v>166</v>
      </c>
      <c r="AK95" s="78" t="s">
        <v>807</v>
      </c>
      <c r="AL95" s="80">
        <v>9</v>
      </c>
      <c r="AM95" s="81">
        <v>45809</v>
      </c>
      <c r="AN95" s="82">
        <v>0.5</v>
      </c>
      <c r="AO95" s="82">
        <v>0.5</v>
      </c>
      <c r="AP95" s="80" t="s">
        <v>146</v>
      </c>
      <c r="AQ95" s="78" t="s">
        <v>627</v>
      </c>
      <c r="AR95" s="80" t="s">
        <v>808</v>
      </c>
      <c r="AS95" s="93" t="s">
        <v>169</v>
      </c>
      <c r="AT95" s="78" t="s">
        <v>146</v>
      </c>
      <c r="AU95" s="92" t="s">
        <v>311</v>
      </c>
      <c r="AV95" s="92" t="s">
        <v>149</v>
      </c>
      <c r="AW95" s="93">
        <v>2025</v>
      </c>
      <c r="AX95" s="93">
        <v>23</v>
      </c>
      <c r="AY95" s="93">
        <v>1</v>
      </c>
      <c r="AZ95" s="78" t="s">
        <v>627</v>
      </c>
    </row>
    <row r="96" spans="1:52" x14ac:dyDescent="0.25">
      <c r="A96" s="78" t="s">
        <v>1109</v>
      </c>
      <c r="B96" s="78" t="s">
        <v>971</v>
      </c>
      <c r="C96" s="79">
        <v>45846.447755046298</v>
      </c>
      <c r="D96" s="79">
        <v>45846.444835451388</v>
      </c>
      <c r="E96" s="79">
        <v>45846.444822557867</v>
      </c>
      <c r="F96" s="78" t="s">
        <v>972</v>
      </c>
      <c r="G96" s="78" t="s">
        <v>823</v>
      </c>
      <c r="H96" s="87">
        <v>45813</v>
      </c>
      <c r="I96" s="85">
        <v>0.28472222222222232</v>
      </c>
      <c r="J96" s="88"/>
      <c r="K96" s="89"/>
      <c r="L96" s="87">
        <v>45813</v>
      </c>
      <c r="M96" s="85">
        <v>0.28687499999999999</v>
      </c>
      <c r="N96" s="78" t="s">
        <v>174</v>
      </c>
      <c r="O96" s="78" t="s">
        <v>556</v>
      </c>
      <c r="P96" s="78"/>
      <c r="Q96" s="78" t="s">
        <v>824</v>
      </c>
      <c r="R96" s="78" t="s">
        <v>338</v>
      </c>
      <c r="S96" s="80">
        <v>6</v>
      </c>
      <c r="T96" s="78" t="s">
        <v>825</v>
      </c>
      <c r="U96" s="80"/>
      <c r="V96" s="80"/>
      <c r="W96" s="78" t="s">
        <v>826</v>
      </c>
      <c r="X96" s="78" t="s">
        <v>1011</v>
      </c>
      <c r="Y96" s="78" t="s">
        <v>828</v>
      </c>
      <c r="Z96" s="78" t="s">
        <v>161</v>
      </c>
      <c r="AA96" s="78"/>
      <c r="AB96" s="78"/>
      <c r="AC96" s="78"/>
      <c r="AD96" s="78"/>
      <c r="AE96" s="78" t="s">
        <v>930</v>
      </c>
      <c r="AF96" s="78" t="s">
        <v>931</v>
      </c>
      <c r="AG96" s="78" t="s">
        <v>393</v>
      </c>
      <c r="AH96" s="78" t="s">
        <v>384</v>
      </c>
      <c r="AI96" s="78" t="s">
        <v>228</v>
      </c>
      <c r="AJ96" s="78" t="s">
        <v>166</v>
      </c>
      <c r="AK96" s="78" t="s">
        <v>182</v>
      </c>
      <c r="AL96" s="80">
        <v>9</v>
      </c>
      <c r="AM96" s="81">
        <v>45813</v>
      </c>
      <c r="AN96" s="82">
        <v>0.28472222222222221</v>
      </c>
      <c r="AO96" s="82">
        <v>0.25</v>
      </c>
      <c r="AP96" s="80" t="s">
        <v>385</v>
      </c>
      <c r="AQ96" s="78" t="s">
        <v>830</v>
      </c>
      <c r="AR96" s="80" t="s">
        <v>829</v>
      </c>
      <c r="AS96" s="93" t="s">
        <v>169</v>
      </c>
      <c r="AT96" s="78" t="s">
        <v>385</v>
      </c>
      <c r="AU96" s="92" t="s">
        <v>247</v>
      </c>
      <c r="AV96" s="92" t="s">
        <v>149</v>
      </c>
      <c r="AW96" s="93">
        <v>2025</v>
      </c>
      <c r="AX96" s="93">
        <v>23</v>
      </c>
      <c r="AY96" s="93">
        <v>5</v>
      </c>
      <c r="AZ96" s="78" t="s">
        <v>830</v>
      </c>
    </row>
    <row r="97" spans="1:52" x14ac:dyDescent="0.25">
      <c r="A97" s="78" t="s">
        <v>1109</v>
      </c>
      <c r="B97" s="78" t="s">
        <v>971</v>
      </c>
      <c r="C97" s="79">
        <v>45846.447755046298</v>
      </c>
      <c r="D97" s="79">
        <v>45846.444835451388</v>
      </c>
      <c r="E97" s="79">
        <v>45846.444822557867</v>
      </c>
      <c r="F97" s="78" t="s">
        <v>972</v>
      </c>
      <c r="G97" s="78" t="s">
        <v>831</v>
      </c>
      <c r="H97" s="87">
        <v>45813</v>
      </c>
      <c r="I97" s="85">
        <v>0.28194444444444455</v>
      </c>
      <c r="J97" s="88"/>
      <c r="K97" s="89"/>
      <c r="L97" s="87">
        <v>45813</v>
      </c>
      <c r="M97" s="85">
        <v>0.28289351851851852</v>
      </c>
      <c r="N97" s="78" t="s">
        <v>174</v>
      </c>
      <c r="O97" s="78" t="s">
        <v>556</v>
      </c>
      <c r="P97" s="78"/>
      <c r="Q97" s="78" t="s">
        <v>832</v>
      </c>
      <c r="R97" s="78" t="s">
        <v>553</v>
      </c>
      <c r="S97" s="80">
        <v>7</v>
      </c>
      <c r="T97" s="78" t="s">
        <v>833</v>
      </c>
      <c r="U97" s="80"/>
      <c r="V97" s="80"/>
      <c r="W97" s="78" t="s">
        <v>834</v>
      </c>
      <c r="X97" s="78" t="s">
        <v>1011</v>
      </c>
      <c r="Y97" s="78" t="s">
        <v>828</v>
      </c>
      <c r="Z97" s="78" t="s">
        <v>835</v>
      </c>
      <c r="AA97" s="78"/>
      <c r="AB97" s="78"/>
      <c r="AC97" s="78"/>
      <c r="AD97" s="78"/>
      <c r="AE97" s="78" t="s">
        <v>930</v>
      </c>
      <c r="AF97" s="78" t="s">
        <v>931</v>
      </c>
      <c r="AG97" s="78" t="s">
        <v>265</v>
      </c>
      <c r="AH97" s="78" t="s">
        <v>164</v>
      </c>
      <c r="AI97" s="78" t="s">
        <v>228</v>
      </c>
      <c r="AJ97" s="78" t="s">
        <v>166</v>
      </c>
      <c r="AK97" s="78" t="s">
        <v>167</v>
      </c>
      <c r="AL97" s="80">
        <v>9</v>
      </c>
      <c r="AM97" s="81">
        <v>45813</v>
      </c>
      <c r="AN97" s="82">
        <v>0.28194444444444444</v>
      </c>
      <c r="AO97" s="82">
        <v>0.25</v>
      </c>
      <c r="AP97" s="80" t="s">
        <v>385</v>
      </c>
      <c r="AQ97" s="78" t="s">
        <v>836</v>
      </c>
      <c r="AR97" s="80" t="s">
        <v>829</v>
      </c>
      <c r="AS97" s="93" t="s">
        <v>169</v>
      </c>
      <c r="AT97" s="78" t="s">
        <v>385</v>
      </c>
      <c r="AU97" s="92" t="s">
        <v>247</v>
      </c>
      <c r="AV97" s="92" t="s">
        <v>149</v>
      </c>
      <c r="AW97" s="93">
        <v>2025</v>
      </c>
      <c r="AX97" s="93">
        <v>23</v>
      </c>
      <c r="AY97" s="93">
        <v>5</v>
      </c>
      <c r="AZ97" s="78" t="s">
        <v>836</v>
      </c>
    </row>
    <row r="98" spans="1:52" x14ac:dyDescent="0.25">
      <c r="A98" s="78" t="s">
        <v>1109</v>
      </c>
      <c r="B98" s="78" t="s">
        <v>971</v>
      </c>
      <c r="C98" s="79">
        <v>45846.447755046298</v>
      </c>
      <c r="D98" s="79">
        <v>45846.444835451388</v>
      </c>
      <c r="E98" s="79">
        <v>45846.444822557867</v>
      </c>
      <c r="F98" s="78" t="s">
        <v>972</v>
      </c>
      <c r="G98" s="78" t="s">
        <v>837</v>
      </c>
      <c r="H98" s="87">
        <v>45815</v>
      </c>
      <c r="I98" s="85">
        <v>0.35416666666666674</v>
      </c>
      <c r="J98" s="88">
        <v>45815</v>
      </c>
      <c r="K98" s="89">
        <v>0.71458333333333335</v>
      </c>
      <c r="L98" s="87">
        <v>45815</v>
      </c>
      <c r="M98" s="85">
        <v>0.71855324074074078</v>
      </c>
      <c r="N98" s="78" t="s">
        <v>174</v>
      </c>
      <c r="O98" s="78" t="s">
        <v>556</v>
      </c>
      <c r="P98" s="78"/>
      <c r="Q98" s="78" t="s">
        <v>491</v>
      </c>
      <c r="R98" s="78" t="s">
        <v>221</v>
      </c>
      <c r="S98" s="80">
        <v>9</v>
      </c>
      <c r="T98" s="78" t="s">
        <v>838</v>
      </c>
      <c r="U98" s="80"/>
      <c r="V98" s="80"/>
      <c r="W98" s="78" t="s">
        <v>839</v>
      </c>
      <c r="X98" s="78" t="s">
        <v>961</v>
      </c>
      <c r="Y98" s="78" t="s">
        <v>840</v>
      </c>
      <c r="Z98" s="78" t="s">
        <v>161</v>
      </c>
      <c r="AA98" s="78"/>
      <c r="AB98" s="78"/>
      <c r="AC98" s="78"/>
      <c r="AD98" s="78"/>
      <c r="AE98" s="78" t="s">
        <v>946</v>
      </c>
      <c r="AF98" s="78" t="s">
        <v>931</v>
      </c>
      <c r="AG98" s="78" t="s">
        <v>841</v>
      </c>
      <c r="AH98" s="78" t="s">
        <v>384</v>
      </c>
      <c r="AI98" s="78" t="s">
        <v>310</v>
      </c>
      <c r="AJ98" s="78" t="s">
        <v>166</v>
      </c>
      <c r="AK98" s="78" t="s">
        <v>182</v>
      </c>
      <c r="AL98" s="80">
        <v>9</v>
      </c>
      <c r="AM98" s="81">
        <v>45815</v>
      </c>
      <c r="AN98" s="82">
        <v>0.35416666666666669</v>
      </c>
      <c r="AO98" s="82">
        <v>0.33333333333333331</v>
      </c>
      <c r="AP98" s="80" t="s">
        <v>276</v>
      </c>
      <c r="AQ98" s="78" t="s">
        <v>230</v>
      </c>
      <c r="AR98" s="80" t="s">
        <v>829</v>
      </c>
      <c r="AS98" s="93" t="s">
        <v>169</v>
      </c>
      <c r="AT98" s="78" t="s">
        <v>276</v>
      </c>
      <c r="AU98" s="92" t="s">
        <v>292</v>
      </c>
      <c r="AV98" s="92" t="s">
        <v>149</v>
      </c>
      <c r="AW98" s="93">
        <v>2025</v>
      </c>
      <c r="AX98" s="93">
        <v>23</v>
      </c>
      <c r="AY98" s="93">
        <v>7</v>
      </c>
      <c r="AZ98" s="78" t="s">
        <v>230</v>
      </c>
    </row>
    <row r="99" spans="1:52" x14ac:dyDescent="0.25">
      <c r="A99" s="78" t="s">
        <v>1109</v>
      </c>
      <c r="B99" s="78" t="s">
        <v>971</v>
      </c>
      <c r="C99" s="79">
        <v>45846.447755046298</v>
      </c>
      <c r="D99" s="79">
        <v>45846.444835451388</v>
      </c>
      <c r="E99" s="79">
        <v>45846.444822557867</v>
      </c>
      <c r="F99" s="78" t="s">
        <v>972</v>
      </c>
      <c r="G99" s="78" t="s">
        <v>842</v>
      </c>
      <c r="H99" s="87">
        <v>45816</v>
      </c>
      <c r="I99" s="85">
        <v>6.25E-2</v>
      </c>
      <c r="J99" s="88"/>
      <c r="K99" s="89"/>
      <c r="L99" s="87">
        <v>45816</v>
      </c>
      <c r="M99" s="85">
        <v>0.42436342592592591</v>
      </c>
      <c r="N99" s="78" t="s">
        <v>174</v>
      </c>
      <c r="O99" s="78"/>
      <c r="P99" s="78"/>
      <c r="Q99" s="78" t="s">
        <v>470</v>
      </c>
      <c r="R99" s="78" t="s">
        <v>191</v>
      </c>
      <c r="S99" s="80">
        <v>7</v>
      </c>
      <c r="T99" s="78" t="s">
        <v>843</v>
      </c>
      <c r="U99" s="80"/>
      <c r="V99" s="80"/>
      <c r="W99" s="78" t="s">
        <v>1012</v>
      </c>
      <c r="X99" s="78"/>
      <c r="Y99" s="78" t="s">
        <v>773</v>
      </c>
      <c r="Z99" s="78" t="s">
        <v>161</v>
      </c>
      <c r="AA99" s="78"/>
      <c r="AB99" s="78"/>
      <c r="AC99" s="78"/>
      <c r="AD99" s="78"/>
      <c r="AE99" s="78" t="s">
        <v>930</v>
      </c>
      <c r="AF99" s="78" t="s">
        <v>931</v>
      </c>
      <c r="AG99" s="78" t="s">
        <v>265</v>
      </c>
      <c r="AH99" s="78" t="s">
        <v>164</v>
      </c>
      <c r="AI99" s="78" t="s">
        <v>228</v>
      </c>
      <c r="AJ99" s="78" t="s">
        <v>181</v>
      </c>
      <c r="AK99" s="78" t="s">
        <v>182</v>
      </c>
      <c r="AL99" s="80">
        <v>9</v>
      </c>
      <c r="AM99" s="81">
        <v>45816</v>
      </c>
      <c r="AN99" s="82">
        <v>6.25E-2</v>
      </c>
      <c r="AO99" s="82">
        <v>4.1666666666666664E-2</v>
      </c>
      <c r="AP99" s="80" t="s">
        <v>343</v>
      </c>
      <c r="AQ99" s="78" t="s">
        <v>476</v>
      </c>
      <c r="AR99" s="80" t="s">
        <v>174</v>
      </c>
      <c r="AS99" s="93" t="s">
        <v>169</v>
      </c>
      <c r="AT99" s="78" t="s">
        <v>343</v>
      </c>
      <c r="AU99" s="92" t="s">
        <v>311</v>
      </c>
      <c r="AV99" s="92" t="s">
        <v>149</v>
      </c>
      <c r="AW99" s="93">
        <v>2025</v>
      </c>
      <c r="AX99" s="93">
        <v>24</v>
      </c>
      <c r="AY99" s="93">
        <v>8</v>
      </c>
      <c r="AZ99" s="78" t="s">
        <v>476</v>
      </c>
    </row>
    <row r="100" spans="1:52" x14ac:dyDescent="0.25">
      <c r="A100" s="78" t="s">
        <v>1109</v>
      </c>
      <c r="B100" s="78" t="s">
        <v>971</v>
      </c>
      <c r="C100" s="79">
        <v>45846.447755046298</v>
      </c>
      <c r="D100" s="79">
        <v>45846.444835451388</v>
      </c>
      <c r="E100" s="79">
        <v>45846.444822557867</v>
      </c>
      <c r="F100" s="78" t="s">
        <v>972</v>
      </c>
      <c r="G100" s="78" t="s">
        <v>845</v>
      </c>
      <c r="H100" s="87">
        <v>45816</v>
      </c>
      <c r="I100" s="85">
        <v>0.98263888888888884</v>
      </c>
      <c r="J100" s="88"/>
      <c r="K100" s="89"/>
      <c r="L100" s="87">
        <v>45816</v>
      </c>
      <c r="M100" s="85">
        <v>0.98579861111111111</v>
      </c>
      <c r="N100" s="78" t="s">
        <v>206</v>
      </c>
      <c r="O100" s="78"/>
      <c r="P100" s="78"/>
      <c r="Q100" s="78" t="s">
        <v>846</v>
      </c>
      <c r="R100" s="78" t="s">
        <v>644</v>
      </c>
      <c r="S100" s="80">
        <v>7</v>
      </c>
      <c r="T100" s="78" t="s">
        <v>847</v>
      </c>
      <c r="U100" s="80"/>
      <c r="V100" s="80"/>
      <c r="W100" s="78"/>
      <c r="X100" s="78"/>
      <c r="Y100" s="78"/>
      <c r="Z100" s="78"/>
      <c r="AA100" s="78"/>
      <c r="AB100" s="78"/>
      <c r="AC100" s="78"/>
      <c r="AD100" s="78"/>
      <c r="AE100" s="78" t="s">
        <v>946</v>
      </c>
      <c r="AF100" s="78" t="s">
        <v>931</v>
      </c>
      <c r="AG100" s="78" t="s">
        <v>848</v>
      </c>
      <c r="AH100" s="78" t="s">
        <v>211</v>
      </c>
      <c r="AI100" s="78" t="s">
        <v>257</v>
      </c>
      <c r="AJ100" s="78" t="s">
        <v>181</v>
      </c>
      <c r="AK100" s="78" t="s">
        <v>213</v>
      </c>
      <c r="AL100" s="80">
        <v>9</v>
      </c>
      <c r="AM100" s="81">
        <v>45816</v>
      </c>
      <c r="AN100" s="82">
        <v>0.98263888888888884</v>
      </c>
      <c r="AO100" s="82">
        <v>0.95833333333333337</v>
      </c>
      <c r="AP100" s="80" t="s">
        <v>168</v>
      </c>
      <c r="AQ100" s="78" t="s">
        <v>648</v>
      </c>
      <c r="AR100" s="80" t="s">
        <v>206</v>
      </c>
      <c r="AS100" s="93" t="s">
        <v>169</v>
      </c>
      <c r="AT100" s="78" t="s">
        <v>168</v>
      </c>
      <c r="AU100" s="92" t="s">
        <v>311</v>
      </c>
      <c r="AV100" s="92" t="s">
        <v>149</v>
      </c>
      <c r="AW100" s="93">
        <v>2025</v>
      </c>
      <c r="AX100" s="93">
        <v>24</v>
      </c>
      <c r="AY100" s="93">
        <v>8</v>
      </c>
      <c r="AZ100" s="78" t="s">
        <v>648</v>
      </c>
    </row>
    <row r="101" spans="1:52" x14ac:dyDescent="0.25">
      <c r="A101" s="78" t="s">
        <v>1109</v>
      </c>
      <c r="B101" s="78" t="s">
        <v>971</v>
      </c>
      <c r="C101" s="79">
        <v>45846.447755046298</v>
      </c>
      <c r="D101" s="79">
        <v>45846.444835451388</v>
      </c>
      <c r="E101" s="79">
        <v>45846.444822557867</v>
      </c>
      <c r="F101" s="78" t="s">
        <v>972</v>
      </c>
      <c r="G101" s="78" t="s">
        <v>849</v>
      </c>
      <c r="H101" s="87">
        <v>45819</v>
      </c>
      <c r="I101" s="85">
        <v>0.18819444444444455</v>
      </c>
      <c r="J101" s="88">
        <v>45819</v>
      </c>
      <c r="K101" s="89">
        <v>0.18888888888888888</v>
      </c>
      <c r="L101" s="87">
        <v>45819</v>
      </c>
      <c r="M101" s="85">
        <v>0.19038194444444445</v>
      </c>
      <c r="N101" s="78" t="s">
        <v>154</v>
      </c>
      <c r="O101" s="78"/>
      <c r="P101" s="78"/>
      <c r="Q101" s="78" t="s">
        <v>850</v>
      </c>
      <c r="R101" s="78"/>
      <c r="S101" s="80"/>
      <c r="T101" s="78" t="s">
        <v>851</v>
      </c>
      <c r="U101" s="80"/>
      <c r="V101" s="80"/>
      <c r="W101" s="78" t="s">
        <v>1013</v>
      </c>
      <c r="X101" s="78" t="s">
        <v>995</v>
      </c>
      <c r="Y101" s="78" t="s">
        <v>853</v>
      </c>
      <c r="Z101" s="78" t="s">
        <v>161</v>
      </c>
      <c r="AA101" s="78"/>
      <c r="AB101" s="78"/>
      <c r="AC101" s="78"/>
      <c r="AD101" s="78"/>
      <c r="AE101" s="78" t="s">
        <v>943</v>
      </c>
      <c r="AF101" s="78" t="s">
        <v>931</v>
      </c>
      <c r="AG101" s="78" t="s">
        <v>255</v>
      </c>
      <c r="AH101" s="78" t="s">
        <v>256</v>
      </c>
      <c r="AI101" s="78" t="s">
        <v>310</v>
      </c>
      <c r="AJ101" s="78" t="s">
        <v>181</v>
      </c>
      <c r="AK101" s="78" t="s">
        <v>167</v>
      </c>
      <c r="AL101" s="80">
        <v>9</v>
      </c>
      <c r="AM101" s="81">
        <v>45819</v>
      </c>
      <c r="AN101" s="82">
        <v>0.18819444444444444</v>
      </c>
      <c r="AO101" s="82">
        <v>0.16666666666666666</v>
      </c>
      <c r="AP101" s="80" t="s">
        <v>385</v>
      </c>
      <c r="AQ101" s="78" t="s">
        <v>854</v>
      </c>
      <c r="AR101" s="80" t="s">
        <v>154</v>
      </c>
      <c r="AS101" s="93" t="s">
        <v>948</v>
      </c>
      <c r="AT101" s="78" t="s">
        <v>385</v>
      </c>
      <c r="AU101" s="92" t="s">
        <v>239</v>
      </c>
      <c r="AV101" s="92" t="s">
        <v>149</v>
      </c>
      <c r="AW101" s="93">
        <v>2025</v>
      </c>
      <c r="AX101" s="93">
        <v>24</v>
      </c>
      <c r="AY101" s="93">
        <v>11</v>
      </c>
      <c r="AZ101" s="78" t="s">
        <v>854</v>
      </c>
    </row>
    <row r="102" spans="1:52" x14ac:dyDescent="0.25">
      <c r="A102" s="78" t="s">
        <v>1109</v>
      </c>
      <c r="B102" s="78" t="s">
        <v>971</v>
      </c>
      <c r="C102" s="79">
        <v>45846.447755046298</v>
      </c>
      <c r="D102" s="79">
        <v>45846.444835451388</v>
      </c>
      <c r="E102" s="79">
        <v>45846.444822557867</v>
      </c>
      <c r="F102" s="78" t="s">
        <v>972</v>
      </c>
      <c r="G102" s="78" t="s">
        <v>855</v>
      </c>
      <c r="H102" s="87">
        <v>45826</v>
      </c>
      <c r="I102" s="85">
        <v>0.38541666666666674</v>
      </c>
      <c r="J102" s="88">
        <v>45826</v>
      </c>
      <c r="K102" s="89">
        <v>0.41666666666666669</v>
      </c>
      <c r="L102" s="87">
        <v>45826</v>
      </c>
      <c r="M102" s="85">
        <v>0.46486111111111111</v>
      </c>
      <c r="N102" s="78" t="s">
        <v>242</v>
      </c>
      <c r="O102" s="78"/>
      <c r="P102" s="78"/>
      <c r="Q102" s="78" t="s">
        <v>856</v>
      </c>
      <c r="R102" s="78" t="s">
        <v>138</v>
      </c>
      <c r="S102" s="80">
        <v>8</v>
      </c>
      <c r="T102" s="78" t="s">
        <v>857</v>
      </c>
      <c r="U102" s="80"/>
      <c r="V102" s="80"/>
      <c r="W102" s="78"/>
      <c r="X102" s="78"/>
      <c r="Y102" s="78"/>
      <c r="Z102" s="78"/>
      <c r="AA102" s="78"/>
      <c r="AB102" s="78"/>
      <c r="AC102" s="78"/>
      <c r="AD102" s="78"/>
      <c r="AE102" s="78" t="s">
        <v>943</v>
      </c>
      <c r="AF102" s="78" t="s">
        <v>931</v>
      </c>
      <c r="AG102" s="78" t="s">
        <v>309</v>
      </c>
      <c r="AH102" s="78" t="s">
        <v>444</v>
      </c>
      <c r="AI102" s="78" t="s">
        <v>310</v>
      </c>
      <c r="AJ102" s="78" t="s">
        <v>435</v>
      </c>
      <c r="AK102" s="78" t="s">
        <v>246</v>
      </c>
      <c r="AL102" s="80">
        <v>9</v>
      </c>
      <c r="AM102" s="81">
        <v>45826</v>
      </c>
      <c r="AN102" s="82">
        <v>0.38541666666666669</v>
      </c>
      <c r="AO102" s="82">
        <v>0.375</v>
      </c>
      <c r="AP102" s="80" t="s">
        <v>276</v>
      </c>
      <c r="AQ102" s="78" t="s">
        <v>858</v>
      </c>
      <c r="AR102" s="80" t="s">
        <v>242</v>
      </c>
      <c r="AS102" s="93" t="s">
        <v>948</v>
      </c>
      <c r="AT102" s="78" t="s">
        <v>276</v>
      </c>
      <c r="AU102" s="92" t="s">
        <v>239</v>
      </c>
      <c r="AV102" s="92" t="s">
        <v>149</v>
      </c>
      <c r="AW102" s="93">
        <v>2025</v>
      </c>
      <c r="AX102" s="93">
        <v>25</v>
      </c>
      <c r="AY102" s="93">
        <v>18</v>
      </c>
      <c r="AZ102" s="78" t="s">
        <v>858</v>
      </c>
    </row>
    <row r="103" spans="1:52" x14ac:dyDescent="0.25">
      <c r="A103" s="78" t="s">
        <v>1109</v>
      </c>
      <c r="B103" s="78" t="s">
        <v>971</v>
      </c>
      <c r="C103" s="79">
        <v>45846.447755046298</v>
      </c>
      <c r="D103" s="79">
        <v>45846.444835451388</v>
      </c>
      <c r="E103" s="79">
        <v>45846.444822557867</v>
      </c>
      <c r="F103" s="78" t="s">
        <v>972</v>
      </c>
      <c r="G103" s="78" t="s">
        <v>859</v>
      </c>
      <c r="H103" s="87">
        <v>45827</v>
      </c>
      <c r="I103" s="85">
        <v>0.48124999999999996</v>
      </c>
      <c r="J103" s="88">
        <v>45827</v>
      </c>
      <c r="K103" s="89">
        <v>0.5</v>
      </c>
      <c r="L103" s="87">
        <v>45827</v>
      </c>
      <c r="M103" s="85">
        <v>0.50292824074074072</v>
      </c>
      <c r="N103" s="78" t="s">
        <v>206</v>
      </c>
      <c r="O103" s="78" t="s">
        <v>726</v>
      </c>
      <c r="P103" s="78" t="s">
        <v>388</v>
      </c>
      <c r="Q103" s="78" t="s">
        <v>727</v>
      </c>
      <c r="R103" s="78" t="s">
        <v>270</v>
      </c>
      <c r="S103" s="80">
        <v>5</v>
      </c>
      <c r="T103" s="78" t="s">
        <v>860</v>
      </c>
      <c r="U103" s="80"/>
      <c r="V103" s="80"/>
      <c r="W103" s="78" t="s">
        <v>861</v>
      </c>
      <c r="X103" s="78" t="s">
        <v>947</v>
      </c>
      <c r="Y103" s="78"/>
      <c r="Z103" s="78" t="s">
        <v>862</v>
      </c>
      <c r="AA103" s="78"/>
      <c r="AB103" s="78"/>
      <c r="AC103" s="78"/>
      <c r="AD103" s="78"/>
      <c r="AE103" s="78" t="s">
        <v>943</v>
      </c>
      <c r="AF103" s="78" t="s">
        <v>931</v>
      </c>
      <c r="AG103" s="78" t="s">
        <v>245</v>
      </c>
      <c r="AH103" s="78" t="s">
        <v>142</v>
      </c>
      <c r="AI103" s="78" t="s">
        <v>534</v>
      </c>
      <c r="AJ103" s="78" t="s">
        <v>301</v>
      </c>
      <c r="AK103" s="78" t="s">
        <v>213</v>
      </c>
      <c r="AL103" s="80">
        <v>9</v>
      </c>
      <c r="AM103" s="81">
        <v>45827</v>
      </c>
      <c r="AN103" s="82">
        <v>0.48125000000000001</v>
      </c>
      <c r="AO103" s="82">
        <v>0.45833333333333331</v>
      </c>
      <c r="AP103" s="80" t="s">
        <v>276</v>
      </c>
      <c r="AQ103" s="78" t="s">
        <v>731</v>
      </c>
      <c r="AR103" s="80" t="s">
        <v>863</v>
      </c>
      <c r="AS103" s="93" t="s">
        <v>948</v>
      </c>
      <c r="AT103" s="78" t="s">
        <v>276</v>
      </c>
      <c r="AU103" s="92" t="s">
        <v>247</v>
      </c>
      <c r="AV103" s="92" t="s">
        <v>149</v>
      </c>
      <c r="AW103" s="93">
        <v>2025</v>
      </c>
      <c r="AX103" s="93">
        <v>25</v>
      </c>
      <c r="AY103" s="93">
        <v>19</v>
      </c>
      <c r="AZ103" s="78" t="s">
        <v>731</v>
      </c>
    </row>
    <row r="104" spans="1:52" x14ac:dyDescent="0.25">
      <c r="A104" s="78" t="s">
        <v>1109</v>
      </c>
      <c r="B104" s="78" t="s">
        <v>971</v>
      </c>
      <c r="C104" s="79">
        <v>45846.447755046298</v>
      </c>
      <c r="D104" s="79">
        <v>45846.444835451388</v>
      </c>
      <c r="E104" s="79">
        <v>45846.444822557867</v>
      </c>
      <c r="F104" s="78" t="s">
        <v>972</v>
      </c>
      <c r="G104" s="78" t="s">
        <v>871</v>
      </c>
      <c r="H104" s="87">
        <v>45829</v>
      </c>
      <c r="I104" s="85">
        <v>0.1532986111111112</v>
      </c>
      <c r="J104" s="88"/>
      <c r="K104" s="89"/>
      <c r="L104" s="87">
        <v>45829</v>
      </c>
      <c r="M104" s="85">
        <v>0.15677083333333333</v>
      </c>
      <c r="N104" s="78" t="s">
        <v>154</v>
      </c>
      <c r="O104" s="78" t="s">
        <v>872</v>
      </c>
      <c r="P104" s="78"/>
      <c r="Q104" s="78" t="s">
        <v>873</v>
      </c>
      <c r="R104" s="78"/>
      <c r="S104" s="80"/>
      <c r="T104" s="78" t="s">
        <v>874</v>
      </c>
      <c r="U104" s="80"/>
      <c r="V104" s="80"/>
      <c r="W104" s="78" t="s">
        <v>1014</v>
      </c>
      <c r="X104" s="78" t="s">
        <v>494</v>
      </c>
      <c r="Y104" s="78" t="s">
        <v>876</v>
      </c>
      <c r="Z104" s="78" t="s">
        <v>161</v>
      </c>
      <c r="AA104" s="78"/>
      <c r="AB104" s="78"/>
      <c r="AC104" s="78"/>
      <c r="AD104" s="78"/>
      <c r="AE104" s="78" t="s">
        <v>930</v>
      </c>
      <c r="AF104" s="78" t="s">
        <v>931</v>
      </c>
      <c r="AG104" s="78" t="s">
        <v>787</v>
      </c>
      <c r="AH104" s="78" t="s">
        <v>542</v>
      </c>
      <c r="AI104" s="78" t="s">
        <v>228</v>
      </c>
      <c r="AJ104" s="78" t="s">
        <v>181</v>
      </c>
      <c r="AK104" s="78" t="s">
        <v>167</v>
      </c>
      <c r="AL104" s="80">
        <v>9</v>
      </c>
      <c r="AM104" s="81">
        <v>45829</v>
      </c>
      <c r="AN104" s="82">
        <v>0.15329861111111112</v>
      </c>
      <c r="AO104" s="82">
        <v>0.125</v>
      </c>
      <c r="AP104" s="80" t="s">
        <v>343</v>
      </c>
      <c r="AQ104" s="78" t="s">
        <v>878</v>
      </c>
      <c r="AR104" s="80" t="s">
        <v>877</v>
      </c>
      <c r="AS104" s="93" t="s">
        <v>948</v>
      </c>
      <c r="AT104" s="78" t="s">
        <v>343</v>
      </c>
      <c r="AU104" s="92" t="s">
        <v>292</v>
      </c>
      <c r="AV104" s="92" t="s">
        <v>149</v>
      </c>
      <c r="AW104" s="93">
        <v>2025</v>
      </c>
      <c r="AX104" s="93">
        <v>25</v>
      </c>
      <c r="AY104" s="93">
        <v>21</v>
      </c>
      <c r="AZ104" s="78" t="s">
        <v>878</v>
      </c>
    </row>
    <row r="105" spans="1:52" x14ac:dyDescent="0.25">
      <c r="A105" s="78" t="s">
        <v>1109</v>
      </c>
      <c r="B105" s="78" t="s">
        <v>971</v>
      </c>
      <c r="C105" s="79">
        <v>45846.447755046298</v>
      </c>
      <c r="D105" s="79">
        <v>45846.444835451388</v>
      </c>
      <c r="E105" s="79">
        <v>45846.444822557867</v>
      </c>
      <c r="F105" s="78" t="s">
        <v>972</v>
      </c>
      <c r="G105" s="78" t="s">
        <v>864</v>
      </c>
      <c r="H105" s="87">
        <v>45828</v>
      </c>
      <c r="I105" s="85">
        <v>0.97916666666666674</v>
      </c>
      <c r="J105" s="88">
        <v>45828</v>
      </c>
      <c r="K105" s="89">
        <v>0.375</v>
      </c>
      <c r="L105" s="87">
        <v>45829</v>
      </c>
      <c r="M105" s="85">
        <v>0.39340277777777777</v>
      </c>
      <c r="N105" s="78" t="s">
        <v>174</v>
      </c>
      <c r="O105" s="78" t="s">
        <v>205</v>
      </c>
      <c r="P105" s="78" t="s">
        <v>154</v>
      </c>
      <c r="Q105" s="78" t="s">
        <v>865</v>
      </c>
      <c r="R105" s="78" t="s">
        <v>138</v>
      </c>
      <c r="S105" s="80">
        <v>8</v>
      </c>
      <c r="T105" s="78" t="s">
        <v>866</v>
      </c>
      <c r="U105" s="80"/>
      <c r="V105" s="80"/>
      <c r="W105" s="78" t="s">
        <v>867</v>
      </c>
      <c r="X105" s="78" t="s">
        <v>955</v>
      </c>
      <c r="Y105" s="78" t="s">
        <v>868</v>
      </c>
      <c r="Z105" s="78" t="s">
        <v>161</v>
      </c>
      <c r="AA105" s="78"/>
      <c r="AB105" s="78"/>
      <c r="AC105" s="78"/>
      <c r="AD105" s="78"/>
      <c r="AE105" s="78" t="s">
        <v>930</v>
      </c>
      <c r="AF105" s="78" t="s">
        <v>931</v>
      </c>
      <c r="AG105" s="78" t="s">
        <v>585</v>
      </c>
      <c r="AH105" s="78" t="s">
        <v>164</v>
      </c>
      <c r="AI105" s="78" t="s">
        <v>228</v>
      </c>
      <c r="AJ105" s="78" t="s">
        <v>181</v>
      </c>
      <c r="AK105" s="78" t="s">
        <v>167</v>
      </c>
      <c r="AL105" s="80">
        <v>9</v>
      </c>
      <c r="AM105" s="81">
        <v>45828</v>
      </c>
      <c r="AN105" s="82">
        <v>0.97916666666666663</v>
      </c>
      <c r="AO105" s="82">
        <v>0.95833333333333337</v>
      </c>
      <c r="AP105" s="80" t="s">
        <v>168</v>
      </c>
      <c r="AQ105" s="78" t="s">
        <v>870</v>
      </c>
      <c r="AR105" s="80" t="s">
        <v>869</v>
      </c>
      <c r="AS105" s="93" t="s">
        <v>948</v>
      </c>
      <c r="AT105" s="78" t="s">
        <v>168</v>
      </c>
      <c r="AU105" s="92" t="s">
        <v>170</v>
      </c>
      <c r="AV105" s="92" t="s">
        <v>149</v>
      </c>
      <c r="AW105" s="93">
        <v>2025</v>
      </c>
      <c r="AX105" s="93">
        <v>25</v>
      </c>
      <c r="AY105" s="93">
        <v>20</v>
      </c>
      <c r="AZ105" s="78" t="s">
        <v>870</v>
      </c>
    </row>
    <row r="106" spans="1:52" x14ac:dyDescent="0.25">
      <c r="A106" s="78" t="s">
        <v>1109</v>
      </c>
      <c r="B106" s="78" t="s">
        <v>971</v>
      </c>
      <c r="C106" s="79">
        <v>45846.447755046298</v>
      </c>
      <c r="D106" s="79">
        <v>45846.444835451388</v>
      </c>
      <c r="E106" s="79">
        <v>45846.444822557867</v>
      </c>
      <c r="F106" s="78" t="s">
        <v>972</v>
      </c>
      <c r="G106" s="78" t="s">
        <v>880</v>
      </c>
      <c r="H106" s="87">
        <v>45829</v>
      </c>
      <c r="I106" s="85">
        <v>0.45486111111111116</v>
      </c>
      <c r="J106" s="88"/>
      <c r="K106" s="89"/>
      <c r="L106" s="87">
        <v>45829</v>
      </c>
      <c r="M106" s="85">
        <v>0.46056712962962965</v>
      </c>
      <c r="N106" s="78" t="s">
        <v>154</v>
      </c>
      <c r="O106" s="78"/>
      <c r="P106" s="78"/>
      <c r="Q106" s="78" t="s">
        <v>881</v>
      </c>
      <c r="R106" s="78" t="s">
        <v>358</v>
      </c>
      <c r="S106" s="80">
        <v>8</v>
      </c>
      <c r="T106" s="78" t="s">
        <v>882</v>
      </c>
      <c r="U106" s="80"/>
      <c r="V106" s="80"/>
      <c r="W106" s="78" t="s">
        <v>883</v>
      </c>
      <c r="X106" s="78" t="s">
        <v>995</v>
      </c>
      <c r="Y106" s="78" t="s">
        <v>884</v>
      </c>
      <c r="Z106" s="78" t="s">
        <v>161</v>
      </c>
      <c r="AA106" s="78"/>
      <c r="AB106" s="78"/>
      <c r="AC106" s="78"/>
      <c r="AD106" s="78"/>
      <c r="AE106" s="78" t="s">
        <v>930</v>
      </c>
      <c r="AF106" s="78" t="s">
        <v>931</v>
      </c>
      <c r="AG106" s="78" t="s">
        <v>393</v>
      </c>
      <c r="AH106" s="78" t="s">
        <v>384</v>
      </c>
      <c r="AI106" s="78" t="s">
        <v>275</v>
      </c>
      <c r="AJ106" s="78" t="s">
        <v>166</v>
      </c>
      <c r="AK106" s="78" t="s">
        <v>167</v>
      </c>
      <c r="AL106" s="80">
        <v>9</v>
      </c>
      <c r="AM106" s="81">
        <v>45829</v>
      </c>
      <c r="AN106" s="82">
        <v>0.4548611111111111</v>
      </c>
      <c r="AO106" s="82">
        <v>0.41666666666666669</v>
      </c>
      <c r="AP106" s="80" t="s">
        <v>276</v>
      </c>
      <c r="AQ106" s="78" t="s">
        <v>885</v>
      </c>
      <c r="AR106" s="80" t="s">
        <v>154</v>
      </c>
      <c r="AS106" s="93" t="s">
        <v>948</v>
      </c>
      <c r="AT106" s="78" t="s">
        <v>276</v>
      </c>
      <c r="AU106" s="92" t="s">
        <v>292</v>
      </c>
      <c r="AV106" s="92" t="s">
        <v>149</v>
      </c>
      <c r="AW106" s="93">
        <v>2025</v>
      </c>
      <c r="AX106" s="93">
        <v>25</v>
      </c>
      <c r="AY106" s="93">
        <v>21</v>
      </c>
      <c r="AZ106" s="78" t="s">
        <v>885</v>
      </c>
    </row>
    <row r="107" spans="1:52" x14ac:dyDescent="0.25">
      <c r="A107" s="78" t="s">
        <v>1109</v>
      </c>
      <c r="B107" s="78" t="s">
        <v>971</v>
      </c>
      <c r="C107" s="79">
        <v>45846.447755046298</v>
      </c>
      <c r="D107" s="79">
        <v>45846.444835451388</v>
      </c>
      <c r="E107" s="79">
        <v>45846.444822557867</v>
      </c>
      <c r="F107" s="78" t="s">
        <v>972</v>
      </c>
      <c r="G107" s="78" t="s">
        <v>886</v>
      </c>
      <c r="H107" s="87">
        <v>45829</v>
      </c>
      <c r="I107" s="85">
        <v>0.79166666666666674</v>
      </c>
      <c r="J107" s="88">
        <v>45830</v>
      </c>
      <c r="K107" s="89">
        <v>0.45833333333333331</v>
      </c>
      <c r="L107" s="87">
        <v>45830</v>
      </c>
      <c r="M107" s="85">
        <v>0.47619212962962965</v>
      </c>
      <c r="N107" s="78" t="s">
        <v>154</v>
      </c>
      <c r="O107" s="78"/>
      <c r="P107" s="78"/>
      <c r="Q107" s="78" t="s">
        <v>887</v>
      </c>
      <c r="R107" s="78" t="s">
        <v>888</v>
      </c>
      <c r="S107" s="80">
        <v>7</v>
      </c>
      <c r="T107" s="78" t="s">
        <v>889</v>
      </c>
      <c r="U107" s="80"/>
      <c r="V107" s="80"/>
      <c r="W107" s="78" t="s">
        <v>890</v>
      </c>
      <c r="X107" s="78" t="s">
        <v>995</v>
      </c>
      <c r="Y107" s="78" t="s">
        <v>891</v>
      </c>
      <c r="Z107" s="78" t="s">
        <v>892</v>
      </c>
      <c r="AA107" s="78"/>
      <c r="AB107" s="78"/>
      <c r="AC107" s="78"/>
      <c r="AD107" s="78"/>
      <c r="AE107" s="78" t="s">
        <v>930</v>
      </c>
      <c r="AF107" s="78" t="s">
        <v>931</v>
      </c>
      <c r="AG107" s="78" t="s">
        <v>801</v>
      </c>
      <c r="AH107" s="78" t="s">
        <v>164</v>
      </c>
      <c r="AI107" s="78" t="s">
        <v>275</v>
      </c>
      <c r="AJ107" s="78" t="s">
        <v>364</v>
      </c>
      <c r="AK107" s="78" t="s">
        <v>167</v>
      </c>
      <c r="AL107" s="80">
        <v>9</v>
      </c>
      <c r="AM107" s="81">
        <v>45829</v>
      </c>
      <c r="AN107" s="82">
        <v>0.79166666666666663</v>
      </c>
      <c r="AO107" s="82">
        <v>0.79166666666666663</v>
      </c>
      <c r="AP107" s="80" t="s">
        <v>266</v>
      </c>
      <c r="AQ107" s="78" t="s">
        <v>893</v>
      </c>
      <c r="AR107" s="80" t="s">
        <v>154</v>
      </c>
      <c r="AS107" s="93" t="s">
        <v>948</v>
      </c>
      <c r="AT107" s="78" t="s">
        <v>266</v>
      </c>
      <c r="AU107" s="92" t="s">
        <v>292</v>
      </c>
      <c r="AV107" s="92" t="s">
        <v>149</v>
      </c>
      <c r="AW107" s="93">
        <v>2025</v>
      </c>
      <c r="AX107" s="93">
        <v>25</v>
      </c>
      <c r="AY107" s="93">
        <v>21</v>
      </c>
      <c r="AZ107" s="78" t="s">
        <v>893</v>
      </c>
    </row>
    <row r="108" spans="1:52" x14ac:dyDescent="0.25">
      <c r="A108" s="78" t="s">
        <v>1109</v>
      </c>
      <c r="B108" s="78" t="s">
        <v>971</v>
      </c>
      <c r="C108" s="79">
        <v>45846.447755046298</v>
      </c>
      <c r="D108" s="79">
        <v>45846.444835451388</v>
      </c>
      <c r="E108" s="79">
        <v>45846.444822557867</v>
      </c>
      <c r="F108" s="78" t="s">
        <v>972</v>
      </c>
      <c r="G108" s="78" t="s">
        <v>898</v>
      </c>
      <c r="H108" s="87">
        <v>45833</v>
      </c>
      <c r="I108" s="85">
        <v>0.54166666666666674</v>
      </c>
      <c r="J108" s="88"/>
      <c r="K108" s="89"/>
      <c r="L108" s="87">
        <v>45833</v>
      </c>
      <c r="M108" s="85">
        <v>0.57819444444444446</v>
      </c>
      <c r="N108" s="78" t="s">
        <v>174</v>
      </c>
      <c r="O108" s="78"/>
      <c r="P108" s="78"/>
      <c r="Q108" s="78" t="s">
        <v>899</v>
      </c>
      <c r="R108" s="78" t="s">
        <v>400</v>
      </c>
      <c r="S108" s="80">
        <v>6</v>
      </c>
      <c r="T108" s="78" t="s">
        <v>900</v>
      </c>
      <c r="U108" s="80"/>
      <c r="V108" s="80"/>
      <c r="W108" s="78" t="s">
        <v>901</v>
      </c>
      <c r="X108" s="78" t="s">
        <v>961</v>
      </c>
      <c r="Y108" s="78" t="s">
        <v>342</v>
      </c>
      <c r="Z108" s="78" t="s">
        <v>161</v>
      </c>
      <c r="AA108" s="78"/>
      <c r="AB108" s="78"/>
      <c r="AC108" s="78"/>
      <c r="AD108" s="78"/>
      <c r="AE108" s="78" t="s">
        <v>989</v>
      </c>
      <c r="AF108" s="78" t="s">
        <v>931</v>
      </c>
      <c r="AG108" s="78" t="s">
        <v>417</v>
      </c>
      <c r="AH108" s="78" t="s">
        <v>142</v>
      </c>
      <c r="AI108" s="78" t="s">
        <v>350</v>
      </c>
      <c r="AJ108" s="78" t="s">
        <v>301</v>
      </c>
      <c r="AK108" s="78" t="s">
        <v>182</v>
      </c>
      <c r="AL108" s="80">
        <v>9</v>
      </c>
      <c r="AM108" s="81">
        <v>45833</v>
      </c>
      <c r="AN108" s="82">
        <v>0.54166666666666663</v>
      </c>
      <c r="AO108" s="82">
        <v>0.54166666666666663</v>
      </c>
      <c r="AP108" s="80" t="s">
        <v>146</v>
      </c>
      <c r="AQ108" s="78" t="s">
        <v>902</v>
      </c>
      <c r="AR108" s="80" t="s">
        <v>174</v>
      </c>
      <c r="AS108" s="93" t="s">
        <v>948</v>
      </c>
      <c r="AT108" s="78" t="s">
        <v>146</v>
      </c>
      <c r="AU108" s="92" t="s">
        <v>239</v>
      </c>
      <c r="AV108" s="92" t="s">
        <v>149</v>
      </c>
      <c r="AW108" s="93">
        <v>2025</v>
      </c>
      <c r="AX108" s="93">
        <v>26</v>
      </c>
      <c r="AY108" s="93">
        <v>25</v>
      </c>
      <c r="AZ108" s="78" t="s">
        <v>902</v>
      </c>
    </row>
    <row r="109" spans="1:52" x14ac:dyDescent="0.25">
      <c r="A109" s="78" t="s">
        <v>1109</v>
      </c>
      <c r="B109" s="78" t="s">
        <v>971</v>
      </c>
      <c r="C109" s="79">
        <v>45846.447755046298</v>
      </c>
      <c r="D109" s="79">
        <v>45846.444835451388</v>
      </c>
      <c r="E109" s="79">
        <v>45846.444822557867</v>
      </c>
      <c r="F109" s="78" t="s">
        <v>972</v>
      </c>
      <c r="G109" s="78" t="s">
        <v>894</v>
      </c>
      <c r="H109" s="87">
        <v>45831</v>
      </c>
      <c r="I109" s="85">
        <v>0.33333333333333326</v>
      </c>
      <c r="J109" s="88">
        <v>45834</v>
      </c>
      <c r="K109" s="89">
        <v>0.79166666666666663</v>
      </c>
      <c r="L109" s="87">
        <v>45834</v>
      </c>
      <c r="M109" s="85">
        <v>0.87291666666666667</v>
      </c>
      <c r="N109" s="78" t="s">
        <v>242</v>
      </c>
      <c r="O109" s="78" t="s">
        <v>295</v>
      </c>
      <c r="P109" s="78"/>
      <c r="Q109" s="78" t="s">
        <v>895</v>
      </c>
      <c r="R109" s="78" t="s">
        <v>358</v>
      </c>
      <c r="S109" s="80">
        <v>8</v>
      </c>
      <c r="T109" s="78" t="s">
        <v>896</v>
      </c>
      <c r="U109" s="80"/>
      <c r="V109" s="80"/>
      <c r="W109" s="78"/>
      <c r="X109" s="78"/>
      <c r="Y109" s="78"/>
      <c r="Z109" s="78"/>
      <c r="AA109" s="78"/>
      <c r="AB109" s="78"/>
      <c r="AC109" s="78"/>
      <c r="AD109" s="78"/>
      <c r="AE109" s="78" t="s">
        <v>930</v>
      </c>
      <c r="AF109" s="78" t="s">
        <v>931</v>
      </c>
      <c r="AG109" s="78" t="s">
        <v>635</v>
      </c>
      <c r="AH109" s="78" t="s">
        <v>256</v>
      </c>
      <c r="AI109" s="78" t="s">
        <v>310</v>
      </c>
      <c r="AJ109" s="78" t="s">
        <v>166</v>
      </c>
      <c r="AK109" s="78" t="s">
        <v>246</v>
      </c>
      <c r="AL109" s="80">
        <v>9</v>
      </c>
      <c r="AM109" s="81">
        <v>45831</v>
      </c>
      <c r="AN109" s="82">
        <v>0.33333333333333331</v>
      </c>
      <c r="AO109" s="82">
        <v>0.33333333333333331</v>
      </c>
      <c r="AP109" s="80" t="s">
        <v>276</v>
      </c>
      <c r="AQ109" s="78" t="s">
        <v>885</v>
      </c>
      <c r="AR109" s="80" t="s">
        <v>897</v>
      </c>
      <c r="AS109" s="93" t="s">
        <v>948</v>
      </c>
      <c r="AT109" s="78" t="s">
        <v>276</v>
      </c>
      <c r="AU109" s="92" t="s">
        <v>183</v>
      </c>
      <c r="AV109" s="92" t="s">
        <v>149</v>
      </c>
      <c r="AW109" s="93">
        <v>2025</v>
      </c>
      <c r="AX109" s="93">
        <v>26</v>
      </c>
      <c r="AY109" s="93">
        <v>23</v>
      </c>
      <c r="AZ109" s="78" t="s">
        <v>885</v>
      </c>
    </row>
    <row r="110" spans="1:52" x14ac:dyDescent="0.25">
      <c r="A110" s="78" t="s">
        <v>1109</v>
      </c>
      <c r="B110" s="78" t="s">
        <v>971</v>
      </c>
      <c r="C110" s="79">
        <v>45846.447755046298</v>
      </c>
      <c r="D110" s="79">
        <v>45846.444835451388</v>
      </c>
      <c r="E110" s="79">
        <v>45846.444822557867</v>
      </c>
      <c r="F110" s="78" t="s">
        <v>972</v>
      </c>
      <c r="G110" s="78" t="s">
        <v>903</v>
      </c>
      <c r="H110" s="87">
        <v>45835</v>
      </c>
      <c r="I110" s="85">
        <v>0.59593750000000001</v>
      </c>
      <c r="J110" s="88"/>
      <c r="K110" s="89"/>
      <c r="L110" s="87">
        <v>45835</v>
      </c>
      <c r="M110" s="85">
        <v>0.59593750000000001</v>
      </c>
      <c r="N110" s="78" t="s">
        <v>242</v>
      </c>
      <c r="O110" s="78"/>
      <c r="P110" s="78"/>
      <c r="Q110" s="78" t="s">
        <v>577</v>
      </c>
      <c r="R110" s="78" t="s">
        <v>414</v>
      </c>
      <c r="S110" s="80">
        <v>7</v>
      </c>
      <c r="T110" s="78" t="s">
        <v>904</v>
      </c>
      <c r="U110" s="80"/>
      <c r="V110" s="80"/>
      <c r="W110" s="78"/>
      <c r="X110" s="78"/>
      <c r="Y110" s="78"/>
      <c r="Z110" s="78"/>
      <c r="AA110" s="78"/>
      <c r="AB110" s="78"/>
      <c r="AC110" s="78"/>
      <c r="AD110" s="78"/>
      <c r="AE110" s="78" t="s">
        <v>1007</v>
      </c>
      <c r="AF110" s="78" t="s">
        <v>931</v>
      </c>
      <c r="AG110" s="78" t="s">
        <v>141</v>
      </c>
      <c r="AH110" s="78" t="s">
        <v>142</v>
      </c>
      <c r="AI110" s="78" t="s">
        <v>534</v>
      </c>
      <c r="AJ110" s="78" t="s">
        <v>435</v>
      </c>
      <c r="AK110" s="78" t="s">
        <v>246</v>
      </c>
      <c r="AL110" s="80">
        <v>9</v>
      </c>
      <c r="AM110" s="81">
        <v>45835</v>
      </c>
      <c r="AN110" s="82">
        <v>0.59593750000000001</v>
      </c>
      <c r="AO110" s="82">
        <v>0.58333333333333337</v>
      </c>
      <c r="AP110" s="80" t="s">
        <v>146</v>
      </c>
      <c r="AQ110" s="78" t="s">
        <v>184</v>
      </c>
      <c r="AR110" s="80" t="s">
        <v>242</v>
      </c>
      <c r="AS110" s="93" t="s">
        <v>948</v>
      </c>
      <c r="AT110" s="78" t="s">
        <v>146</v>
      </c>
      <c r="AU110" s="92" t="s">
        <v>170</v>
      </c>
      <c r="AV110" s="92" t="s">
        <v>149</v>
      </c>
      <c r="AW110" s="93">
        <v>2025</v>
      </c>
      <c r="AX110" s="93">
        <v>26</v>
      </c>
      <c r="AY110" s="93">
        <v>27</v>
      </c>
      <c r="AZ110" s="78" t="s">
        <v>184</v>
      </c>
    </row>
    <row r="111" spans="1:52" x14ac:dyDescent="0.25">
      <c r="A111" s="78" t="s">
        <v>1109</v>
      </c>
      <c r="B111" s="78" t="s">
        <v>971</v>
      </c>
      <c r="C111" s="79">
        <v>45846.447755046298</v>
      </c>
      <c r="D111" s="79">
        <v>45846.444835451388</v>
      </c>
      <c r="E111" s="79">
        <v>45846.444822557867</v>
      </c>
      <c r="F111" s="78" t="s">
        <v>972</v>
      </c>
      <c r="G111" s="78" t="s">
        <v>906</v>
      </c>
      <c r="H111" s="87">
        <v>45837</v>
      </c>
      <c r="I111" s="85">
        <v>0.625</v>
      </c>
      <c r="J111" s="88">
        <v>45838</v>
      </c>
      <c r="K111" s="89">
        <v>0.31458333333333333</v>
      </c>
      <c r="L111" s="87">
        <v>45838</v>
      </c>
      <c r="M111" s="85">
        <v>0.31462962962962965</v>
      </c>
      <c r="N111" s="78" t="s">
        <v>174</v>
      </c>
      <c r="O111" s="78" t="s">
        <v>295</v>
      </c>
      <c r="P111" s="78"/>
      <c r="Q111" s="78" t="s">
        <v>907</v>
      </c>
      <c r="R111" s="78" t="s">
        <v>378</v>
      </c>
      <c r="S111" s="80">
        <v>5</v>
      </c>
      <c r="T111" s="78" t="s">
        <v>908</v>
      </c>
      <c r="U111" s="80"/>
      <c r="V111" s="80"/>
      <c r="W111" s="78" t="s">
        <v>909</v>
      </c>
      <c r="X111" s="78" t="s">
        <v>981</v>
      </c>
      <c r="Y111" s="78" t="s">
        <v>510</v>
      </c>
      <c r="Z111" s="78" t="s">
        <v>161</v>
      </c>
      <c r="AA111" s="78"/>
      <c r="AB111" s="78"/>
      <c r="AC111" s="78"/>
      <c r="AD111" s="78"/>
      <c r="AE111" s="78" t="s">
        <v>930</v>
      </c>
      <c r="AF111" s="78" t="s">
        <v>931</v>
      </c>
      <c r="AG111" s="78" t="s">
        <v>530</v>
      </c>
      <c r="AH111" s="78" t="s">
        <v>384</v>
      </c>
      <c r="AI111" s="78" t="s">
        <v>257</v>
      </c>
      <c r="AJ111" s="78" t="s">
        <v>181</v>
      </c>
      <c r="AK111" s="78" t="s">
        <v>182</v>
      </c>
      <c r="AL111" s="80">
        <v>9</v>
      </c>
      <c r="AM111" s="81">
        <v>45837</v>
      </c>
      <c r="AN111" s="82">
        <v>0.625</v>
      </c>
      <c r="AO111" s="82">
        <v>0.625</v>
      </c>
      <c r="AP111" s="80" t="s">
        <v>146</v>
      </c>
      <c r="AQ111" s="78" t="s">
        <v>910</v>
      </c>
      <c r="AR111" s="80" t="s">
        <v>302</v>
      </c>
      <c r="AS111" s="93" t="s">
        <v>948</v>
      </c>
      <c r="AT111" s="78" t="s">
        <v>146</v>
      </c>
      <c r="AU111" s="92" t="s">
        <v>311</v>
      </c>
      <c r="AV111" s="92" t="s">
        <v>149</v>
      </c>
      <c r="AW111" s="93">
        <v>2025</v>
      </c>
      <c r="AX111" s="93">
        <v>27</v>
      </c>
      <c r="AY111" s="93">
        <v>29</v>
      </c>
      <c r="AZ111" s="78" t="s">
        <v>910</v>
      </c>
    </row>
    <row r="112" spans="1:52" x14ac:dyDescent="0.25">
      <c r="A112" s="78" t="s">
        <v>1109</v>
      </c>
      <c r="B112" s="78" t="s">
        <v>971</v>
      </c>
      <c r="C112" s="79">
        <v>45846.447755046298</v>
      </c>
      <c r="D112" s="79">
        <v>45846.444835451388</v>
      </c>
      <c r="E112" s="79">
        <v>45846.444822557867</v>
      </c>
      <c r="F112" s="78" t="s">
        <v>972</v>
      </c>
      <c r="G112" s="78" t="s">
        <v>1110</v>
      </c>
      <c r="H112" s="87">
        <v>45838</v>
      </c>
      <c r="I112" s="85">
        <v>0.46982638888888895</v>
      </c>
      <c r="J112" s="88"/>
      <c r="K112" s="89"/>
      <c r="L112" s="87">
        <v>45838</v>
      </c>
      <c r="M112" s="85">
        <v>0.46982638888888889</v>
      </c>
      <c r="N112" s="78" t="s">
        <v>242</v>
      </c>
      <c r="O112" s="78"/>
      <c r="P112" s="78"/>
      <c r="Q112" s="78" t="s">
        <v>552</v>
      </c>
      <c r="R112" s="78" t="s">
        <v>553</v>
      </c>
      <c r="S112" s="80">
        <v>7</v>
      </c>
      <c r="T112" s="78" t="s">
        <v>1111</v>
      </c>
      <c r="U112" s="80"/>
      <c r="V112" s="80"/>
      <c r="W112" s="78"/>
      <c r="X112" s="78"/>
      <c r="Y112" s="78"/>
      <c r="Z112" s="78"/>
      <c r="AA112" s="78"/>
      <c r="AB112" s="78"/>
      <c r="AC112" s="78"/>
      <c r="AD112" s="78"/>
      <c r="AE112" s="78" t="s">
        <v>964</v>
      </c>
      <c r="AF112" s="78" t="s">
        <v>931</v>
      </c>
      <c r="AG112" s="78" t="s">
        <v>1112</v>
      </c>
      <c r="AH112" s="78" t="s">
        <v>164</v>
      </c>
      <c r="AI112" s="78" t="s">
        <v>310</v>
      </c>
      <c r="AJ112" s="78" t="s">
        <v>181</v>
      </c>
      <c r="AK112" s="78" t="s">
        <v>246</v>
      </c>
      <c r="AL112" s="80">
        <v>9</v>
      </c>
      <c r="AM112" s="81">
        <v>45838</v>
      </c>
      <c r="AN112" s="82">
        <v>0.46982638888888889</v>
      </c>
      <c r="AO112" s="82">
        <v>0.45833333333333331</v>
      </c>
      <c r="AP112" s="80" t="s">
        <v>276</v>
      </c>
      <c r="AQ112" s="78" t="s">
        <v>322</v>
      </c>
      <c r="AR112" s="80" t="s">
        <v>242</v>
      </c>
      <c r="AS112" s="93" t="s">
        <v>948</v>
      </c>
      <c r="AT112" s="78" t="s">
        <v>276</v>
      </c>
      <c r="AU112" s="92" t="s">
        <v>183</v>
      </c>
      <c r="AV112" s="92" t="s">
        <v>149</v>
      </c>
      <c r="AW112" s="93">
        <v>2025</v>
      </c>
      <c r="AX112" s="93">
        <v>27</v>
      </c>
      <c r="AY112" s="93">
        <v>30</v>
      </c>
      <c r="AZ112" s="78" t="s">
        <v>322</v>
      </c>
    </row>
    <row r="113" spans="1:52" x14ac:dyDescent="0.25">
      <c r="A113" s="78" t="s">
        <v>1109</v>
      </c>
      <c r="B113" s="78" t="s">
        <v>971</v>
      </c>
      <c r="C113" s="79">
        <v>45846.447755046298</v>
      </c>
      <c r="D113" s="79">
        <v>45846.444835451388</v>
      </c>
      <c r="E113" s="79">
        <v>45846.444822557867</v>
      </c>
      <c r="F113" s="78" t="s">
        <v>972</v>
      </c>
      <c r="G113" s="78" t="s">
        <v>1113</v>
      </c>
      <c r="H113" s="87">
        <v>45839</v>
      </c>
      <c r="I113" s="85">
        <v>0.53263888888888888</v>
      </c>
      <c r="J113" s="88"/>
      <c r="K113" s="89"/>
      <c r="L113" s="87">
        <v>45839</v>
      </c>
      <c r="M113" s="85">
        <v>0.53378472222222217</v>
      </c>
      <c r="N113" s="78" t="s">
        <v>206</v>
      </c>
      <c r="O113" s="78" t="s">
        <v>726</v>
      </c>
      <c r="P113" s="78"/>
      <c r="Q113" s="78" t="s">
        <v>727</v>
      </c>
      <c r="R113" s="78" t="s">
        <v>270</v>
      </c>
      <c r="S113" s="80">
        <v>5</v>
      </c>
      <c r="T113" s="78" t="s">
        <v>1114</v>
      </c>
      <c r="U113" s="80"/>
      <c r="V113" s="80"/>
      <c r="W113" s="78"/>
      <c r="X113" s="78"/>
      <c r="Y113" s="78"/>
      <c r="Z113" s="78"/>
      <c r="AA113" s="78"/>
      <c r="AB113" s="78"/>
      <c r="AC113" s="78"/>
      <c r="AD113" s="78"/>
      <c r="AE113" s="78" t="s">
        <v>950</v>
      </c>
      <c r="AF113" s="78" t="s">
        <v>931</v>
      </c>
      <c r="AG113" s="78" t="s">
        <v>265</v>
      </c>
      <c r="AH113" s="78" t="s">
        <v>164</v>
      </c>
      <c r="AI113" s="78" t="s">
        <v>534</v>
      </c>
      <c r="AJ113" s="78" t="s">
        <v>301</v>
      </c>
      <c r="AK113" s="78"/>
      <c r="AL113" s="80">
        <v>9</v>
      </c>
      <c r="AM113" s="81">
        <v>45839</v>
      </c>
      <c r="AN113" s="82">
        <v>0.53263888888888888</v>
      </c>
      <c r="AO113" s="82">
        <v>0.5</v>
      </c>
      <c r="AP113" s="80" t="s">
        <v>146</v>
      </c>
      <c r="AQ113" s="78" t="s">
        <v>731</v>
      </c>
      <c r="AR113" s="80" t="s">
        <v>730</v>
      </c>
      <c r="AS113" s="93" t="s">
        <v>1015</v>
      </c>
      <c r="AT113" s="78" t="s">
        <v>146</v>
      </c>
      <c r="AU113" s="92" t="s">
        <v>148</v>
      </c>
      <c r="AV113" s="92" t="s">
        <v>1115</v>
      </c>
      <c r="AW113" s="93">
        <v>2025</v>
      </c>
      <c r="AX113" s="93">
        <v>27</v>
      </c>
      <c r="AY113" s="93">
        <v>1</v>
      </c>
      <c r="AZ113" s="78" t="s">
        <v>731</v>
      </c>
    </row>
    <row r="114" spans="1:52" x14ac:dyDescent="0.25">
      <c r="A114" s="78" t="s">
        <v>1109</v>
      </c>
      <c r="B114" s="78" t="s">
        <v>971</v>
      </c>
      <c r="C114" s="79">
        <v>45846.447755046298</v>
      </c>
      <c r="D114" s="79">
        <v>45846.444835451388</v>
      </c>
      <c r="E114" s="79">
        <v>45846.444822557867</v>
      </c>
      <c r="F114" s="78" t="s">
        <v>972</v>
      </c>
      <c r="G114" s="78" t="s">
        <v>1116</v>
      </c>
      <c r="H114" s="87">
        <v>45840</v>
      </c>
      <c r="I114" s="85">
        <v>0.48958333333333326</v>
      </c>
      <c r="J114" s="88">
        <v>45840</v>
      </c>
      <c r="K114" s="89">
        <v>0.58333333333333337</v>
      </c>
      <c r="L114" s="87">
        <v>45840</v>
      </c>
      <c r="M114" s="85">
        <v>0.819849537037037</v>
      </c>
      <c r="N114" s="78" t="s">
        <v>242</v>
      </c>
      <c r="O114" s="78"/>
      <c r="P114" s="78"/>
      <c r="Q114" s="78" t="s">
        <v>1117</v>
      </c>
      <c r="R114" s="78" t="s">
        <v>208</v>
      </c>
      <c r="S114" s="80">
        <v>8</v>
      </c>
      <c r="T114" s="78" t="s">
        <v>1118</v>
      </c>
      <c r="U114" s="80"/>
      <c r="V114" s="80"/>
      <c r="W114" s="78"/>
      <c r="X114" s="78"/>
      <c r="Y114" s="78"/>
      <c r="Z114" s="78"/>
      <c r="AA114" s="78"/>
      <c r="AB114" s="78"/>
      <c r="AC114" s="78"/>
      <c r="AD114" s="78"/>
      <c r="AE114" s="78" t="s">
        <v>946</v>
      </c>
      <c r="AF114" s="78" t="s">
        <v>931</v>
      </c>
      <c r="AG114" s="78" t="s">
        <v>210</v>
      </c>
      <c r="AH114" s="78" t="s">
        <v>211</v>
      </c>
      <c r="AI114" s="78" t="s">
        <v>350</v>
      </c>
      <c r="AJ114" s="78" t="s">
        <v>166</v>
      </c>
      <c r="AK114" s="78"/>
      <c r="AL114" s="80">
        <v>9</v>
      </c>
      <c r="AM114" s="81">
        <v>45840</v>
      </c>
      <c r="AN114" s="82">
        <v>0.48958333333333331</v>
      </c>
      <c r="AO114" s="82">
        <v>0.45833333333333331</v>
      </c>
      <c r="AP114" s="80" t="s">
        <v>276</v>
      </c>
      <c r="AQ114" s="78" t="s">
        <v>1119</v>
      </c>
      <c r="AR114" s="80" t="s">
        <v>242</v>
      </c>
      <c r="AS114" s="93" t="s">
        <v>1015</v>
      </c>
      <c r="AT114" s="78" t="s">
        <v>276</v>
      </c>
      <c r="AU114" s="92" t="s">
        <v>239</v>
      </c>
      <c r="AV114" s="92" t="s">
        <v>1115</v>
      </c>
      <c r="AW114" s="93">
        <v>2025</v>
      </c>
      <c r="AX114" s="93">
        <v>27</v>
      </c>
      <c r="AY114" s="93">
        <v>2</v>
      </c>
      <c r="AZ114" s="78" t="s">
        <v>1119</v>
      </c>
    </row>
    <row r="115" spans="1:52" x14ac:dyDescent="0.25">
      <c r="A115" s="78" t="s">
        <v>1109</v>
      </c>
      <c r="B115" s="78" t="s">
        <v>971</v>
      </c>
      <c r="C115" s="79">
        <v>45846.447755046298</v>
      </c>
      <c r="D115" s="79">
        <v>45846.444835451388</v>
      </c>
      <c r="E115" s="79">
        <v>45846.444822557867</v>
      </c>
      <c r="F115" s="78" t="s">
        <v>972</v>
      </c>
      <c r="G115" s="78" t="s">
        <v>1120</v>
      </c>
      <c r="H115" s="87">
        <v>45835</v>
      </c>
      <c r="I115" s="85">
        <v>0.39583333333333326</v>
      </c>
      <c r="J115" s="88">
        <v>45839</v>
      </c>
      <c r="K115" s="89">
        <v>0.75</v>
      </c>
      <c r="L115" s="87">
        <v>45841</v>
      </c>
      <c r="M115" s="85">
        <v>0.43170138888888887</v>
      </c>
      <c r="N115" s="78" t="s">
        <v>367</v>
      </c>
      <c r="O115" s="78" t="s">
        <v>295</v>
      </c>
      <c r="P115" s="78"/>
      <c r="Q115" s="78" t="s">
        <v>1121</v>
      </c>
      <c r="R115" s="78" t="s">
        <v>221</v>
      </c>
      <c r="S115" s="80">
        <v>9</v>
      </c>
      <c r="T115" s="78" t="s">
        <v>1122</v>
      </c>
      <c r="U115" s="80"/>
      <c r="V115" s="80"/>
      <c r="W115" s="78"/>
      <c r="X115" s="78"/>
      <c r="Y115" s="78"/>
      <c r="Z115" s="78"/>
      <c r="AA115" s="78"/>
      <c r="AB115" s="78"/>
      <c r="AC115" s="78"/>
      <c r="AD115" s="78"/>
      <c r="AE115" s="78" t="s">
        <v>943</v>
      </c>
      <c r="AF115" s="78" t="s">
        <v>931</v>
      </c>
      <c r="AG115" s="78" t="s">
        <v>787</v>
      </c>
      <c r="AH115" s="78" t="s">
        <v>542</v>
      </c>
      <c r="AI115" s="78" t="s">
        <v>275</v>
      </c>
      <c r="AJ115" s="78" t="s">
        <v>181</v>
      </c>
      <c r="AK115" s="78"/>
      <c r="AL115" s="80">
        <v>9</v>
      </c>
      <c r="AM115" s="81">
        <v>45835</v>
      </c>
      <c r="AN115" s="82">
        <v>0.39583333333333331</v>
      </c>
      <c r="AO115" s="82">
        <v>0.375</v>
      </c>
      <c r="AP115" s="80" t="s">
        <v>276</v>
      </c>
      <c r="AQ115" s="78" t="s">
        <v>230</v>
      </c>
      <c r="AR115" s="80" t="s">
        <v>1123</v>
      </c>
      <c r="AS115" s="93" t="s">
        <v>948</v>
      </c>
      <c r="AT115" s="78" t="s">
        <v>276</v>
      </c>
      <c r="AU115" s="92" t="s">
        <v>170</v>
      </c>
      <c r="AV115" s="92" t="s">
        <v>149</v>
      </c>
      <c r="AW115" s="93">
        <v>2025</v>
      </c>
      <c r="AX115" s="93">
        <v>26</v>
      </c>
      <c r="AY115" s="93">
        <v>27</v>
      </c>
      <c r="AZ115" s="78" t="s">
        <v>230</v>
      </c>
    </row>
    <row r="116" spans="1:52" x14ac:dyDescent="0.25">
      <c r="A116" s="78" t="s">
        <v>1109</v>
      </c>
      <c r="B116" s="78" t="s">
        <v>971</v>
      </c>
      <c r="C116" s="79">
        <v>45846.447755046298</v>
      </c>
      <c r="D116" s="79">
        <v>45846.444835451388</v>
      </c>
      <c r="E116" s="79">
        <v>45846.444822557867</v>
      </c>
      <c r="F116" s="78" t="s">
        <v>972</v>
      </c>
      <c r="G116" s="78" t="s">
        <v>1124</v>
      </c>
      <c r="H116" s="87">
        <v>45841</v>
      </c>
      <c r="I116" s="85">
        <v>0.625</v>
      </c>
      <c r="J116" s="88">
        <v>45841</v>
      </c>
      <c r="K116" s="89">
        <v>0.6875</v>
      </c>
      <c r="L116" s="87">
        <v>45841</v>
      </c>
      <c r="M116" s="85">
        <v>0.8992013888888889</v>
      </c>
      <c r="N116" s="78" t="s">
        <v>136</v>
      </c>
      <c r="O116" s="78" t="s">
        <v>189</v>
      </c>
      <c r="P116" s="78"/>
      <c r="Q116" s="78" t="s">
        <v>1125</v>
      </c>
      <c r="R116" s="78" t="s">
        <v>414</v>
      </c>
      <c r="S116" s="80">
        <v>7</v>
      </c>
      <c r="T116" s="78" t="s">
        <v>1126</v>
      </c>
      <c r="U116" s="80"/>
      <c r="V116" s="80"/>
      <c r="W116" s="78"/>
      <c r="X116" s="78"/>
      <c r="Y116" s="78"/>
      <c r="Z116" s="78"/>
      <c r="AA116" s="78"/>
      <c r="AB116" s="78"/>
      <c r="AC116" s="78"/>
      <c r="AD116" s="78"/>
      <c r="AE116" s="78" t="s">
        <v>989</v>
      </c>
      <c r="AF116" s="78" t="s">
        <v>931</v>
      </c>
      <c r="AG116" s="78" t="s">
        <v>1127</v>
      </c>
      <c r="AH116" s="78" t="s">
        <v>142</v>
      </c>
      <c r="AI116" s="78" t="s">
        <v>194</v>
      </c>
      <c r="AJ116" s="78" t="s">
        <v>283</v>
      </c>
      <c r="AK116" s="78"/>
      <c r="AL116" s="80">
        <v>9</v>
      </c>
      <c r="AM116" s="81">
        <v>45841</v>
      </c>
      <c r="AN116" s="82">
        <v>0.625</v>
      </c>
      <c r="AO116" s="82">
        <v>0.625</v>
      </c>
      <c r="AP116" s="80" t="s">
        <v>146</v>
      </c>
      <c r="AQ116" s="78" t="s">
        <v>1128</v>
      </c>
      <c r="AR116" s="80" t="s">
        <v>284</v>
      </c>
      <c r="AS116" s="93" t="s">
        <v>1015</v>
      </c>
      <c r="AT116" s="78" t="s">
        <v>146</v>
      </c>
      <c r="AU116" s="92" t="s">
        <v>247</v>
      </c>
      <c r="AV116" s="92" t="s">
        <v>1115</v>
      </c>
      <c r="AW116" s="93">
        <v>2025</v>
      </c>
      <c r="AX116" s="93">
        <v>27</v>
      </c>
      <c r="AY116" s="93">
        <v>3</v>
      </c>
      <c r="AZ116" s="78" t="s">
        <v>1128</v>
      </c>
    </row>
    <row r="117" spans="1:52" x14ac:dyDescent="0.25">
      <c r="A117" s="78" t="s">
        <v>1109</v>
      </c>
      <c r="B117" s="78" t="s">
        <v>971</v>
      </c>
      <c r="C117" s="79">
        <v>45846.447755046298</v>
      </c>
      <c r="D117" s="79">
        <v>45846.444835451388</v>
      </c>
      <c r="E117" s="79">
        <v>45846.444822557867</v>
      </c>
      <c r="F117" s="78" t="s">
        <v>972</v>
      </c>
      <c r="G117" s="78" t="s">
        <v>1129</v>
      </c>
      <c r="H117" s="87">
        <v>45845</v>
      </c>
      <c r="I117" s="85">
        <v>0.60763888888888884</v>
      </c>
      <c r="J117" s="88"/>
      <c r="K117" s="89"/>
      <c r="L117" s="87">
        <v>45845</v>
      </c>
      <c r="M117" s="85">
        <v>0.61127314814814815</v>
      </c>
      <c r="N117" s="78" t="s">
        <v>701</v>
      </c>
      <c r="O117" s="78" t="s">
        <v>206</v>
      </c>
      <c r="P117" s="78" t="s">
        <v>619</v>
      </c>
      <c r="Q117" s="78" t="s">
        <v>1130</v>
      </c>
      <c r="R117" s="78" t="s">
        <v>288</v>
      </c>
      <c r="S117" s="80">
        <v>5</v>
      </c>
      <c r="T117" s="78" t="s">
        <v>1131</v>
      </c>
      <c r="U117" s="80"/>
      <c r="V117" s="80"/>
      <c r="W117" s="78"/>
      <c r="X117" s="78"/>
      <c r="Y117" s="78"/>
      <c r="Z117" s="78"/>
      <c r="AA117" s="78"/>
      <c r="AB117" s="78"/>
      <c r="AC117" s="78"/>
      <c r="AD117" s="78"/>
      <c r="AE117" s="78" t="s">
        <v>930</v>
      </c>
      <c r="AF117" s="78" t="s">
        <v>931</v>
      </c>
      <c r="AG117" s="78" t="s">
        <v>454</v>
      </c>
      <c r="AH117" s="78" t="s">
        <v>328</v>
      </c>
      <c r="AI117" s="78" t="s">
        <v>350</v>
      </c>
      <c r="AJ117" s="78" t="s">
        <v>905</v>
      </c>
      <c r="AK117" s="78"/>
      <c r="AL117" s="80">
        <v>9</v>
      </c>
      <c r="AM117" s="81">
        <v>45845</v>
      </c>
      <c r="AN117" s="82">
        <v>0.60763888888888884</v>
      </c>
      <c r="AO117" s="82">
        <v>0.58333333333333337</v>
      </c>
      <c r="AP117" s="80" t="s">
        <v>146</v>
      </c>
      <c r="AQ117" s="78" t="s">
        <v>1132</v>
      </c>
      <c r="AR117" s="80" t="s">
        <v>1133</v>
      </c>
      <c r="AS117" s="93" t="s">
        <v>1015</v>
      </c>
      <c r="AT117" s="78" t="s">
        <v>146</v>
      </c>
      <c r="AU117" s="92" t="s">
        <v>183</v>
      </c>
      <c r="AV117" s="92" t="s">
        <v>1115</v>
      </c>
      <c r="AW117" s="93">
        <v>2025</v>
      </c>
      <c r="AX117" s="93">
        <v>28</v>
      </c>
      <c r="AY117" s="93">
        <v>7</v>
      </c>
      <c r="AZ117" s="78" t="s">
        <v>1132</v>
      </c>
    </row>
  </sheetData>
  <conditionalFormatting sqref="A2:AZ117">
    <cfRule type="expression" dxfId="97" priority="1" stopIfTrue="1">
      <formula>$AS2="7-Day"</formula>
    </cfRule>
    <cfRule type="expression" dxfId="96" priority="2" stopIfTrue="1">
      <formula>$AS2="28-Day"</formula>
    </cfRule>
    <cfRule type="expression" dxfId="95" priority="3" stopIfTrue="1">
      <formula>$AS2="YTD"</formula>
    </cfRule>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7A332-BEDD-4000-B012-BC83C88CBDEF}">
  <sheetPr codeName="Sheet39">
    <tabColor rgb="FFFFC000"/>
  </sheetPr>
  <dimension ref="A1:AM29"/>
  <sheetViews>
    <sheetView workbookViewId="0">
      <selection sqref="A1:AM29"/>
    </sheetView>
  </sheetViews>
  <sheetFormatPr defaultRowHeight="15" x14ac:dyDescent="0.25"/>
  <cols>
    <col min="1" max="1" width="15.140625" bestFit="1" customWidth="1"/>
    <col min="2" max="2" width="14.7109375" style="1"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27.28515625" bestFit="1" customWidth="1"/>
    <col min="9" max="9" width="34.5703125" bestFit="1" customWidth="1"/>
    <col min="10" max="10" width="27.28515625" bestFit="1" customWidth="1"/>
    <col min="11" max="11" width="58"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710937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7.140625" bestFit="1" customWidth="1"/>
    <col min="28" max="28" width="8.7109375" bestFit="1" customWidth="1"/>
    <col min="29" max="29" width="26.85546875" bestFit="1" customWidth="1"/>
    <col min="30" max="30" width="29.140625" bestFit="1" customWidth="1"/>
    <col min="31" max="31" width="26.42578125" bestFit="1" customWidth="1"/>
    <col min="32" max="32" width="21" bestFit="1" customWidth="1"/>
    <col min="33" max="33" width="15.140625" bestFit="1" customWidth="1"/>
    <col min="34" max="34" width="11.5703125" bestFit="1" customWidth="1"/>
    <col min="35" max="35" width="13.85546875" bestFit="1" customWidth="1"/>
    <col min="36" max="36" width="25.7109375" bestFit="1" customWidth="1"/>
    <col min="37" max="37" width="46.42578125" bestFit="1" customWidth="1"/>
    <col min="38" max="38" width="75.5703125" bestFit="1" customWidth="1"/>
    <col min="39" max="39" width="9.14062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31.85546875" bestFit="1" customWidth="1"/>
    <col min="53" max="53" width="48" bestFit="1" customWidth="1"/>
    <col min="54" max="54" width="6" bestFit="1" customWidth="1"/>
    <col min="55" max="55" width="8.5703125" bestFit="1" customWidth="1"/>
    <col min="56" max="56" width="15.7109375" bestFit="1" customWidth="1"/>
    <col min="57" max="57" width="10.140625" bestFit="1" customWidth="1"/>
    <col min="58" max="58" width="26.42578125" bestFit="1" customWidth="1"/>
    <col min="59" max="59" width="16.5703125" bestFit="1" customWidth="1"/>
    <col min="60" max="62" width="25.7109375" bestFit="1" customWidth="1"/>
    <col min="63" max="63" width="12" bestFit="1" customWidth="1"/>
    <col min="64" max="64" width="25.7109375" bestFit="1" customWidth="1"/>
    <col min="65" max="65" width="52.42578125" bestFit="1" customWidth="1"/>
  </cols>
  <sheetData>
    <row r="1" spans="1:39" x14ac:dyDescent="0.25">
      <c r="A1" t="s">
        <v>93</v>
      </c>
      <c r="B1" s="1" t="s">
        <v>94</v>
      </c>
      <c r="C1" t="s">
        <v>95</v>
      </c>
      <c r="D1" t="s">
        <v>911</v>
      </c>
      <c r="E1" t="s">
        <v>912</v>
      </c>
      <c r="F1" t="s">
        <v>913</v>
      </c>
      <c r="G1" t="s">
        <v>914</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915</v>
      </c>
      <c r="AA1" t="s">
        <v>114</v>
      </c>
      <c r="AB1" t="s">
        <v>115</v>
      </c>
      <c r="AC1" t="s">
        <v>116</v>
      </c>
      <c r="AD1" t="s">
        <v>117</v>
      </c>
      <c r="AE1" t="s">
        <v>118</v>
      </c>
      <c r="AF1" t="s">
        <v>1016</v>
      </c>
      <c r="AG1" t="s">
        <v>2</v>
      </c>
      <c r="AH1" t="s">
        <v>120</v>
      </c>
      <c r="AI1" t="s">
        <v>121</v>
      </c>
      <c r="AJ1" t="s">
        <v>122</v>
      </c>
      <c r="AK1" t="s">
        <v>1</v>
      </c>
      <c r="AL1" t="s">
        <v>123</v>
      </c>
      <c r="AM1" t="s">
        <v>124</v>
      </c>
    </row>
    <row r="2" spans="1:39" x14ac:dyDescent="0.25">
      <c r="A2" t="s">
        <v>153</v>
      </c>
      <c r="B2" s="1">
        <v>45660</v>
      </c>
      <c r="C2" s="13">
        <v>0.89583333333333337</v>
      </c>
      <c r="D2" s="1">
        <v>45661</v>
      </c>
      <c r="E2" s="13">
        <v>0.2673611111111111</v>
      </c>
      <c r="F2" s="1">
        <v>45661</v>
      </c>
      <c r="G2" s="13">
        <v>0.45774305555555556</v>
      </c>
      <c r="H2" t="s">
        <v>154</v>
      </c>
      <c r="K2" t="s">
        <v>155</v>
      </c>
      <c r="L2" t="s">
        <v>156</v>
      </c>
      <c r="M2">
        <v>9</v>
      </c>
      <c r="N2" t="s">
        <v>157</v>
      </c>
      <c r="Q2" t="s">
        <v>973</v>
      </c>
      <c r="R2" t="s">
        <v>942</v>
      </c>
      <c r="S2" t="s">
        <v>160</v>
      </c>
      <c r="T2" t="s">
        <v>161</v>
      </c>
      <c r="Y2" t="s">
        <v>950</v>
      </c>
      <c r="Z2" t="s">
        <v>931</v>
      </c>
      <c r="AA2" t="s">
        <v>163</v>
      </c>
      <c r="AB2" t="s">
        <v>164</v>
      </c>
      <c r="AC2" t="s">
        <v>165</v>
      </c>
      <c r="AD2" t="s">
        <v>166</v>
      </c>
      <c r="AE2" t="s">
        <v>167</v>
      </c>
      <c r="AF2">
        <v>9</v>
      </c>
      <c r="AG2" s="1">
        <v>45660</v>
      </c>
      <c r="AH2" s="13">
        <v>0.89583333333333337</v>
      </c>
      <c r="AI2" s="13">
        <v>0.875</v>
      </c>
      <c r="AJ2" t="s">
        <v>168</v>
      </c>
      <c r="AK2" t="s">
        <v>172</v>
      </c>
      <c r="AL2" t="s">
        <v>154</v>
      </c>
      <c r="AM2" t="s">
        <v>169</v>
      </c>
    </row>
    <row r="3" spans="1:39" x14ac:dyDescent="0.25">
      <c r="A3" t="s">
        <v>232</v>
      </c>
      <c r="B3" s="1">
        <v>45672</v>
      </c>
      <c r="C3" s="13">
        <v>0.53988425925925931</v>
      </c>
      <c r="D3" s="1"/>
      <c r="E3" s="13"/>
      <c r="F3" s="1">
        <v>45672</v>
      </c>
      <c r="G3" s="13">
        <v>0.53988425925925931</v>
      </c>
      <c r="H3" t="s">
        <v>154</v>
      </c>
      <c r="K3" t="s">
        <v>233</v>
      </c>
      <c r="L3" t="s">
        <v>208</v>
      </c>
      <c r="M3">
        <v>8</v>
      </c>
      <c r="N3" t="s">
        <v>234</v>
      </c>
      <c r="Q3" t="s">
        <v>235</v>
      </c>
      <c r="R3" t="s">
        <v>942</v>
      </c>
      <c r="S3" t="s">
        <v>236</v>
      </c>
      <c r="T3" t="s">
        <v>161</v>
      </c>
      <c r="Y3" t="s">
        <v>953</v>
      </c>
      <c r="Z3" t="s">
        <v>931</v>
      </c>
      <c r="AA3" t="s">
        <v>237</v>
      </c>
      <c r="AB3" t="s">
        <v>238</v>
      </c>
      <c r="AC3" t="s">
        <v>180</v>
      </c>
      <c r="AD3" t="s">
        <v>166</v>
      </c>
      <c r="AE3" t="s">
        <v>167</v>
      </c>
      <c r="AF3">
        <v>9</v>
      </c>
      <c r="AG3" s="1">
        <v>45672</v>
      </c>
      <c r="AH3" s="13">
        <v>0.53988425925925931</v>
      </c>
      <c r="AI3" s="13">
        <v>0.5</v>
      </c>
      <c r="AJ3" t="s">
        <v>146</v>
      </c>
      <c r="AK3" t="s">
        <v>240</v>
      </c>
      <c r="AL3" t="s">
        <v>154</v>
      </c>
      <c r="AM3" t="s">
        <v>169</v>
      </c>
    </row>
    <row r="4" spans="1:39" x14ac:dyDescent="0.25">
      <c r="A4" t="s">
        <v>259</v>
      </c>
      <c r="B4" s="1">
        <v>45678</v>
      </c>
      <c r="C4" s="13">
        <v>0.79166666666666663</v>
      </c>
      <c r="D4" s="1">
        <v>45679</v>
      </c>
      <c r="E4" s="13">
        <v>0.13125000000000001</v>
      </c>
      <c r="F4" s="1">
        <v>45679</v>
      </c>
      <c r="G4" s="13">
        <v>0.13255787037037037</v>
      </c>
      <c r="H4" t="s">
        <v>154</v>
      </c>
      <c r="K4" t="s">
        <v>260</v>
      </c>
      <c r="L4" t="s">
        <v>251</v>
      </c>
      <c r="M4">
        <v>9</v>
      </c>
      <c r="N4" t="s">
        <v>261</v>
      </c>
      <c r="Q4" t="s">
        <v>262</v>
      </c>
      <c r="R4" t="s">
        <v>159</v>
      </c>
      <c r="S4" t="s">
        <v>263</v>
      </c>
      <c r="T4" t="s">
        <v>161</v>
      </c>
      <c r="Y4" t="s">
        <v>964</v>
      </c>
      <c r="Z4" t="s">
        <v>931</v>
      </c>
      <c r="AA4" t="s">
        <v>265</v>
      </c>
      <c r="AB4" t="s">
        <v>164</v>
      </c>
      <c r="AC4" t="s">
        <v>228</v>
      </c>
      <c r="AD4" t="s">
        <v>166</v>
      </c>
      <c r="AE4" t="s">
        <v>167</v>
      </c>
      <c r="AF4">
        <v>9</v>
      </c>
      <c r="AG4" s="1">
        <v>45678</v>
      </c>
      <c r="AH4" s="13">
        <v>0.79166666666666663</v>
      </c>
      <c r="AI4" s="13">
        <v>0.79166666666666663</v>
      </c>
      <c r="AJ4" t="s">
        <v>266</v>
      </c>
      <c r="AK4" t="s">
        <v>267</v>
      </c>
      <c r="AL4" t="s">
        <v>154</v>
      </c>
      <c r="AM4" t="s">
        <v>169</v>
      </c>
    </row>
    <row r="5" spans="1:39" x14ac:dyDescent="0.25">
      <c r="A5" t="s">
        <v>268</v>
      </c>
      <c r="B5" s="1">
        <v>45679</v>
      </c>
      <c r="C5" s="13">
        <v>0.33333333333333331</v>
      </c>
      <c r="D5" s="1">
        <v>45679</v>
      </c>
      <c r="E5" s="13">
        <v>0.80069444444444449</v>
      </c>
      <c r="F5" s="1">
        <v>45679</v>
      </c>
      <c r="G5" s="13">
        <v>0.80203703703703699</v>
      </c>
      <c r="H5" t="s">
        <v>154</v>
      </c>
      <c r="K5" t="s">
        <v>269</v>
      </c>
      <c r="L5" t="s">
        <v>270</v>
      </c>
      <c r="M5">
        <v>5</v>
      </c>
      <c r="N5" t="s">
        <v>271</v>
      </c>
      <c r="Q5" t="s">
        <v>272</v>
      </c>
      <c r="R5" t="s">
        <v>947</v>
      </c>
      <c r="S5" t="s">
        <v>274</v>
      </c>
      <c r="T5" t="s">
        <v>161</v>
      </c>
      <c r="Y5" t="s">
        <v>953</v>
      </c>
      <c r="Z5" t="s">
        <v>931</v>
      </c>
      <c r="AA5" t="s">
        <v>265</v>
      </c>
      <c r="AB5" t="s">
        <v>164</v>
      </c>
      <c r="AC5" t="s">
        <v>275</v>
      </c>
      <c r="AD5" t="s">
        <v>166</v>
      </c>
      <c r="AE5" t="s">
        <v>167</v>
      </c>
      <c r="AF5">
        <v>9</v>
      </c>
      <c r="AG5" s="1">
        <v>45679</v>
      </c>
      <c r="AH5" s="13">
        <v>0.33333333333333331</v>
      </c>
      <c r="AI5" s="13">
        <v>0.33333333333333331</v>
      </c>
      <c r="AJ5" t="s">
        <v>276</v>
      </c>
      <c r="AK5" t="s">
        <v>277</v>
      </c>
      <c r="AL5" t="s">
        <v>154</v>
      </c>
      <c r="AM5" t="s">
        <v>169</v>
      </c>
    </row>
    <row r="6" spans="1:39" x14ac:dyDescent="0.25">
      <c r="A6" t="s">
        <v>313</v>
      </c>
      <c r="B6" s="1">
        <v>45685</v>
      </c>
      <c r="C6" s="13">
        <v>0.625</v>
      </c>
      <c r="D6" s="1">
        <v>45686</v>
      </c>
      <c r="E6" s="13">
        <v>0.91736111111111107</v>
      </c>
      <c r="F6" s="1">
        <v>45686</v>
      </c>
      <c r="G6" s="13">
        <v>0.91833333333333333</v>
      </c>
      <c r="H6" t="s">
        <v>154</v>
      </c>
      <c r="I6" t="s">
        <v>295</v>
      </c>
      <c r="K6" t="s">
        <v>314</v>
      </c>
      <c r="L6" t="s">
        <v>315</v>
      </c>
      <c r="M6">
        <v>6</v>
      </c>
      <c r="N6" t="s">
        <v>316</v>
      </c>
      <c r="Q6" t="s">
        <v>977</v>
      </c>
      <c r="R6" t="s">
        <v>978</v>
      </c>
      <c r="S6" t="s">
        <v>319</v>
      </c>
      <c r="T6" t="s">
        <v>161</v>
      </c>
      <c r="Y6" t="s">
        <v>979</v>
      </c>
      <c r="Z6" t="s">
        <v>931</v>
      </c>
      <c r="AA6" t="s">
        <v>265</v>
      </c>
      <c r="AB6" t="s">
        <v>164</v>
      </c>
      <c r="AC6" t="s">
        <v>180</v>
      </c>
      <c r="AD6" t="s">
        <v>320</v>
      </c>
      <c r="AE6" t="s">
        <v>167</v>
      </c>
      <c r="AF6">
        <v>9</v>
      </c>
      <c r="AG6" s="1">
        <v>45685</v>
      </c>
      <c r="AH6" s="13">
        <v>0.625</v>
      </c>
      <c r="AI6" s="13">
        <v>0.625</v>
      </c>
      <c r="AJ6" t="s">
        <v>146</v>
      </c>
      <c r="AK6" t="s">
        <v>322</v>
      </c>
      <c r="AL6" t="s">
        <v>321</v>
      </c>
      <c r="AM6" t="s">
        <v>169</v>
      </c>
    </row>
    <row r="7" spans="1:39" x14ac:dyDescent="0.25">
      <c r="A7" t="s">
        <v>336</v>
      </c>
      <c r="B7" s="1">
        <v>45689</v>
      </c>
      <c r="C7" s="13">
        <v>4.1666666666666664E-2</v>
      </c>
      <c r="D7" s="1"/>
      <c r="E7" s="13">
        <v>0.10416666666666667</v>
      </c>
      <c r="F7" s="1">
        <v>45689</v>
      </c>
      <c r="G7" s="13">
        <v>0.11982638888888889</v>
      </c>
      <c r="H7" t="s">
        <v>154</v>
      </c>
      <c r="K7" t="s">
        <v>337</v>
      </c>
      <c r="L7" t="s">
        <v>338</v>
      </c>
      <c r="M7">
        <v>6</v>
      </c>
      <c r="N7" t="s">
        <v>339</v>
      </c>
      <c r="Q7" t="s">
        <v>980</v>
      </c>
      <c r="R7" t="s">
        <v>981</v>
      </c>
      <c r="S7" t="s">
        <v>342</v>
      </c>
      <c r="T7" t="s">
        <v>161</v>
      </c>
      <c r="Y7" t="s">
        <v>953</v>
      </c>
      <c r="Z7" t="s">
        <v>931</v>
      </c>
      <c r="AA7" t="s">
        <v>265</v>
      </c>
      <c r="AB7" t="s">
        <v>164</v>
      </c>
      <c r="AC7" t="s">
        <v>275</v>
      </c>
      <c r="AD7" t="s">
        <v>166</v>
      </c>
      <c r="AE7" t="s">
        <v>167</v>
      </c>
      <c r="AF7">
        <v>9</v>
      </c>
      <c r="AG7" s="1">
        <v>45689</v>
      </c>
      <c r="AH7" s="13">
        <v>4.1666666666666664E-2</v>
      </c>
      <c r="AI7" s="13">
        <v>4.1666666666666664E-2</v>
      </c>
      <c r="AJ7" t="s">
        <v>343</v>
      </c>
      <c r="AK7" t="s">
        <v>345</v>
      </c>
      <c r="AL7" t="s">
        <v>154</v>
      </c>
      <c r="AM7" t="s">
        <v>169</v>
      </c>
    </row>
    <row r="8" spans="1:39" x14ac:dyDescent="0.25">
      <c r="A8" t="s">
        <v>356</v>
      </c>
      <c r="B8" s="1">
        <v>45691</v>
      </c>
      <c r="C8" s="13">
        <v>0.77083333333333337</v>
      </c>
      <c r="D8" s="1">
        <v>45692</v>
      </c>
      <c r="E8" s="13">
        <v>0.79166666666666663</v>
      </c>
      <c r="F8" s="1">
        <v>45692</v>
      </c>
      <c r="G8" s="13">
        <v>0.53023148148148147</v>
      </c>
      <c r="H8" t="s">
        <v>154</v>
      </c>
      <c r="K8" t="s">
        <v>357</v>
      </c>
      <c r="L8" t="s">
        <v>358</v>
      </c>
      <c r="M8">
        <v>8</v>
      </c>
      <c r="N8" t="s">
        <v>359</v>
      </c>
      <c r="Q8" t="s">
        <v>982</v>
      </c>
      <c r="R8" t="s">
        <v>361</v>
      </c>
      <c r="S8" t="s">
        <v>983</v>
      </c>
      <c r="T8" t="s">
        <v>363</v>
      </c>
      <c r="Y8" t="s">
        <v>934</v>
      </c>
      <c r="Z8" t="s">
        <v>931</v>
      </c>
      <c r="AA8" t="s">
        <v>309</v>
      </c>
      <c r="AB8" t="s">
        <v>142</v>
      </c>
      <c r="AC8" t="s">
        <v>180</v>
      </c>
      <c r="AD8" t="s">
        <v>364</v>
      </c>
      <c r="AE8" t="s">
        <v>167</v>
      </c>
      <c r="AF8">
        <v>9</v>
      </c>
      <c r="AG8" s="1">
        <v>45691</v>
      </c>
      <c r="AH8" s="13">
        <v>0.77083333333333337</v>
      </c>
      <c r="AI8" s="13">
        <v>0.75</v>
      </c>
      <c r="AJ8" t="s">
        <v>266</v>
      </c>
      <c r="AK8" t="s">
        <v>365</v>
      </c>
      <c r="AL8" t="s">
        <v>154</v>
      </c>
      <c r="AM8" t="s">
        <v>169</v>
      </c>
    </row>
    <row r="9" spans="1:39" x14ac:dyDescent="0.25">
      <c r="A9" t="s">
        <v>376</v>
      </c>
      <c r="B9" s="1">
        <v>45695</v>
      </c>
      <c r="C9" s="13">
        <v>0.27430555555555558</v>
      </c>
      <c r="D9" s="1">
        <v>45695</v>
      </c>
      <c r="E9" s="13">
        <v>0.28472222222222221</v>
      </c>
      <c r="F9" s="1">
        <v>45695</v>
      </c>
      <c r="G9" s="13">
        <v>0.30738425925925927</v>
      </c>
      <c r="H9" t="s">
        <v>154</v>
      </c>
      <c r="K9" t="s">
        <v>377</v>
      </c>
      <c r="L9" t="s">
        <v>378</v>
      </c>
      <c r="M9">
        <v>5</v>
      </c>
      <c r="N9" t="s">
        <v>379</v>
      </c>
      <c r="Q9" t="s">
        <v>984</v>
      </c>
      <c r="R9" t="s">
        <v>985</v>
      </c>
      <c r="S9" t="s">
        <v>382</v>
      </c>
      <c r="T9" t="s">
        <v>161</v>
      </c>
      <c r="Y9" t="s">
        <v>953</v>
      </c>
      <c r="Z9" t="s">
        <v>931</v>
      </c>
      <c r="AA9" t="s">
        <v>383</v>
      </c>
      <c r="AB9" t="s">
        <v>384</v>
      </c>
      <c r="AC9" t="s">
        <v>350</v>
      </c>
      <c r="AD9" t="s">
        <v>301</v>
      </c>
      <c r="AE9" t="s">
        <v>167</v>
      </c>
      <c r="AF9">
        <v>9</v>
      </c>
      <c r="AG9" s="1">
        <v>45695</v>
      </c>
      <c r="AH9" s="13">
        <v>0.27430555555555558</v>
      </c>
      <c r="AI9" s="13">
        <v>0.25</v>
      </c>
      <c r="AJ9" t="s">
        <v>385</v>
      </c>
      <c r="AK9" t="s">
        <v>352</v>
      </c>
      <c r="AL9" t="s">
        <v>154</v>
      </c>
      <c r="AM9" t="s">
        <v>169</v>
      </c>
    </row>
    <row r="10" spans="1:39" x14ac:dyDescent="0.25">
      <c r="A10" t="s">
        <v>330</v>
      </c>
      <c r="B10" s="1">
        <v>45688</v>
      </c>
      <c r="C10" s="13">
        <v>0.5</v>
      </c>
      <c r="D10" s="1">
        <v>45695</v>
      </c>
      <c r="E10" s="13">
        <v>0.54166666666666663</v>
      </c>
      <c r="F10" s="1">
        <v>45696</v>
      </c>
      <c r="G10" s="13">
        <v>0.3903240740740741</v>
      </c>
      <c r="H10" t="s">
        <v>154</v>
      </c>
      <c r="K10" t="s">
        <v>331</v>
      </c>
      <c r="L10" t="s">
        <v>270</v>
      </c>
      <c r="M10">
        <v>5</v>
      </c>
      <c r="N10" t="s">
        <v>332</v>
      </c>
      <c r="Q10" t="s">
        <v>986</v>
      </c>
      <c r="S10" t="s">
        <v>236</v>
      </c>
      <c r="T10" t="s">
        <v>976</v>
      </c>
      <c r="Y10" t="s">
        <v>953</v>
      </c>
      <c r="Z10" t="s">
        <v>931</v>
      </c>
      <c r="AA10" t="s">
        <v>334</v>
      </c>
      <c r="AB10" t="s">
        <v>164</v>
      </c>
      <c r="AC10" t="s">
        <v>310</v>
      </c>
      <c r="AD10" t="s">
        <v>166</v>
      </c>
      <c r="AE10" t="s">
        <v>167</v>
      </c>
      <c r="AF10">
        <v>9</v>
      </c>
      <c r="AG10" s="1">
        <v>45688</v>
      </c>
      <c r="AH10" s="13">
        <v>0.5</v>
      </c>
      <c r="AI10" s="13">
        <v>0.5</v>
      </c>
      <c r="AJ10" t="s">
        <v>146</v>
      </c>
      <c r="AK10" t="s">
        <v>335</v>
      </c>
      <c r="AL10" t="s">
        <v>154</v>
      </c>
      <c r="AM10" t="s">
        <v>169</v>
      </c>
    </row>
    <row r="11" spans="1:39" x14ac:dyDescent="0.25">
      <c r="A11" t="s">
        <v>405</v>
      </c>
      <c r="B11" s="1">
        <v>45705</v>
      </c>
      <c r="C11" s="13">
        <v>0.34877314814814814</v>
      </c>
      <c r="D11" s="1"/>
      <c r="E11" s="13"/>
      <c r="F11" s="1">
        <v>45705</v>
      </c>
      <c r="G11" s="13">
        <v>0.34877314814814814</v>
      </c>
      <c r="H11" t="s">
        <v>154</v>
      </c>
      <c r="I11" t="s">
        <v>406</v>
      </c>
      <c r="K11" t="s">
        <v>407</v>
      </c>
      <c r="L11" t="s">
        <v>191</v>
      </c>
      <c r="M11">
        <v>7</v>
      </c>
      <c r="N11" t="s">
        <v>408</v>
      </c>
      <c r="Q11" t="s">
        <v>987</v>
      </c>
      <c r="R11" t="s">
        <v>942</v>
      </c>
      <c r="S11" t="s">
        <v>160</v>
      </c>
      <c r="T11" t="s">
        <v>161</v>
      </c>
      <c r="Y11" t="s">
        <v>934</v>
      </c>
      <c r="Z11" t="s">
        <v>931</v>
      </c>
      <c r="AA11" t="s">
        <v>179</v>
      </c>
      <c r="AB11" t="s">
        <v>142</v>
      </c>
      <c r="AC11" t="s">
        <v>275</v>
      </c>
      <c r="AD11" t="s">
        <v>166</v>
      </c>
      <c r="AE11" t="s">
        <v>167</v>
      </c>
      <c r="AF11">
        <v>9</v>
      </c>
      <c r="AG11" s="1">
        <v>45705</v>
      </c>
      <c r="AH11" s="13">
        <v>0.34877314814814814</v>
      </c>
      <c r="AI11" s="13">
        <v>0.33333333333333331</v>
      </c>
      <c r="AJ11" t="s">
        <v>276</v>
      </c>
      <c r="AK11" t="s">
        <v>411</v>
      </c>
      <c r="AL11" t="s">
        <v>410</v>
      </c>
      <c r="AM11" t="s">
        <v>169</v>
      </c>
    </row>
    <row r="12" spans="1:39" x14ac:dyDescent="0.25">
      <c r="A12" t="s">
        <v>412</v>
      </c>
      <c r="B12" s="1">
        <v>45705</v>
      </c>
      <c r="C12" s="13">
        <v>0.39716435185185184</v>
      </c>
      <c r="D12" s="1"/>
      <c r="E12" s="13"/>
      <c r="F12" s="1">
        <v>45705</v>
      </c>
      <c r="G12" s="13">
        <v>0.39716435185185184</v>
      </c>
      <c r="H12" t="s">
        <v>154</v>
      </c>
      <c r="K12" t="s">
        <v>413</v>
      </c>
      <c r="L12" t="s">
        <v>414</v>
      </c>
      <c r="M12">
        <v>7</v>
      </c>
      <c r="N12" t="s">
        <v>415</v>
      </c>
      <c r="Q12" t="s">
        <v>988</v>
      </c>
      <c r="R12" t="s">
        <v>942</v>
      </c>
      <c r="S12" t="s">
        <v>160</v>
      </c>
      <c r="T12" t="s">
        <v>976</v>
      </c>
      <c r="Y12" t="s">
        <v>934</v>
      </c>
      <c r="Z12" t="s">
        <v>931</v>
      </c>
      <c r="AA12" t="s">
        <v>417</v>
      </c>
      <c r="AB12" t="s">
        <v>142</v>
      </c>
      <c r="AC12" t="s">
        <v>275</v>
      </c>
      <c r="AD12" t="s">
        <v>166</v>
      </c>
      <c r="AE12" t="s">
        <v>167</v>
      </c>
      <c r="AF12">
        <v>9</v>
      </c>
      <c r="AG12" s="1">
        <v>45705</v>
      </c>
      <c r="AH12" s="13">
        <v>0.39716435185185184</v>
      </c>
      <c r="AI12" s="13">
        <v>0.375</v>
      </c>
      <c r="AJ12" t="s">
        <v>276</v>
      </c>
      <c r="AK12" t="s">
        <v>184</v>
      </c>
      <c r="AL12" t="s">
        <v>154</v>
      </c>
      <c r="AM12" t="s">
        <v>169</v>
      </c>
    </row>
    <row r="13" spans="1:39" x14ac:dyDescent="0.25">
      <c r="A13" t="s">
        <v>429</v>
      </c>
      <c r="B13" s="1">
        <v>45713</v>
      </c>
      <c r="C13" s="13">
        <v>0.41666666666666669</v>
      </c>
      <c r="D13" s="1">
        <v>45713</v>
      </c>
      <c r="E13" s="13">
        <v>0.95833333333333337</v>
      </c>
      <c r="F13" s="1">
        <v>45712</v>
      </c>
      <c r="G13" s="13">
        <v>0.99136574074074069</v>
      </c>
      <c r="H13" t="s">
        <v>154</v>
      </c>
      <c r="K13" t="s">
        <v>430</v>
      </c>
      <c r="L13" t="s">
        <v>270</v>
      </c>
      <c r="M13">
        <v>5</v>
      </c>
      <c r="N13" t="s">
        <v>431</v>
      </c>
      <c r="Q13" t="s">
        <v>432</v>
      </c>
      <c r="R13" t="s">
        <v>942</v>
      </c>
      <c r="S13" t="s">
        <v>433</v>
      </c>
      <c r="T13" t="s">
        <v>434</v>
      </c>
      <c r="Y13" t="s">
        <v>950</v>
      </c>
      <c r="Z13" t="s">
        <v>931</v>
      </c>
      <c r="AA13" t="s">
        <v>327</v>
      </c>
      <c r="AB13" t="s">
        <v>328</v>
      </c>
      <c r="AC13" t="s">
        <v>228</v>
      </c>
      <c r="AD13" t="s">
        <v>435</v>
      </c>
      <c r="AE13" t="s">
        <v>167</v>
      </c>
      <c r="AF13">
        <v>9</v>
      </c>
      <c r="AG13" s="1">
        <v>45713</v>
      </c>
      <c r="AH13" s="13">
        <v>0.41666666666666669</v>
      </c>
      <c r="AI13" s="13">
        <v>0.41666666666666669</v>
      </c>
      <c r="AJ13" t="s">
        <v>276</v>
      </c>
      <c r="AK13" t="s">
        <v>436</v>
      </c>
      <c r="AL13" t="s">
        <v>154</v>
      </c>
      <c r="AM13" t="s">
        <v>169</v>
      </c>
    </row>
    <row r="14" spans="1:39" x14ac:dyDescent="0.25">
      <c r="A14" t="s">
        <v>499</v>
      </c>
      <c r="B14" s="1">
        <v>45737</v>
      </c>
      <c r="C14" s="13">
        <v>0.32500000000000001</v>
      </c>
      <c r="D14" s="1"/>
      <c r="E14" s="13"/>
      <c r="F14" s="1">
        <v>45737</v>
      </c>
      <c r="G14" s="13">
        <v>0.59714120370370372</v>
      </c>
      <c r="H14" t="s">
        <v>154</v>
      </c>
      <c r="K14" t="s">
        <v>500</v>
      </c>
      <c r="L14" t="s">
        <v>315</v>
      </c>
      <c r="M14">
        <v>6</v>
      </c>
      <c r="N14" t="s">
        <v>501</v>
      </c>
      <c r="Q14" t="s">
        <v>502</v>
      </c>
      <c r="R14" t="s">
        <v>991</v>
      </c>
      <c r="T14" t="s">
        <v>161</v>
      </c>
      <c r="Y14" t="s">
        <v>989</v>
      </c>
      <c r="Z14" t="s">
        <v>931</v>
      </c>
      <c r="AA14" t="s">
        <v>291</v>
      </c>
      <c r="AB14" t="s">
        <v>256</v>
      </c>
      <c r="AC14" t="s">
        <v>372</v>
      </c>
      <c r="AD14" t="s">
        <v>320</v>
      </c>
      <c r="AE14" t="s">
        <v>167</v>
      </c>
      <c r="AF14">
        <v>9</v>
      </c>
      <c r="AG14" s="1">
        <v>45737</v>
      </c>
      <c r="AH14" s="13">
        <v>0.32500000000000001</v>
      </c>
      <c r="AI14" s="13">
        <v>0.29166666666666669</v>
      </c>
      <c r="AJ14" t="s">
        <v>385</v>
      </c>
      <c r="AK14" t="s">
        <v>504</v>
      </c>
      <c r="AL14" t="s">
        <v>154</v>
      </c>
      <c r="AM14" t="s">
        <v>169</v>
      </c>
    </row>
    <row r="15" spans="1:39" x14ac:dyDescent="0.25">
      <c r="A15" t="s">
        <v>535</v>
      </c>
      <c r="B15" s="1">
        <v>45744</v>
      </c>
      <c r="C15" s="13">
        <v>0.85416666666666663</v>
      </c>
      <c r="D15" s="1">
        <v>45745</v>
      </c>
      <c r="E15" s="13">
        <v>0.41666666666666669</v>
      </c>
      <c r="F15" s="1">
        <v>45745</v>
      </c>
      <c r="G15" s="13">
        <v>0.42986111111111114</v>
      </c>
      <c r="H15" t="s">
        <v>154</v>
      </c>
      <c r="K15" t="s">
        <v>536</v>
      </c>
      <c r="L15" t="s">
        <v>425</v>
      </c>
      <c r="M15">
        <v>8</v>
      </c>
      <c r="N15" t="s">
        <v>537</v>
      </c>
      <c r="Q15" t="s">
        <v>538</v>
      </c>
      <c r="R15" t="s">
        <v>994</v>
      </c>
      <c r="S15" t="s">
        <v>540</v>
      </c>
      <c r="T15" t="s">
        <v>161</v>
      </c>
      <c r="Y15" t="s">
        <v>993</v>
      </c>
      <c r="Z15" t="s">
        <v>931</v>
      </c>
      <c r="AA15" t="s">
        <v>541</v>
      </c>
      <c r="AB15" t="s">
        <v>542</v>
      </c>
      <c r="AC15" t="s">
        <v>228</v>
      </c>
      <c r="AD15" t="s">
        <v>166</v>
      </c>
      <c r="AE15" t="s">
        <v>167</v>
      </c>
      <c r="AF15">
        <v>9</v>
      </c>
      <c r="AG15" s="1">
        <v>45744</v>
      </c>
      <c r="AH15" s="13">
        <v>0.85416666666666663</v>
      </c>
      <c r="AI15" s="13">
        <v>0.83333333333333337</v>
      </c>
      <c r="AJ15" t="s">
        <v>168</v>
      </c>
      <c r="AK15" t="s">
        <v>543</v>
      </c>
      <c r="AL15" t="s">
        <v>154</v>
      </c>
      <c r="AM15" t="s">
        <v>169</v>
      </c>
    </row>
    <row r="16" spans="1:39" x14ac:dyDescent="0.25">
      <c r="A16" t="s">
        <v>670</v>
      </c>
      <c r="B16" s="1">
        <v>45772</v>
      </c>
      <c r="C16" s="13">
        <v>0.5</v>
      </c>
      <c r="D16" s="1">
        <v>45775</v>
      </c>
      <c r="E16" s="13">
        <v>0.625</v>
      </c>
      <c r="F16" s="1">
        <v>45775</v>
      </c>
      <c r="G16" s="13">
        <v>0.66496527777777781</v>
      </c>
      <c r="H16" t="s">
        <v>154</v>
      </c>
      <c r="K16" t="s">
        <v>671</v>
      </c>
      <c r="L16" t="s">
        <v>156</v>
      </c>
      <c r="M16">
        <v>9</v>
      </c>
      <c r="N16" t="s">
        <v>672</v>
      </c>
      <c r="Q16" t="s">
        <v>673</v>
      </c>
      <c r="R16" t="s">
        <v>1008</v>
      </c>
      <c r="S16" t="s">
        <v>675</v>
      </c>
      <c r="T16" t="s">
        <v>161</v>
      </c>
      <c r="Y16" t="s">
        <v>935</v>
      </c>
      <c r="Z16" t="s">
        <v>931</v>
      </c>
      <c r="AA16" t="s">
        <v>530</v>
      </c>
      <c r="AB16" t="s">
        <v>384</v>
      </c>
      <c r="AC16" t="s">
        <v>350</v>
      </c>
      <c r="AD16" t="s">
        <v>320</v>
      </c>
      <c r="AE16" t="s">
        <v>167</v>
      </c>
      <c r="AF16">
        <v>9</v>
      </c>
      <c r="AG16" s="1">
        <v>45772</v>
      </c>
      <c r="AH16" s="13">
        <v>0.5</v>
      </c>
      <c r="AI16" s="13">
        <v>0.5</v>
      </c>
      <c r="AJ16" t="s">
        <v>146</v>
      </c>
      <c r="AK16" t="s">
        <v>676</v>
      </c>
      <c r="AL16" t="s">
        <v>154</v>
      </c>
      <c r="AM16" t="s">
        <v>169</v>
      </c>
    </row>
    <row r="17" spans="1:39" x14ac:dyDescent="0.25">
      <c r="A17" t="s">
        <v>690</v>
      </c>
      <c r="B17" s="1">
        <v>45776</v>
      </c>
      <c r="C17" s="13">
        <v>0.5625</v>
      </c>
      <c r="D17" s="1"/>
      <c r="E17" s="13"/>
      <c r="F17" s="1">
        <v>45776</v>
      </c>
      <c r="G17" s="13">
        <v>0.61762731481481481</v>
      </c>
      <c r="H17" t="s">
        <v>154</v>
      </c>
      <c r="K17" t="s">
        <v>691</v>
      </c>
      <c r="L17" t="s">
        <v>425</v>
      </c>
      <c r="M17">
        <v>8</v>
      </c>
      <c r="N17" t="s">
        <v>692</v>
      </c>
      <c r="Q17" t="s">
        <v>693</v>
      </c>
      <c r="R17" t="s">
        <v>955</v>
      </c>
      <c r="S17" t="s">
        <v>694</v>
      </c>
      <c r="T17" t="s">
        <v>161</v>
      </c>
      <c r="Y17" t="s">
        <v>1006</v>
      </c>
      <c r="Z17" t="s">
        <v>931</v>
      </c>
      <c r="AA17" t="s">
        <v>585</v>
      </c>
      <c r="AB17" t="s">
        <v>164</v>
      </c>
      <c r="AC17" t="s">
        <v>228</v>
      </c>
      <c r="AD17" t="s">
        <v>435</v>
      </c>
      <c r="AE17" t="s">
        <v>167</v>
      </c>
      <c r="AF17">
        <v>9</v>
      </c>
      <c r="AG17" s="1">
        <v>45776</v>
      </c>
      <c r="AH17" s="13">
        <v>0.5625</v>
      </c>
      <c r="AI17" s="13">
        <v>0.54166666666666663</v>
      </c>
      <c r="AJ17" t="s">
        <v>146</v>
      </c>
      <c r="AK17" t="s">
        <v>428</v>
      </c>
      <c r="AL17" t="s">
        <v>154</v>
      </c>
      <c r="AM17" t="s">
        <v>169</v>
      </c>
    </row>
    <row r="18" spans="1:39" x14ac:dyDescent="0.25">
      <c r="A18" t="s">
        <v>437</v>
      </c>
      <c r="B18" s="1">
        <v>45717</v>
      </c>
      <c r="C18" s="13">
        <v>0.25</v>
      </c>
      <c r="D18" s="1">
        <v>45780</v>
      </c>
      <c r="E18" s="13">
        <v>0.49583333333333335</v>
      </c>
      <c r="F18" s="1">
        <v>45780</v>
      </c>
      <c r="G18" s="13">
        <v>0.49972222222222223</v>
      </c>
      <c r="H18" t="s">
        <v>154</v>
      </c>
      <c r="K18" t="s">
        <v>438</v>
      </c>
      <c r="L18" t="s">
        <v>425</v>
      </c>
      <c r="M18">
        <v>8</v>
      </c>
      <c r="N18" t="s">
        <v>439</v>
      </c>
      <c r="Q18" t="s">
        <v>440</v>
      </c>
      <c r="R18" t="s">
        <v>1009</v>
      </c>
      <c r="S18" t="s">
        <v>442</v>
      </c>
      <c r="T18" t="s">
        <v>161</v>
      </c>
      <c r="Y18" t="s">
        <v>950</v>
      </c>
      <c r="Z18" t="s">
        <v>931</v>
      </c>
      <c r="AA18" t="s">
        <v>443</v>
      </c>
      <c r="AB18" t="s">
        <v>444</v>
      </c>
      <c r="AC18" t="s">
        <v>310</v>
      </c>
      <c r="AD18" t="s">
        <v>166</v>
      </c>
      <c r="AE18" t="s">
        <v>167</v>
      </c>
      <c r="AF18">
        <v>9</v>
      </c>
      <c r="AG18" s="1">
        <v>45717</v>
      </c>
      <c r="AH18" s="13">
        <v>0.25</v>
      </c>
      <c r="AI18" s="13">
        <v>0.25</v>
      </c>
      <c r="AJ18" t="s">
        <v>385</v>
      </c>
      <c r="AK18" t="s">
        <v>446</v>
      </c>
      <c r="AL18" t="s">
        <v>154</v>
      </c>
      <c r="AM18" t="s">
        <v>169</v>
      </c>
    </row>
    <row r="19" spans="1:39" x14ac:dyDescent="0.25">
      <c r="A19" t="s">
        <v>711</v>
      </c>
      <c r="B19" s="1">
        <v>45782</v>
      </c>
      <c r="C19" s="13">
        <v>0.625</v>
      </c>
      <c r="D19" s="1"/>
      <c r="E19" s="13"/>
      <c r="F19" s="1">
        <v>45782</v>
      </c>
      <c r="G19" s="13">
        <v>0.75549768518518523</v>
      </c>
      <c r="H19" t="s">
        <v>154</v>
      </c>
      <c r="I19" t="s">
        <v>712</v>
      </c>
      <c r="K19" t="s">
        <v>713</v>
      </c>
      <c r="L19" t="s">
        <v>516</v>
      </c>
      <c r="M19">
        <v>9</v>
      </c>
      <c r="N19" t="s">
        <v>714</v>
      </c>
      <c r="Q19" t="s">
        <v>1010</v>
      </c>
      <c r="R19" t="s">
        <v>952</v>
      </c>
      <c r="S19" t="s">
        <v>716</v>
      </c>
      <c r="T19" t="s">
        <v>976</v>
      </c>
      <c r="Y19" t="s">
        <v>1001</v>
      </c>
      <c r="Z19" t="s">
        <v>931</v>
      </c>
      <c r="AA19" t="s">
        <v>393</v>
      </c>
      <c r="AB19" t="s">
        <v>384</v>
      </c>
      <c r="AF19">
        <v>9</v>
      </c>
      <c r="AG19" s="1">
        <v>45782</v>
      </c>
      <c r="AH19" s="13">
        <v>0.625</v>
      </c>
      <c r="AI19" s="13">
        <v>0.625</v>
      </c>
      <c r="AJ19" t="s">
        <v>146</v>
      </c>
      <c r="AK19" t="s">
        <v>718</v>
      </c>
      <c r="AL19" t="s">
        <v>717</v>
      </c>
      <c r="AM19" t="s">
        <v>169</v>
      </c>
    </row>
    <row r="20" spans="1:39" x14ac:dyDescent="0.25">
      <c r="A20" t="s">
        <v>719</v>
      </c>
      <c r="B20" s="1">
        <v>45782</v>
      </c>
      <c r="C20" s="13">
        <v>0.74097222222222225</v>
      </c>
      <c r="D20" s="1"/>
      <c r="E20" s="13"/>
      <c r="F20" s="1">
        <v>45791</v>
      </c>
      <c r="G20" s="13">
        <v>0.64642361111111113</v>
      </c>
      <c r="H20" t="s">
        <v>154</v>
      </c>
      <c r="I20" t="s">
        <v>347</v>
      </c>
      <c r="K20" t="s">
        <v>720</v>
      </c>
      <c r="L20" t="s">
        <v>251</v>
      </c>
      <c r="M20">
        <v>9</v>
      </c>
      <c r="N20" t="s">
        <v>721</v>
      </c>
      <c r="R20" t="s">
        <v>981</v>
      </c>
      <c r="S20" t="s">
        <v>722</v>
      </c>
      <c r="Y20" t="s">
        <v>950</v>
      </c>
      <c r="Z20" t="s">
        <v>931</v>
      </c>
      <c r="AA20" t="s">
        <v>646</v>
      </c>
      <c r="AB20" t="s">
        <v>328</v>
      </c>
      <c r="AC20" t="s">
        <v>350</v>
      </c>
      <c r="AD20" t="s">
        <v>181</v>
      </c>
      <c r="AE20" t="s">
        <v>167</v>
      </c>
      <c r="AF20">
        <v>9</v>
      </c>
      <c r="AG20" s="1">
        <v>45782</v>
      </c>
      <c r="AH20" s="13">
        <v>0.74097222222222225</v>
      </c>
      <c r="AI20" s="13">
        <v>0.70833333333333337</v>
      </c>
      <c r="AJ20" t="s">
        <v>266</v>
      </c>
      <c r="AK20" t="s">
        <v>724</v>
      </c>
      <c r="AL20" t="s">
        <v>723</v>
      </c>
      <c r="AM20" t="s">
        <v>169</v>
      </c>
    </row>
    <row r="21" spans="1:39" x14ac:dyDescent="0.25">
      <c r="A21" t="s">
        <v>750</v>
      </c>
      <c r="B21" s="1">
        <v>45789</v>
      </c>
      <c r="C21" s="13">
        <v>0.8125</v>
      </c>
      <c r="D21" s="1">
        <v>45789</v>
      </c>
      <c r="E21" s="13">
        <v>0.85069444444444442</v>
      </c>
      <c r="F21" s="1">
        <v>45792</v>
      </c>
      <c r="G21" s="13">
        <v>0.34418981481481481</v>
      </c>
      <c r="H21" t="s">
        <v>154</v>
      </c>
      <c r="K21" t="s">
        <v>751</v>
      </c>
      <c r="L21" t="s">
        <v>553</v>
      </c>
      <c r="N21" t="s">
        <v>752</v>
      </c>
      <c r="Q21" t="s">
        <v>753</v>
      </c>
      <c r="R21" t="s">
        <v>754</v>
      </c>
      <c r="S21" t="s">
        <v>755</v>
      </c>
      <c r="T21" t="s">
        <v>161</v>
      </c>
      <c r="Y21" t="s">
        <v>943</v>
      </c>
      <c r="Z21" t="s">
        <v>931</v>
      </c>
      <c r="AA21" t="s">
        <v>525</v>
      </c>
      <c r="AB21" t="s">
        <v>211</v>
      </c>
      <c r="AC21" t="s">
        <v>488</v>
      </c>
      <c r="AD21" t="s">
        <v>166</v>
      </c>
      <c r="AE21" t="s">
        <v>167</v>
      </c>
      <c r="AF21">
        <v>9</v>
      </c>
      <c r="AG21" s="1">
        <v>45789</v>
      </c>
      <c r="AH21" s="13">
        <v>0.8125</v>
      </c>
      <c r="AI21" s="13">
        <v>0.79166666666666663</v>
      </c>
      <c r="AJ21" t="s">
        <v>266</v>
      </c>
      <c r="AK21" t="s">
        <v>756</v>
      </c>
      <c r="AL21" t="s">
        <v>154</v>
      </c>
      <c r="AM21" t="s">
        <v>169</v>
      </c>
    </row>
    <row r="22" spans="1:39" x14ac:dyDescent="0.25">
      <c r="A22" t="s">
        <v>769</v>
      </c>
      <c r="B22" s="1">
        <v>45795</v>
      </c>
      <c r="C22" s="13">
        <v>0.8125</v>
      </c>
      <c r="D22" s="1"/>
      <c r="E22" s="13"/>
      <c r="F22" s="1">
        <v>45796</v>
      </c>
      <c r="G22" s="13">
        <v>0.81428240740740743</v>
      </c>
      <c r="H22" t="s">
        <v>154</v>
      </c>
      <c r="K22" t="s">
        <v>770</v>
      </c>
      <c r="L22" t="s">
        <v>251</v>
      </c>
      <c r="M22">
        <v>9</v>
      </c>
      <c r="N22" t="s">
        <v>771</v>
      </c>
      <c r="Q22" t="s">
        <v>772</v>
      </c>
      <c r="R22" t="s">
        <v>981</v>
      </c>
      <c r="S22" t="s">
        <v>773</v>
      </c>
      <c r="T22" t="s">
        <v>161</v>
      </c>
      <c r="Y22" t="s">
        <v>1007</v>
      </c>
      <c r="Z22" t="s">
        <v>931</v>
      </c>
      <c r="AA22" t="s">
        <v>245</v>
      </c>
      <c r="AB22" t="s">
        <v>142</v>
      </c>
      <c r="AC22" t="s">
        <v>350</v>
      </c>
      <c r="AD22" t="s">
        <v>181</v>
      </c>
      <c r="AE22" t="s">
        <v>167</v>
      </c>
      <c r="AF22">
        <v>9</v>
      </c>
      <c r="AG22" s="1">
        <v>45795</v>
      </c>
      <c r="AH22" s="13">
        <v>0.8125</v>
      </c>
      <c r="AI22" s="13">
        <v>0.79166666666666663</v>
      </c>
      <c r="AJ22" t="s">
        <v>266</v>
      </c>
      <c r="AK22" t="s">
        <v>774</v>
      </c>
      <c r="AL22" t="s">
        <v>154</v>
      </c>
      <c r="AM22" t="s">
        <v>169</v>
      </c>
    </row>
    <row r="23" spans="1:39" x14ac:dyDescent="0.25">
      <c r="A23" t="s">
        <v>810</v>
      </c>
      <c r="B23" s="1">
        <v>45810</v>
      </c>
      <c r="C23" s="13">
        <v>0.56944444444444442</v>
      </c>
      <c r="D23" s="1">
        <v>45811</v>
      </c>
      <c r="E23" s="13">
        <v>0.25</v>
      </c>
      <c r="F23" s="1">
        <v>45811</v>
      </c>
      <c r="G23" s="13">
        <v>0.25730324074074074</v>
      </c>
      <c r="H23" t="s">
        <v>154</v>
      </c>
      <c r="K23" t="s">
        <v>811</v>
      </c>
      <c r="L23" t="s">
        <v>812</v>
      </c>
      <c r="M23">
        <v>9</v>
      </c>
      <c r="N23" t="s">
        <v>813</v>
      </c>
      <c r="Q23" t="s">
        <v>814</v>
      </c>
      <c r="R23" t="s">
        <v>981</v>
      </c>
      <c r="S23" t="s">
        <v>815</v>
      </c>
      <c r="T23" t="s">
        <v>161</v>
      </c>
      <c r="Y23" t="s">
        <v>989</v>
      </c>
      <c r="Z23" t="s">
        <v>931</v>
      </c>
      <c r="AA23" t="s">
        <v>141</v>
      </c>
      <c r="AB23" t="s">
        <v>142</v>
      </c>
      <c r="AC23" t="s">
        <v>488</v>
      </c>
      <c r="AD23" t="s">
        <v>166</v>
      </c>
      <c r="AE23" t="s">
        <v>167</v>
      </c>
      <c r="AF23">
        <v>9</v>
      </c>
      <c r="AG23" s="1">
        <v>45810</v>
      </c>
      <c r="AH23" s="13">
        <v>0.56944444444444442</v>
      </c>
      <c r="AI23" s="13">
        <v>0.54166666666666663</v>
      </c>
      <c r="AJ23" t="s">
        <v>146</v>
      </c>
      <c r="AK23" t="s">
        <v>816</v>
      </c>
      <c r="AL23" t="s">
        <v>154</v>
      </c>
      <c r="AM23" t="s">
        <v>169</v>
      </c>
    </row>
    <row r="24" spans="1:39" x14ac:dyDescent="0.25">
      <c r="A24" t="s">
        <v>817</v>
      </c>
      <c r="B24" s="1">
        <v>45811</v>
      </c>
      <c r="C24" s="13">
        <v>0.81298611111111108</v>
      </c>
      <c r="D24" s="1"/>
      <c r="E24" s="13"/>
      <c r="F24" s="1">
        <v>45811</v>
      </c>
      <c r="G24" s="13">
        <v>0.81298611111111108</v>
      </c>
      <c r="H24" t="s">
        <v>154</v>
      </c>
      <c r="K24" t="s">
        <v>818</v>
      </c>
      <c r="L24" t="s">
        <v>414</v>
      </c>
      <c r="M24">
        <v>7</v>
      </c>
      <c r="N24" t="s">
        <v>819</v>
      </c>
      <c r="Q24" t="s">
        <v>820</v>
      </c>
      <c r="R24" t="s">
        <v>821</v>
      </c>
      <c r="S24" t="s">
        <v>822</v>
      </c>
      <c r="T24" t="s">
        <v>161</v>
      </c>
      <c r="Y24" t="s">
        <v>993</v>
      </c>
      <c r="Z24" t="s">
        <v>931</v>
      </c>
      <c r="AA24" t="s">
        <v>554</v>
      </c>
      <c r="AB24" t="s">
        <v>256</v>
      </c>
      <c r="AC24" t="s">
        <v>257</v>
      </c>
      <c r="AD24" t="s">
        <v>166</v>
      </c>
      <c r="AE24" t="s">
        <v>167</v>
      </c>
      <c r="AF24">
        <v>9</v>
      </c>
      <c r="AG24" s="1">
        <v>45811</v>
      </c>
      <c r="AH24" s="13">
        <v>0.81298611111111108</v>
      </c>
      <c r="AI24" s="13">
        <v>0.79166666666666663</v>
      </c>
      <c r="AJ24" t="s">
        <v>266</v>
      </c>
      <c r="AK24" t="s">
        <v>666</v>
      </c>
      <c r="AL24" t="s">
        <v>154</v>
      </c>
      <c r="AM24" t="s">
        <v>169</v>
      </c>
    </row>
    <row r="25" spans="1:39" x14ac:dyDescent="0.25">
      <c r="A25" t="s">
        <v>849</v>
      </c>
      <c r="B25" s="1">
        <v>45819</v>
      </c>
      <c r="C25" s="13">
        <v>0.18819444444444444</v>
      </c>
      <c r="D25" s="1">
        <v>45819</v>
      </c>
      <c r="E25" s="13">
        <v>0.18888888888888888</v>
      </c>
      <c r="F25" s="1">
        <v>45819</v>
      </c>
      <c r="G25" s="13">
        <v>0.19038194444444445</v>
      </c>
      <c r="H25" t="s">
        <v>154</v>
      </c>
      <c r="K25" t="s">
        <v>850</v>
      </c>
      <c r="N25" t="s">
        <v>851</v>
      </c>
      <c r="Q25" t="s">
        <v>1013</v>
      </c>
      <c r="R25" t="s">
        <v>995</v>
      </c>
      <c r="S25" t="s">
        <v>853</v>
      </c>
      <c r="T25" t="s">
        <v>161</v>
      </c>
      <c r="Y25" t="s">
        <v>943</v>
      </c>
      <c r="Z25" t="s">
        <v>931</v>
      </c>
      <c r="AA25" t="s">
        <v>255</v>
      </c>
      <c r="AB25" t="s">
        <v>256</v>
      </c>
      <c r="AC25" t="s">
        <v>310</v>
      </c>
      <c r="AD25" t="s">
        <v>181</v>
      </c>
      <c r="AE25" t="s">
        <v>167</v>
      </c>
      <c r="AF25">
        <v>9</v>
      </c>
      <c r="AG25" s="1">
        <v>45819</v>
      </c>
      <c r="AH25" s="13">
        <v>0.18819444444444444</v>
      </c>
      <c r="AI25" s="13">
        <v>0.16666666666666666</v>
      </c>
      <c r="AJ25" t="s">
        <v>385</v>
      </c>
      <c r="AK25" t="s">
        <v>854</v>
      </c>
      <c r="AL25" t="s">
        <v>154</v>
      </c>
      <c r="AM25" t="s">
        <v>948</v>
      </c>
    </row>
    <row r="26" spans="1:39" x14ac:dyDescent="0.25">
      <c r="A26" t="s">
        <v>871</v>
      </c>
      <c r="B26" s="1">
        <v>45829</v>
      </c>
      <c r="C26" s="13">
        <v>0.15329861111111112</v>
      </c>
      <c r="D26" s="1"/>
      <c r="E26" s="13"/>
      <c r="F26" s="1">
        <v>45829</v>
      </c>
      <c r="G26" s="13">
        <v>0.15677083333333333</v>
      </c>
      <c r="H26" t="s">
        <v>154</v>
      </c>
      <c r="I26" t="s">
        <v>872</v>
      </c>
      <c r="K26" t="s">
        <v>873</v>
      </c>
      <c r="N26" t="s">
        <v>874</v>
      </c>
      <c r="Q26" t="s">
        <v>1014</v>
      </c>
      <c r="R26" t="s">
        <v>494</v>
      </c>
      <c r="S26" t="s">
        <v>876</v>
      </c>
      <c r="T26" t="s">
        <v>161</v>
      </c>
      <c r="Y26" t="s">
        <v>930</v>
      </c>
      <c r="Z26" t="s">
        <v>931</v>
      </c>
      <c r="AA26" t="s">
        <v>787</v>
      </c>
      <c r="AB26" t="s">
        <v>542</v>
      </c>
      <c r="AC26" t="s">
        <v>228</v>
      </c>
      <c r="AD26" t="s">
        <v>181</v>
      </c>
      <c r="AE26" t="s">
        <v>167</v>
      </c>
      <c r="AF26">
        <v>9</v>
      </c>
      <c r="AG26" s="1">
        <v>45829</v>
      </c>
      <c r="AH26" s="13">
        <v>0.15329861111111112</v>
      </c>
      <c r="AI26" s="13">
        <v>0.125</v>
      </c>
      <c r="AJ26" t="s">
        <v>343</v>
      </c>
      <c r="AK26" t="s">
        <v>878</v>
      </c>
      <c r="AL26" t="s">
        <v>877</v>
      </c>
      <c r="AM26" t="s">
        <v>948</v>
      </c>
    </row>
    <row r="27" spans="1:39" x14ac:dyDescent="0.25">
      <c r="A27" t="s">
        <v>864</v>
      </c>
      <c r="B27" s="1">
        <v>45828</v>
      </c>
      <c r="C27" s="13">
        <v>0.97916666666666663</v>
      </c>
      <c r="D27" s="1">
        <v>45828</v>
      </c>
      <c r="E27" s="13">
        <v>0.375</v>
      </c>
      <c r="F27" s="1">
        <v>45829</v>
      </c>
      <c r="G27" s="13">
        <v>0.39340277777777777</v>
      </c>
      <c r="H27" t="s">
        <v>174</v>
      </c>
      <c r="I27" t="s">
        <v>205</v>
      </c>
      <c r="J27" t="s">
        <v>154</v>
      </c>
      <c r="K27" t="s">
        <v>865</v>
      </c>
      <c r="L27" t="s">
        <v>138</v>
      </c>
      <c r="M27">
        <v>8</v>
      </c>
      <c r="N27" t="s">
        <v>866</v>
      </c>
      <c r="Q27" t="s">
        <v>867</v>
      </c>
      <c r="R27" t="s">
        <v>955</v>
      </c>
      <c r="S27" t="s">
        <v>868</v>
      </c>
      <c r="T27" t="s">
        <v>161</v>
      </c>
      <c r="Y27" t="s">
        <v>930</v>
      </c>
      <c r="Z27" t="s">
        <v>931</v>
      </c>
      <c r="AA27" t="s">
        <v>585</v>
      </c>
      <c r="AB27" t="s">
        <v>164</v>
      </c>
      <c r="AC27" t="s">
        <v>228</v>
      </c>
      <c r="AD27" t="s">
        <v>181</v>
      </c>
      <c r="AE27" t="s">
        <v>167</v>
      </c>
      <c r="AF27">
        <v>9</v>
      </c>
      <c r="AG27" s="1">
        <v>45828</v>
      </c>
      <c r="AH27" s="13">
        <v>0.97916666666666663</v>
      </c>
      <c r="AI27" s="13">
        <v>0.95833333333333337</v>
      </c>
      <c r="AJ27" t="s">
        <v>168</v>
      </c>
      <c r="AK27" t="s">
        <v>870</v>
      </c>
      <c r="AL27" t="s">
        <v>869</v>
      </c>
      <c r="AM27" t="s">
        <v>948</v>
      </c>
    </row>
    <row r="28" spans="1:39" x14ac:dyDescent="0.25">
      <c r="A28" t="s">
        <v>880</v>
      </c>
      <c r="B28" s="1">
        <v>45829</v>
      </c>
      <c r="C28" s="13">
        <v>0.4548611111111111</v>
      </c>
      <c r="D28" s="1"/>
      <c r="E28" s="13"/>
      <c r="F28" s="1">
        <v>45829</v>
      </c>
      <c r="G28" s="13">
        <v>0.46056712962962965</v>
      </c>
      <c r="H28" t="s">
        <v>154</v>
      </c>
      <c r="K28" t="s">
        <v>881</v>
      </c>
      <c r="L28" t="s">
        <v>358</v>
      </c>
      <c r="M28">
        <v>8</v>
      </c>
      <c r="N28" t="s">
        <v>882</v>
      </c>
      <c r="Q28" t="s">
        <v>883</v>
      </c>
      <c r="R28" t="s">
        <v>995</v>
      </c>
      <c r="S28" t="s">
        <v>884</v>
      </c>
      <c r="T28" t="s">
        <v>161</v>
      </c>
      <c r="Y28" t="s">
        <v>930</v>
      </c>
      <c r="Z28" t="s">
        <v>931</v>
      </c>
      <c r="AA28" t="s">
        <v>393</v>
      </c>
      <c r="AB28" t="s">
        <v>384</v>
      </c>
      <c r="AC28" t="s">
        <v>275</v>
      </c>
      <c r="AD28" t="s">
        <v>166</v>
      </c>
      <c r="AE28" t="s">
        <v>167</v>
      </c>
      <c r="AF28">
        <v>9</v>
      </c>
      <c r="AG28" s="1">
        <v>45829</v>
      </c>
      <c r="AH28" s="13">
        <v>0.4548611111111111</v>
      </c>
      <c r="AI28" s="13">
        <v>0.41666666666666669</v>
      </c>
      <c r="AJ28" t="s">
        <v>276</v>
      </c>
      <c r="AK28" t="s">
        <v>885</v>
      </c>
      <c r="AL28" t="s">
        <v>154</v>
      </c>
      <c r="AM28" t="s">
        <v>948</v>
      </c>
    </row>
    <row r="29" spans="1:39" x14ac:dyDescent="0.25">
      <c r="A29" t="s">
        <v>886</v>
      </c>
      <c r="B29" s="1">
        <v>45829</v>
      </c>
      <c r="C29" s="13">
        <v>0.79166666666666663</v>
      </c>
      <c r="D29" s="1">
        <v>45830</v>
      </c>
      <c r="E29" s="13">
        <v>0.45833333333333331</v>
      </c>
      <c r="F29" s="1">
        <v>45830</v>
      </c>
      <c r="G29" s="13">
        <v>0.47619212962962965</v>
      </c>
      <c r="H29" t="s">
        <v>154</v>
      </c>
      <c r="K29" t="s">
        <v>887</v>
      </c>
      <c r="L29" t="s">
        <v>888</v>
      </c>
      <c r="M29">
        <v>7</v>
      </c>
      <c r="N29" t="s">
        <v>889</v>
      </c>
      <c r="Q29" t="s">
        <v>890</v>
      </c>
      <c r="R29" t="s">
        <v>995</v>
      </c>
      <c r="S29" t="s">
        <v>891</v>
      </c>
      <c r="T29" t="s">
        <v>892</v>
      </c>
      <c r="Y29" t="s">
        <v>930</v>
      </c>
      <c r="Z29" t="s">
        <v>931</v>
      </c>
      <c r="AA29" t="s">
        <v>801</v>
      </c>
      <c r="AB29" t="s">
        <v>164</v>
      </c>
      <c r="AC29" t="s">
        <v>275</v>
      </c>
      <c r="AD29" t="s">
        <v>364</v>
      </c>
      <c r="AE29" t="s">
        <v>167</v>
      </c>
      <c r="AF29">
        <v>9</v>
      </c>
      <c r="AG29" s="1">
        <v>45829</v>
      </c>
      <c r="AH29" s="13">
        <v>0.79166666666666663</v>
      </c>
      <c r="AI29" s="13">
        <v>0.79166666666666663</v>
      </c>
      <c r="AJ29" t="s">
        <v>266</v>
      </c>
      <c r="AK29" t="s">
        <v>893</v>
      </c>
      <c r="AL29" t="s">
        <v>154</v>
      </c>
      <c r="AM29" t="s">
        <v>948</v>
      </c>
    </row>
  </sheetData>
  <phoneticPr fontId="9" type="noConversion"/>
  <conditionalFormatting sqref="AN2:AP29">
    <cfRule type="expression" dxfId="94" priority="1" stopIfTrue="1">
      <formula>$D2="7-Day"</formula>
    </cfRule>
    <cfRule type="expression" dxfId="93" priority="2" stopIfTrue="1">
      <formula>$D2="28-Day"</formula>
    </cfRule>
    <cfRule type="expression" dxfId="92" priority="3" stopIfTrue="1">
      <formula>$D2="YTD"</formula>
    </cfRule>
    <cfRule type="expression" dxfId="91" priority="4" stopIfTrue="1">
      <formula>$D2="Historical"</formula>
    </cfRule>
  </conditionalFormatting>
  <conditionalFormatting sqref="A2:AM29">
    <cfRule type="expression" dxfId="90" priority="5" stopIfTrue="1">
      <formula>$AM2="7-Day"</formula>
    </cfRule>
    <cfRule type="expression" dxfId="89" priority="6" stopIfTrue="1">
      <formula>$AM2="28-Day"</formula>
    </cfRule>
    <cfRule type="expression" dxfId="88" priority="7" stopIfTrue="1">
      <formula>$AM2="YTD"</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7ECCB-3D99-4AB8-84DA-F400DD1D22B9}">
  <sheetPr codeName="Sheet40">
    <tabColor rgb="FFFFC000"/>
  </sheetPr>
  <dimension ref="A1:BI27"/>
  <sheetViews>
    <sheetView topLeftCell="AR27" workbookViewId="0">
      <selection activeCell="Y1" sqref="Y1:BI54"/>
    </sheetView>
  </sheetViews>
  <sheetFormatPr defaultRowHeight="15" x14ac:dyDescent="0.25"/>
  <cols>
    <col min="1" max="1" width="15.140625" bestFit="1" customWidth="1"/>
    <col min="2" max="2" width="14.7109375"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22.5703125" bestFit="1" customWidth="1"/>
    <col min="9" max="9" width="36.28515625" bestFit="1" customWidth="1"/>
    <col min="10" max="10" width="27.28515625" bestFit="1" customWidth="1"/>
    <col min="11" max="11" width="58.1406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710937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9.42578125" bestFit="1" customWidth="1"/>
    <col min="28" max="28" width="8.7109375" bestFit="1" customWidth="1"/>
    <col min="29" max="29" width="26.85546875" bestFit="1" customWidth="1"/>
    <col min="30" max="30" width="29.140625" bestFit="1" customWidth="1"/>
    <col min="31" max="31" width="45.85546875"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48.140625" bestFit="1" customWidth="1"/>
    <col min="38" max="38" width="75.5703125" bestFit="1" customWidth="1"/>
    <col min="39" max="39" width="9.14062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48.140625" bestFit="1" customWidth="1"/>
    <col min="53" max="53" width="58.140625" bestFit="1" customWidth="1"/>
    <col min="54" max="54" width="6" bestFit="1" customWidth="1"/>
    <col min="55" max="55" width="8.5703125" bestFit="1" customWidth="1"/>
    <col min="56" max="56" width="14.28515625" bestFit="1" customWidth="1"/>
    <col min="57" max="57" width="10.140625" bestFit="1" customWidth="1"/>
    <col min="58" max="58" width="26.42578125" bestFit="1" customWidth="1"/>
    <col min="59" max="59" width="16.5703125" bestFit="1" customWidth="1"/>
    <col min="60" max="61" width="25.7109375" customWidth="1"/>
    <col min="62" max="62" width="12.28515625" bestFit="1" customWidth="1"/>
    <col min="63" max="63" width="12" bestFit="1" customWidth="1"/>
    <col min="64" max="64" width="13.140625" bestFit="1" customWidth="1"/>
    <col min="65" max="65" width="16.85546875" bestFit="1" customWidth="1"/>
  </cols>
  <sheetData>
    <row r="1" spans="1:61" x14ac:dyDescent="0.25">
      <c r="A1" t="s">
        <v>93</v>
      </c>
      <c r="B1" t="s">
        <v>94</v>
      </c>
      <c r="C1" t="s">
        <v>95</v>
      </c>
      <c r="D1" t="s">
        <v>911</v>
      </c>
      <c r="E1" t="s">
        <v>912</v>
      </c>
      <c r="F1" t="s">
        <v>913</v>
      </c>
      <c r="G1" t="s">
        <v>914</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915</v>
      </c>
      <c r="AA1" t="s">
        <v>114</v>
      </c>
      <c r="AB1" t="s">
        <v>115</v>
      </c>
      <c r="AC1" t="s">
        <v>116</v>
      </c>
      <c r="AD1" t="s">
        <v>117</v>
      </c>
      <c r="AE1" t="s">
        <v>118</v>
      </c>
      <c r="AF1" t="s">
        <v>916</v>
      </c>
      <c r="AG1" t="s">
        <v>2</v>
      </c>
      <c r="AH1" t="s">
        <v>120</v>
      </c>
      <c r="AI1" t="s">
        <v>121</v>
      </c>
      <c r="AJ1" t="s">
        <v>122</v>
      </c>
      <c r="AK1" t="s">
        <v>1</v>
      </c>
      <c r="AL1" t="s">
        <v>123</v>
      </c>
      <c r="AM1" t="s">
        <v>124</v>
      </c>
      <c r="AN1" t="s">
        <v>125</v>
      </c>
      <c r="AO1" t="s">
        <v>126</v>
      </c>
      <c r="AP1" t="s">
        <v>918</v>
      </c>
      <c r="AQ1" t="s">
        <v>919</v>
      </c>
      <c r="AR1" t="s">
        <v>920</v>
      </c>
      <c r="AS1" t="s">
        <v>128</v>
      </c>
      <c r="AT1" t="s">
        <v>129</v>
      </c>
      <c r="AU1" t="s">
        <v>130</v>
      </c>
      <c r="AV1" t="s">
        <v>131</v>
      </c>
      <c r="AW1" t="s">
        <v>921</v>
      </c>
      <c r="AX1" t="s">
        <v>132</v>
      </c>
      <c r="AY1" t="s">
        <v>922</v>
      </c>
      <c r="AZ1" t="s">
        <v>923</v>
      </c>
      <c r="BA1" t="s">
        <v>924</v>
      </c>
      <c r="BB1" t="s">
        <v>925</v>
      </c>
      <c r="BC1" t="s">
        <v>7</v>
      </c>
      <c r="BD1" t="s">
        <v>926</v>
      </c>
      <c r="BE1" t="s">
        <v>5</v>
      </c>
      <c r="BF1" t="s">
        <v>927</v>
      </c>
      <c r="BG1" t="s">
        <v>928</v>
      </c>
      <c r="BH1" t="s">
        <v>929</v>
      </c>
      <c r="BI1" t="s">
        <v>127</v>
      </c>
    </row>
    <row r="2" spans="1:61" x14ac:dyDescent="0.25">
      <c r="A2" t="s">
        <v>173</v>
      </c>
      <c r="B2">
        <v>45663</v>
      </c>
      <c r="C2" s="2">
        <v>0.64583333333333326</v>
      </c>
      <c r="D2" s="1">
        <v>45667</v>
      </c>
      <c r="E2" s="13"/>
      <c r="F2" s="1">
        <v>45667</v>
      </c>
      <c r="G2" s="13">
        <v>0.82629629629629631</v>
      </c>
      <c r="H2" t="s">
        <v>174</v>
      </c>
      <c r="K2" t="s">
        <v>175</v>
      </c>
      <c r="M2">
        <v>7</v>
      </c>
      <c r="N2" t="s">
        <v>176</v>
      </c>
      <c r="Q2" t="s">
        <v>177</v>
      </c>
      <c r="R2" t="s">
        <v>942</v>
      </c>
      <c r="S2" t="s">
        <v>178</v>
      </c>
      <c r="T2" t="s">
        <v>161</v>
      </c>
      <c r="Y2" t="s">
        <v>934</v>
      </c>
      <c r="Z2" t="s">
        <v>931</v>
      </c>
      <c r="AA2" t="s">
        <v>179</v>
      </c>
      <c r="AB2" t="s">
        <v>142</v>
      </c>
      <c r="AC2" t="s">
        <v>180</v>
      </c>
      <c r="AD2" t="s">
        <v>181</v>
      </c>
      <c r="AE2" t="s">
        <v>182</v>
      </c>
      <c r="AF2">
        <v>9</v>
      </c>
      <c r="AG2" s="1">
        <v>45663</v>
      </c>
      <c r="AH2" s="13">
        <v>0.64583333333333337</v>
      </c>
      <c r="AI2" s="13">
        <v>0.625</v>
      </c>
      <c r="AJ2" t="s">
        <v>146</v>
      </c>
      <c r="AK2" t="s">
        <v>184</v>
      </c>
      <c r="AL2" t="s">
        <v>174</v>
      </c>
      <c r="AM2" t="s">
        <v>169</v>
      </c>
      <c r="AN2" s="13">
        <v>0.64583333333333337</v>
      </c>
      <c r="AO2" s="1">
        <v>45663</v>
      </c>
      <c r="AP2" s="13">
        <v>0.625</v>
      </c>
      <c r="AQ2" s="2"/>
      <c r="AR2" t="s">
        <v>146</v>
      </c>
      <c r="AS2" t="s">
        <v>183</v>
      </c>
      <c r="AT2" t="s">
        <v>171</v>
      </c>
      <c r="AU2">
        <v>2025</v>
      </c>
      <c r="AV2">
        <v>2</v>
      </c>
      <c r="AW2">
        <v>2</v>
      </c>
      <c r="AX2">
        <v>6</v>
      </c>
      <c r="AY2">
        <v>6</v>
      </c>
      <c r="AZ2" t="s">
        <v>184</v>
      </c>
      <c r="BA2" t="s">
        <v>175</v>
      </c>
      <c r="BD2" t="s">
        <v>944</v>
      </c>
      <c r="BG2" t="s">
        <v>1019</v>
      </c>
      <c r="BH2" t="s">
        <v>146</v>
      </c>
      <c r="BI2" t="s">
        <v>146</v>
      </c>
    </row>
    <row r="3" spans="1:61" x14ac:dyDescent="0.25">
      <c r="A3" t="s">
        <v>294</v>
      </c>
      <c r="B3">
        <v>45682</v>
      </c>
      <c r="C3" s="2">
        <v>0.76875000000000004</v>
      </c>
      <c r="D3" s="1"/>
      <c r="E3" s="13"/>
      <c r="F3" s="1">
        <v>45683</v>
      </c>
      <c r="G3" s="13">
        <v>0.44056712962962963</v>
      </c>
      <c r="H3" t="s">
        <v>174</v>
      </c>
      <c r="I3" t="s">
        <v>295</v>
      </c>
      <c r="K3" t="s">
        <v>296</v>
      </c>
      <c r="L3" t="s">
        <v>208</v>
      </c>
      <c r="M3">
        <v>8</v>
      </c>
      <c r="N3" t="s">
        <v>297</v>
      </c>
      <c r="Q3" t="s">
        <v>974</v>
      </c>
      <c r="R3" t="s">
        <v>942</v>
      </c>
      <c r="S3" t="s">
        <v>299</v>
      </c>
      <c r="T3" t="s">
        <v>161</v>
      </c>
      <c r="Y3" t="s">
        <v>958</v>
      </c>
      <c r="Z3" t="s">
        <v>931</v>
      </c>
      <c r="AA3" t="s">
        <v>255</v>
      </c>
      <c r="AB3" t="s">
        <v>256</v>
      </c>
      <c r="AC3" t="s">
        <v>300</v>
      </c>
      <c r="AD3" t="s">
        <v>301</v>
      </c>
      <c r="AE3" t="s">
        <v>182</v>
      </c>
      <c r="AF3">
        <v>9</v>
      </c>
      <c r="AG3" s="1">
        <v>45682</v>
      </c>
      <c r="AH3" s="13">
        <v>0.76875000000000004</v>
      </c>
      <c r="AI3" s="13">
        <v>0.75</v>
      </c>
      <c r="AJ3" t="s">
        <v>266</v>
      </c>
      <c r="AK3" t="s">
        <v>303</v>
      </c>
      <c r="AL3" t="s">
        <v>302</v>
      </c>
      <c r="AM3" t="s">
        <v>169</v>
      </c>
      <c r="AN3" s="13">
        <v>0.76875000000000004</v>
      </c>
      <c r="AO3" s="1">
        <v>45682</v>
      </c>
      <c r="AP3" s="13">
        <v>0.75</v>
      </c>
      <c r="AQ3" s="2"/>
      <c r="AR3" t="s">
        <v>266</v>
      </c>
      <c r="AS3" t="s">
        <v>292</v>
      </c>
      <c r="AT3" t="s">
        <v>171</v>
      </c>
      <c r="AU3">
        <v>2025</v>
      </c>
      <c r="AV3">
        <v>4</v>
      </c>
      <c r="AW3">
        <v>4</v>
      </c>
      <c r="AX3">
        <v>25</v>
      </c>
      <c r="AY3">
        <v>25</v>
      </c>
      <c r="AZ3" t="s">
        <v>303</v>
      </c>
      <c r="BA3" t="s">
        <v>296</v>
      </c>
      <c r="BD3" t="s">
        <v>1021</v>
      </c>
      <c r="BG3" t="s">
        <v>1018</v>
      </c>
      <c r="BH3" t="s">
        <v>266</v>
      </c>
      <c r="BI3" t="s">
        <v>266</v>
      </c>
    </row>
    <row r="4" spans="1:61" x14ac:dyDescent="0.25">
      <c r="A4" t="s">
        <v>304</v>
      </c>
      <c r="B4">
        <v>45683</v>
      </c>
      <c r="C4" s="2">
        <v>0.84027777777777768</v>
      </c>
      <c r="D4" s="1">
        <v>45683</v>
      </c>
      <c r="E4" s="13">
        <v>0.84652777777777777</v>
      </c>
      <c r="F4" s="1">
        <v>45683</v>
      </c>
      <c r="G4" s="13">
        <v>0.85009259259259262</v>
      </c>
      <c r="H4" t="s">
        <v>174</v>
      </c>
      <c r="I4" t="s">
        <v>295</v>
      </c>
      <c r="K4" t="s">
        <v>305</v>
      </c>
      <c r="L4" t="s">
        <v>138</v>
      </c>
      <c r="M4">
        <v>9</v>
      </c>
      <c r="N4" t="s">
        <v>306</v>
      </c>
      <c r="Q4" t="s">
        <v>975</v>
      </c>
      <c r="R4" t="s">
        <v>942</v>
      </c>
      <c r="S4" t="s">
        <v>308</v>
      </c>
      <c r="T4" t="s">
        <v>976</v>
      </c>
      <c r="Y4" t="s">
        <v>934</v>
      </c>
      <c r="Z4" t="s">
        <v>931</v>
      </c>
      <c r="AA4" t="s">
        <v>309</v>
      </c>
      <c r="AB4" t="s">
        <v>142</v>
      </c>
      <c r="AC4" t="s">
        <v>310</v>
      </c>
      <c r="AD4" t="s">
        <v>166</v>
      </c>
      <c r="AE4" t="s">
        <v>182</v>
      </c>
      <c r="AF4">
        <v>9</v>
      </c>
      <c r="AG4" s="1">
        <v>45683</v>
      </c>
      <c r="AH4" s="13">
        <v>0.84027777777777779</v>
      </c>
      <c r="AI4" s="13">
        <v>0.83333333333333337</v>
      </c>
      <c r="AJ4" t="s">
        <v>168</v>
      </c>
      <c r="AK4" t="s">
        <v>312</v>
      </c>
      <c r="AL4" t="s">
        <v>302</v>
      </c>
      <c r="AM4" t="s">
        <v>169</v>
      </c>
      <c r="AN4" s="13">
        <v>0.84027777777777779</v>
      </c>
      <c r="AO4" s="1">
        <v>45683</v>
      </c>
      <c r="AP4" s="13">
        <v>0.83333333333333337</v>
      </c>
      <c r="AQ4" s="2"/>
      <c r="AR4" t="s">
        <v>168</v>
      </c>
      <c r="AS4" t="s">
        <v>311</v>
      </c>
      <c r="AT4" t="s">
        <v>171</v>
      </c>
      <c r="AU4">
        <v>2025</v>
      </c>
      <c r="AV4">
        <v>5</v>
      </c>
      <c r="AW4">
        <v>5</v>
      </c>
      <c r="AX4">
        <v>26</v>
      </c>
      <c r="AY4">
        <v>26</v>
      </c>
      <c r="AZ4" t="s">
        <v>312</v>
      </c>
      <c r="BA4" t="s">
        <v>305</v>
      </c>
      <c r="BD4" t="s">
        <v>1022</v>
      </c>
      <c r="BG4" t="s">
        <v>1020</v>
      </c>
      <c r="BH4" t="s">
        <v>168</v>
      </c>
      <c r="BI4" t="s">
        <v>168</v>
      </c>
    </row>
    <row r="5" spans="1:61" x14ac:dyDescent="0.25">
      <c r="A5" t="s">
        <v>398</v>
      </c>
      <c r="B5">
        <v>45701</v>
      </c>
      <c r="C5" s="2">
        <v>0.66666666666666674</v>
      </c>
      <c r="D5" s="1"/>
      <c r="E5" s="13"/>
      <c r="F5" s="1">
        <v>45702</v>
      </c>
      <c r="G5" s="13">
        <v>0.29906250000000001</v>
      </c>
      <c r="H5" t="s">
        <v>174</v>
      </c>
      <c r="K5" t="s">
        <v>399</v>
      </c>
      <c r="L5" t="s">
        <v>400</v>
      </c>
      <c r="M5">
        <v>6</v>
      </c>
      <c r="N5" t="s">
        <v>401</v>
      </c>
      <c r="Q5" t="s">
        <v>402</v>
      </c>
      <c r="R5" t="s">
        <v>981</v>
      </c>
      <c r="S5" t="s">
        <v>403</v>
      </c>
      <c r="T5" t="s">
        <v>161</v>
      </c>
      <c r="Y5" t="s">
        <v>953</v>
      </c>
      <c r="Z5" t="s">
        <v>931</v>
      </c>
      <c r="AA5" t="s">
        <v>393</v>
      </c>
      <c r="AB5" t="s">
        <v>384</v>
      </c>
      <c r="AC5" t="s">
        <v>275</v>
      </c>
      <c r="AD5" t="s">
        <v>166</v>
      </c>
      <c r="AE5" t="s">
        <v>182</v>
      </c>
      <c r="AF5">
        <v>9</v>
      </c>
      <c r="AG5" s="1">
        <v>45701</v>
      </c>
      <c r="AH5" s="13">
        <v>0.66666666666666663</v>
      </c>
      <c r="AI5" s="13">
        <v>0.66666666666666663</v>
      </c>
      <c r="AJ5" t="s">
        <v>266</v>
      </c>
      <c r="AK5" t="s">
        <v>404</v>
      </c>
      <c r="AL5" t="s">
        <v>174</v>
      </c>
      <c r="AM5" t="s">
        <v>169</v>
      </c>
      <c r="AN5" s="13">
        <v>0.66666666666666663</v>
      </c>
      <c r="AO5" s="1">
        <v>45701</v>
      </c>
      <c r="AP5" s="13">
        <v>0.66666666666666663</v>
      </c>
      <c r="AQ5" s="2"/>
      <c r="AR5" t="s">
        <v>266</v>
      </c>
      <c r="AS5" t="s">
        <v>247</v>
      </c>
      <c r="AT5" t="s">
        <v>344</v>
      </c>
      <c r="AU5">
        <v>2025</v>
      </c>
      <c r="AV5">
        <v>7</v>
      </c>
      <c r="AW5">
        <v>3</v>
      </c>
      <c r="AX5">
        <v>13</v>
      </c>
      <c r="AY5">
        <v>44</v>
      </c>
      <c r="AZ5" t="s">
        <v>404</v>
      </c>
      <c r="BA5" t="s">
        <v>399</v>
      </c>
      <c r="BD5" t="s">
        <v>1024</v>
      </c>
      <c r="BG5" t="s">
        <v>1018</v>
      </c>
      <c r="BH5" t="s">
        <v>266</v>
      </c>
      <c r="BI5" t="s">
        <v>266</v>
      </c>
    </row>
    <row r="6" spans="1:61" x14ac:dyDescent="0.25">
      <c r="A6" t="s">
        <v>462</v>
      </c>
      <c r="B6">
        <v>45722</v>
      </c>
      <c r="C6" s="2">
        <v>0.94149305555555562</v>
      </c>
      <c r="D6" s="1"/>
      <c r="E6" s="13"/>
      <c r="F6" s="1">
        <v>45722</v>
      </c>
      <c r="G6" s="13">
        <v>0.94149305555555551</v>
      </c>
      <c r="H6" t="s">
        <v>174</v>
      </c>
      <c r="K6" t="s">
        <v>463</v>
      </c>
      <c r="L6" t="s">
        <v>208</v>
      </c>
      <c r="M6">
        <v>8</v>
      </c>
      <c r="N6" t="s">
        <v>464</v>
      </c>
      <c r="Q6" t="s">
        <v>465</v>
      </c>
      <c r="R6" t="s">
        <v>981</v>
      </c>
      <c r="S6" t="s">
        <v>466</v>
      </c>
      <c r="T6" t="s">
        <v>161</v>
      </c>
      <c r="Y6" t="s">
        <v>989</v>
      </c>
      <c r="Z6" t="s">
        <v>931</v>
      </c>
      <c r="AA6" t="s">
        <v>179</v>
      </c>
      <c r="AB6" t="s">
        <v>142</v>
      </c>
      <c r="AC6" t="s">
        <v>228</v>
      </c>
      <c r="AD6" t="s">
        <v>166</v>
      </c>
      <c r="AE6" t="s">
        <v>182</v>
      </c>
      <c r="AF6">
        <v>9</v>
      </c>
      <c r="AG6" s="1">
        <v>45722</v>
      </c>
      <c r="AH6" s="13">
        <v>0.94149305555555551</v>
      </c>
      <c r="AI6" s="13">
        <v>0.91666666666666663</v>
      </c>
      <c r="AJ6" t="s">
        <v>168</v>
      </c>
      <c r="AK6" t="s">
        <v>468</v>
      </c>
      <c r="AL6" t="s">
        <v>174</v>
      </c>
      <c r="AM6" t="s">
        <v>169</v>
      </c>
      <c r="AN6" s="13">
        <v>0.94149305555555551</v>
      </c>
      <c r="AO6" s="1">
        <v>45722</v>
      </c>
      <c r="AP6" s="13">
        <v>0.91666666666666663</v>
      </c>
      <c r="AQ6" s="2"/>
      <c r="AR6" t="s">
        <v>168</v>
      </c>
      <c r="AS6" t="s">
        <v>247</v>
      </c>
      <c r="AT6" t="s">
        <v>445</v>
      </c>
      <c r="AU6">
        <v>2025</v>
      </c>
      <c r="AV6">
        <v>10</v>
      </c>
      <c r="AW6">
        <v>2</v>
      </c>
      <c r="AX6">
        <v>6</v>
      </c>
      <c r="AY6">
        <v>65</v>
      </c>
      <c r="AZ6" t="s">
        <v>468</v>
      </c>
      <c r="BA6" t="s">
        <v>463</v>
      </c>
      <c r="BD6" t="s">
        <v>1025</v>
      </c>
      <c r="BG6" t="s">
        <v>1020</v>
      </c>
      <c r="BH6" t="s">
        <v>168</v>
      </c>
      <c r="BI6" t="s">
        <v>168</v>
      </c>
    </row>
    <row r="7" spans="1:61" x14ac:dyDescent="0.25">
      <c r="A7" t="s">
        <v>469</v>
      </c>
      <c r="B7">
        <v>45725</v>
      </c>
      <c r="C7" s="2">
        <v>0.8125</v>
      </c>
      <c r="D7" s="1">
        <v>45726</v>
      </c>
      <c r="E7" s="13">
        <v>0.35416666666666669</v>
      </c>
      <c r="F7" s="1">
        <v>45726</v>
      </c>
      <c r="G7" s="13">
        <v>0.37046296296296294</v>
      </c>
      <c r="H7" t="s">
        <v>174</v>
      </c>
      <c r="K7" t="s">
        <v>470</v>
      </c>
      <c r="L7" t="s">
        <v>191</v>
      </c>
      <c r="M7">
        <v>7</v>
      </c>
      <c r="N7" t="s">
        <v>471</v>
      </c>
      <c r="Q7" t="s">
        <v>472</v>
      </c>
      <c r="R7" t="s">
        <v>473</v>
      </c>
      <c r="S7" t="s">
        <v>474</v>
      </c>
      <c r="T7" t="s">
        <v>161</v>
      </c>
      <c r="Y7" t="s">
        <v>950</v>
      </c>
      <c r="Z7" t="s">
        <v>931</v>
      </c>
      <c r="AA7" t="s">
        <v>475</v>
      </c>
      <c r="AB7" t="s">
        <v>211</v>
      </c>
      <c r="AC7" t="s">
        <v>275</v>
      </c>
      <c r="AD7" t="s">
        <v>166</v>
      </c>
      <c r="AE7" t="s">
        <v>182</v>
      </c>
      <c r="AF7">
        <v>9</v>
      </c>
      <c r="AG7" s="1">
        <v>45725</v>
      </c>
      <c r="AH7" s="13">
        <v>0.8125</v>
      </c>
      <c r="AI7" s="13">
        <v>0.79166666666666663</v>
      </c>
      <c r="AJ7" t="s">
        <v>266</v>
      </c>
      <c r="AK7" t="s">
        <v>476</v>
      </c>
      <c r="AL7" t="s">
        <v>174</v>
      </c>
      <c r="AM7" t="s">
        <v>169</v>
      </c>
      <c r="AN7" s="13">
        <v>0.8125</v>
      </c>
      <c r="AO7" s="1">
        <v>45725</v>
      </c>
      <c r="AP7" s="13">
        <v>0.79166666666666663</v>
      </c>
      <c r="AQ7" s="2"/>
      <c r="AR7" t="s">
        <v>266</v>
      </c>
      <c r="AS7" t="s">
        <v>311</v>
      </c>
      <c r="AT7" t="s">
        <v>445</v>
      </c>
      <c r="AU7">
        <v>2025</v>
      </c>
      <c r="AV7">
        <v>11</v>
      </c>
      <c r="AW7">
        <v>3</v>
      </c>
      <c r="AX7">
        <v>9</v>
      </c>
      <c r="AY7">
        <v>68</v>
      </c>
      <c r="AZ7" t="s">
        <v>476</v>
      </c>
      <c r="BA7" t="s">
        <v>470</v>
      </c>
      <c r="BD7" t="s">
        <v>1026</v>
      </c>
      <c r="BG7" t="s">
        <v>1018</v>
      </c>
      <c r="BH7" t="s">
        <v>266</v>
      </c>
      <c r="BI7" t="s">
        <v>266</v>
      </c>
    </row>
    <row r="8" spans="1:61" x14ac:dyDescent="0.25">
      <c r="A8" t="s">
        <v>482</v>
      </c>
      <c r="B8">
        <v>45727</v>
      </c>
      <c r="C8" s="2">
        <v>0.60416666666666674</v>
      </c>
      <c r="D8" s="1"/>
      <c r="E8" s="13"/>
      <c r="F8" s="1">
        <v>45727</v>
      </c>
      <c r="G8" s="13">
        <v>0.69039351851851849</v>
      </c>
      <c r="H8" t="s">
        <v>174</v>
      </c>
      <c r="K8" t="s">
        <v>483</v>
      </c>
      <c r="L8" t="s">
        <v>208</v>
      </c>
      <c r="M8">
        <v>8</v>
      </c>
      <c r="N8" t="s">
        <v>484</v>
      </c>
      <c r="Q8" t="s">
        <v>485</v>
      </c>
      <c r="R8" t="s">
        <v>961</v>
      </c>
      <c r="S8" t="s">
        <v>487</v>
      </c>
      <c r="T8" t="s">
        <v>161</v>
      </c>
      <c r="Y8" t="s">
        <v>932</v>
      </c>
      <c r="Z8" t="s">
        <v>931</v>
      </c>
      <c r="AA8" t="s">
        <v>327</v>
      </c>
      <c r="AB8" t="s">
        <v>328</v>
      </c>
      <c r="AC8" t="s">
        <v>488</v>
      </c>
      <c r="AD8" t="s">
        <v>166</v>
      </c>
      <c r="AE8" t="s">
        <v>182</v>
      </c>
      <c r="AF8">
        <v>9</v>
      </c>
      <c r="AG8" s="1">
        <v>45727</v>
      </c>
      <c r="AH8" s="13">
        <v>0.60416666666666663</v>
      </c>
      <c r="AI8" s="13">
        <v>0.58333333333333337</v>
      </c>
      <c r="AJ8" t="s">
        <v>146</v>
      </c>
      <c r="AK8" t="s">
        <v>489</v>
      </c>
      <c r="AL8" t="s">
        <v>174</v>
      </c>
      <c r="AM8" t="s">
        <v>169</v>
      </c>
      <c r="AN8" s="13">
        <v>0.60416666666666663</v>
      </c>
      <c r="AO8" s="1">
        <v>45727</v>
      </c>
      <c r="AP8" s="13">
        <v>0.58333333333333337</v>
      </c>
      <c r="AQ8" s="2"/>
      <c r="AR8" t="s">
        <v>146</v>
      </c>
      <c r="AS8" t="s">
        <v>148</v>
      </c>
      <c r="AT8" t="s">
        <v>445</v>
      </c>
      <c r="AU8">
        <v>2025</v>
      </c>
      <c r="AV8">
        <v>11</v>
      </c>
      <c r="AW8">
        <v>3</v>
      </c>
      <c r="AX8">
        <v>11</v>
      </c>
      <c r="AY8">
        <v>70</v>
      </c>
      <c r="AZ8" t="s">
        <v>489</v>
      </c>
      <c r="BA8" t="s">
        <v>483</v>
      </c>
      <c r="BD8" t="s">
        <v>1027</v>
      </c>
      <c r="BG8" t="s">
        <v>1020</v>
      </c>
      <c r="BH8" t="s">
        <v>146</v>
      </c>
      <c r="BI8" t="s">
        <v>146</v>
      </c>
    </row>
    <row r="9" spans="1:61" x14ac:dyDescent="0.25">
      <c r="A9" t="s">
        <v>505</v>
      </c>
      <c r="B9">
        <v>45739</v>
      </c>
      <c r="C9" s="2">
        <v>0.17361111111111116</v>
      </c>
      <c r="D9" s="1">
        <v>45739</v>
      </c>
      <c r="E9" s="13">
        <v>0.18055555555555555</v>
      </c>
      <c r="F9" s="1">
        <v>45739</v>
      </c>
      <c r="G9" s="13">
        <v>0.20511574074074074</v>
      </c>
      <c r="H9" t="s">
        <v>174</v>
      </c>
      <c r="I9" t="s">
        <v>506</v>
      </c>
      <c r="K9" t="s">
        <v>507</v>
      </c>
      <c r="L9" t="s">
        <v>270</v>
      </c>
      <c r="M9">
        <v>5</v>
      </c>
      <c r="N9" t="s">
        <v>508</v>
      </c>
      <c r="Q9" t="s">
        <v>992</v>
      </c>
      <c r="R9" t="s">
        <v>981</v>
      </c>
      <c r="S9" t="s">
        <v>510</v>
      </c>
      <c r="T9" t="s">
        <v>161</v>
      </c>
      <c r="Y9" t="s">
        <v>993</v>
      </c>
      <c r="Z9" t="s">
        <v>931</v>
      </c>
      <c r="AA9" t="s">
        <v>309</v>
      </c>
      <c r="AB9" t="s">
        <v>142</v>
      </c>
      <c r="AC9" t="s">
        <v>275</v>
      </c>
      <c r="AD9" t="s">
        <v>166</v>
      </c>
      <c r="AE9" t="s">
        <v>182</v>
      </c>
      <c r="AF9">
        <v>9</v>
      </c>
      <c r="AG9" s="1">
        <v>45739</v>
      </c>
      <c r="AH9" s="13">
        <v>0.1736111111111111</v>
      </c>
      <c r="AI9" s="13">
        <v>0.16666666666666666</v>
      </c>
      <c r="AJ9" t="s">
        <v>385</v>
      </c>
      <c r="AK9" t="s">
        <v>513</v>
      </c>
      <c r="AL9" t="s">
        <v>512</v>
      </c>
      <c r="AM9" t="s">
        <v>169</v>
      </c>
      <c r="AN9" s="13">
        <v>0.1736111111111111</v>
      </c>
      <c r="AO9" s="1">
        <v>45739</v>
      </c>
      <c r="AP9" s="13">
        <v>0.16666666666666666</v>
      </c>
      <c r="AQ9" s="2"/>
      <c r="AR9" t="s">
        <v>385</v>
      </c>
      <c r="AS9" t="s">
        <v>311</v>
      </c>
      <c r="AT9" t="s">
        <v>445</v>
      </c>
      <c r="AU9">
        <v>2025</v>
      </c>
      <c r="AV9">
        <v>13</v>
      </c>
      <c r="AW9">
        <v>5</v>
      </c>
      <c r="AX9">
        <v>23</v>
      </c>
      <c r="AY9">
        <v>82</v>
      </c>
      <c r="AZ9" t="s">
        <v>513</v>
      </c>
      <c r="BA9" t="s">
        <v>507</v>
      </c>
      <c r="BD9" t="s">
        <v>1028</v>
      </c>
      <c r="BG9" t="s">
        <v>1020</v>
      </c>
      <c r="BH9" t="s">
        <v>385</v>
      </c>
      <c r="BI9" t="s">
        <v>385</v>
      </c>
    </row>
    <row r="10" spans="1:61" x14ac:dyDescent="0.25">
      <c r="A10" t="s">
        <v>555</v>
      </c>
      <c r="B10">
        <v>45747</v>
      </c>
      <c r="C10" s="2">
        <v>0.77777777777777768</v>
      </c>
      <c r="D10" s="1">
        <v>45747</v>
      </c>
      <c r="E10" s="13">
        <v>0.91666666666666663</v>
      </c>
      <c r="F10" s="1">
        <v>45747</v>
      </c>
      <c r="G10" s="13">
        <v>0.93032407407407403</v>
      </c>
      <c r="H10" t="s">
        <v>174</v>
      </c>
      <c r="I10" t="s">
        <v>295</v>
      </c>
      <c r="J10" t="s">
        <v>556</v>
      </c>
      <c r="K10" t="s">
        <v>557</v>
      </c>
      <c r="L10" t="s">
        <v>191</v>
      </c>
      <c r="M10">
        <v>7</v>
      </c>
      <c r="N10" t="s">
        <v>558</v>
      </c>
      <c r="Q10" t="s">
        <v>559</v>
      </c>
      <c r="R10" t="s">
        <v>995</v>
      </c>
      <c r="S10" t="s">
        <v>561</v>
      </c>
      <c r="T10" t="s">
        <v>161</v>
      </c>
      <c r="Y10" t="s">
        <v>989</v>
      </c>
      <c r="Z10" t="s">
        <v>931</v>
      </c>
      <c r="AA10" t="s">
        <v>562</v>
      </c>
      <c r="AB10" t="s">
        <v>256</v>
      </c>
      <c r="AC10" t="s">
        <v>228</v>
      </c>
      <c r="AD10" t="s">
        <v>166</v>
      </c>
      <c r="AE10" t="s">
        <v>563</v>
      </c>
      <c r="AF10">
        <v>9</v>
      </c>
      <c r="AG10" s="1">
        <v>45747</v>
      </c>
      <c r="AH10" s="13">
        <v>0.77777777777777779</v>
      </c>
      <c r="AI10" s="13">
        <v>0.75</v>
      </c>
      <c r="AJ10" t="s">
        <v>266</v>
      </c>
      <c r="AK10" t="s">
        <v>565</v>
      </c>
      <c r="AL10" t="s">
        <v>564</v>
      </c>
      <c r="AM10" t="s">
        <v>169</v>
      </c>
      <c r="AN10" s="13">
        <v>0.77777777777777779</v>
      </c>
      <c r="AO10" s="1">
        <v>45747</v>
      </c>
      <c r="AP10" s="13">
        <v>0.75</v>
      </c>
      <c r="AQ10" s="2"/>
      <c r="AR10" t="s">
        <v>266</v>
      </c>
      <c r="AS10" t="s">
        <v>183</v>
      </c>
      <c r="AT10" t="s">
        <v>445</v>
      </c>
      <c r="AU10">
        <v>2025</v>
      </c>
      <c r="AV10">
        <v>14</v>
      </c>
      <c r="AW10">
        <v>6</v>
      </c>
      <c r="AX10">
        <v>31</v>
      </c>
      <c r="AY10">
        <v>90</v>
      </c>
      <c r="AZ10" t="s">
        <v>565</v>
      </c>
      <c r="BA10" t="s">
        <v>557</v>
      </c>
      <c r="BD10" t="s">
        <v>1029</v>
      </c>
      <c r="BG10" t="s">
        <v>1020</v>
      </c>
      <c r="BH10" t="s">
        <v>266</v>
      </c>
      <c r="BI10" t="s">
        <v>266</v>
      </c>
    </row>
    <row r="11" spans="1:61" x14ac:dyDescent="0.25">
      <c r="A11" t="s">
        <v>566</v>
      </c>
      <c r="B11">
        <v>45747</v>
      </c>
      <c r="C11" s="2">
        <v>0.75</v>
      </c>
      <c r="D11" s="1"/>
      <c r="E11" s="13"/>
      <c r="F11" s="1">
        <v>45748</v>
      </c>
      <c r="G11" s="13">
        <v>3.6863425925925924E-2</v>
      </c>
      <c r="H11" t="s">
        <v>174</v>
      </c>
      <c r="K11" t="s">
        <v>567</v>
      </c>
      <c r="L11" t="s">
        <v>156</v>
      </c>
      <c r="N11" t="s">
        <v>568</v>
      </c>
      <c r="O11">
        <v>2</v>
      </c>
      <c r="P11">
        <v>0</v>
      </c>
      <c r="Q11" t="s">
        <v>996</v>
      </c>
      <c r="R11" t="s">
        <v>947</v>
      </c>
      <c r="S11" t="s">
        <v>997</v>
      </c>
      <c r="T11" t="s">
        <v>976</v>
      </c>
      <c r="Y11" t="s">
        <v>989</v>
      </c>
      <c r="Z11" t="s">
        <v>931</v>
      </c>
      <c r="AA11" t="s">
        <v>571</v>
      </c>
      <c r="AB11" t="s">
        <v>444</v>
      </c>
      <c r="AC11" t="s">
        <v>228</v>
      </c>
      <c r="AD11" t="s">
        <v>364</v>
      </c>
      <c r="AE11" t="s">
        <v>563</v>
      </c>
      <c r="AF11">
        <v>9</v>
      </c>
      <c r="AG11" s="1">
        <v>45747</v>
      </c>
      <c r="AH11" s="13">
        <v>0.75</v>
      </c>
      <c r="AI11" s="13">
        <v>0.75</v>
      </c>
      <c r="AJ11" t="s">
        <v>266</v>
      </c>
      <c r="AK11" t="s">
        <v>172</v>
      </c>
      <c r="AL11" t="s">
        <v>174</v>
      </c>
      <c r="AM11" t="s">
        <v>169</v>
      </c>
      <c r="AN11" s="13">
        <v>0.75</v>
      </c>
      <c r="AO11" s="1">
        <v>45747</v>
      </c>
      <c r="AP11" s="13">
        <v>0.75</v>
      </c>
      <c r="AQ11" s="2"/>
      <c r="AR11" t="s">
        <v>266</v>
      </c>
      <c r="AS11" t="s">
        <v>183</v>
      </c>
      <c r="AT11" t="s">
        <v>445</v>
      </c>
      <c r="AU11">
        <v>2025</v>
      </c>
      <c r="AV11">
        <v>14</v>
      </c>
      <c r="AW11">
        <v>6</v>
      </c>
      <c r="AX11">
        <v>31</v>
      </c>
      <c r="AY11">
        <v>90</v>
      </c>
      <c r="AZ11" t="s">
        <v>172</v>
      </c>
      <c r="BA11" t="s">
        <v>567</v>
      </c>
      <c r="BD11" t="s">
        <v>1030</v>
      </c>
      <c r="BF11">
        <v>2</v>
      </c>
      <c r="BG11" t="s">
        <v>1018</v>
      </c>
      <c r="BH11" t="s">
        <v>266</v>
      </c>
      <c r="BI11" t="s">
        <v>266</v>
      </c>
    </row>
    <row r="12" spans="1:61" x14ac:dyDescent="0.25">
      <c r="A12" t="s">
        <v>572</v>
      </c>
      <c r="B12">
        <v>45747</v>
      </c>
      <c r="C12" s="2">
        <v>0.83333333333333326</v>
      </c>
      <c r="D12" s="1"/>
      <c r="E12" s="13"/>
      <c r="F12" s="1">
        <v>45747</v>
      </c>
      <c r="G12" s="13">
        <v>0.99899305555555551</v>
      </c>
      <c r="H12" t="s">
        <v>174</v>
      </c>
      <c r="K12" t="s">
        <v>567</v>
      </c>
      <c r="L12" t="s">
        <v>156</v>
      </c>
      <c r="M12">
        <v>9</v>
      </c>
      <c r="N12" t="s">
        <v>573</v>
      </c>
      <c r="O12">
        <v>5</v>
      </c>
      <c r="P12">
        <v>0</v>
      </c>
      <c r="Q12" t="s">
        <v>998</v>
      </c>
      <c r="R12" t="s">
        <v>947</v>
      </c>
      <c r="S12" t="s">
        <v>575</v>
      </c>
      <c r="T12" t="s">
        <v>161</v>
      </c>
      <c r="Y12" t="s">
        <v>989</v>
      </c>
      <c r="Z12" t="s">
        <v>931</v>
      </c>
      <c r="AA12" t="s">
        <v>571</v>
      </c>
      <c r="AB12" t="s">
        <v>444</v>
      </c>
      <c r="AC12" t="s">
        <v>228</v>
      </c>
      <c r="AD12" t="s">
        <v>364</v>
      </c>
      <c r="AE12" t="s">
        <v>563</v>
      </c>
      <c r="AF12">
        <v>9</v>
      </c>
      <c r="AG12" s="1">
        <v>45747</v>
      </c>
      <c r="AH12" s="13">
        <v>0.83333333333333337</v>
      </c>
      <c r="AI12" s="13">
        <v>0.83333333333333337</v>
      </c>
      <c r="AJ12" t="s">
        <v>168</v>
      </c>
      <c r="AK12" t="s">
        <v>172</v>
      </c>
      <c r="AL12" t="s">
        <v>174</v>
      </c>
      <c r="AM12" t="s">
        <v>169</v>
      </c>
      <c r="AN12" s="13">
        <v>0.83333333333333337</v>
      </c>
      <c r="AO12" s="1">
        <v>45747</v>
      </c>
      <c r="AP12" s="13">
        <v>0.83333333333333337</v>
      </c>
      <c r="AQ12" s="2"/>
      <c r="AR12" t="s">
        <v>168</v>
      </c>
      <c r="AS12" t="s">
        <v>183</v>
      </c>
      <c r="AT12" t="s">
        <v>445</v>
      </c>
      <c r="AU12">
        <v>2025</v>
      </c>
      <c r="AV12">
        <v>14</v>
      </c>
      <c r="AW12">
        <v>6</v>
      </c>
      <c r="AX12">
        <v>31</v>
      </c>
      <c r="AY12">
        <v>90</v>
      </c>
      <c r="AZ12" t="s">
        <v>172</v>
      </c>
      <c r="BA12" t="s">
        <v>567</v>
      </c>
      <c r="BD12" t="s">
        <v>1031</v>
      </c>
      <c r="BF12">
        <v>5</v>
      </c>
      <c r="BG12" t="s">
        <v>1020</v>
      </c>
      <c r="BH12" t="s">
        <v>168</v>
      </c>
      <c r="BI12" t="s">
        <v>168</v>
      </c>
    </row>
    <row r="13" spans="1:61" x14ac:dyDescent="0.25">
      <c r="A13" t="s">
        <v>576</v>
      </c>
      <c r="B13">
        <v>45748</v>
      </c>
      <c r="C13" s="2">
        <v>0.85324074074074074</v>
      </c>
      <c r="D13" s="1"/>
      <c r="E13" s="13"/>
      <c r="F13" s="1">
        <v>45748</v>
      </c>
      <c r="G13" s="13">
        <v>0.85324074074074074</v>
      </c>
      <c r="H13" t="s">
        <v>174</v>
      </c>
      <c r="K13" t="s">
        <v>577</v>
      </c>
      <c r="L13" t="s">
        <v>414</v>
      </c>
      <c r="M13">
        <v>7</v>
      </c>
      <c r="N13" t="s">
        <v>578</v>
      </c>
      <c r="Q13" t="s">
        <v>579</v>
      </c>
      <c r="R13" t="s">
        <v>999</v>
      </c>
      <c r="S13" t="s">
        <v>581</v>
      </c>
      <c r="T13" t="s">
        <v>161</v>
      </c>
      <c r="Y13" t="s">
        <v>934</v>
      </c>
      <c r="Z13" t="s">
        <v>931</v>
      </c>
      <c r="AA13" t="s">
        <v>417</v>
      </c>
      <c r="AB13" t="s">
        <v>142</v>
      </c>
      <c r="AC13" t="s">
        <v>228</v>
      </c>
      <c r="AD13" t="s">
        <v>166</v>
      </c>
      <c r="AE13" t="s">
        <v>182</v>
      </c>
      <c r="AF13">
        <v>9</v>
      </c>
      <c r="AG13" s="1">
        <v>45748</v>
      </c>
      <c r="AH13" s="13">
        <v>0.85324074074074074</v>
      </c>
      <c r="AI13" s="13">
        <v>0.83333333333333337</v>
      </c>
      <c r="AJ13" t="s">
        <v>168</v>
      </c>
      <c r="AK13" t="s">
        <v>184</v>
      </c>
      <c r="AL13" t="s">
        <v>174</v>
      </c>
      <c r="AM13" t="s">
        <v>169</v>
      </c>
      <c r="AN13" s="13">
        <v>0.85324074074074074</v>
      </c>
      <c r="AO13" s="1">
        <v>45748</v>
      </c>
      <c r="AP13" s="13">
        <v>0.83333333333333337</v>
      </c>
      <c r="AQ13" s="2"/>
      <c r="AR13" t="s">
        <v>168</v>
      </c>
      <c r="AS13" t="s">
        <v>148</v>
      </c>
      <c r="AT13" t="s">
        <v>582</v>
      </c>
      <c r="AU13">
        <v>2025</v>
      </c>
      <c r="AV13">
        <v>14</v>
      </c>
      <c r="AW13">
        <v>1</v>
      </c>
      <c r="AX13">
        <v>1</v>
      </c>
      <c r="AY13">
        <v>91</v>
      </c>
      <c r="AZ13" t="s">
        <v>184</v>
      </c>
      <c r="BA13" t="s">
        <v>577</v>
      </c>
      <c r="BD13" t="s">
        <v>1032</v>
      </c>
      <c r="BG13" t="s">
        <v>1020</v>
      </c>
      <c r="BH13" t="s">
        <v>168</v>
      </c>
      <c r="BI13" t="s">
        <v>168</v>
      </c>
    </row>
    <row r="14" spans="1:61" x14ac:dyDescent="0.25">
      <c r="A14" t="s">
        <v>593</v>
      </c>
      <c r="B14">
        <v>45755</v>
      </c>
      <c r="C14" s="2">
        <v>3.2638888888888884E-2</v>
      </c>
      <c r="D14" s="1"/>
      <c r="E14" s="13"/>
      <c r="F14" s="1">
        <v>45755</v>
      </c>
      <c r="G14" s="13">
        <v>3.6493055555555556E-2</v>
      </c>
      <c r="H14" t="s">
        <v>174</v>
      </c>
      <c r="I14" t="s">
        <v>219</v>
      </c>
      <c r="J14" t="s">
        <v>594</v>
      </c>
      <c r="K14" t="s">
        <v>595</v>
      </c>
      <c r="L14" t="s">
        <v>553</v>
      </c>
      <c r="M14">
        <v>7</v>
      </c>
      <c r="N14" t="s">
        <v>596</v>
      </c>
      <c r="Q14" t="s">
        <v>1000</v>
      </c>
      <c r="R14" t="s">
        <v>452</v>
      </c>
      <c r="S14" t="s">
        <v>598</v>
      </c>
      <c r="T14" t="s">
        <v>161</v>
      </c>
      <c r="Y14" t="s">
        <v>1001</v>
      </c>
      <c r="Z14" t="s">
        <v>931</v>
      </c>
      <c r="AA14" t="s">
        <v>255</v>
      </c>
      <c r="AB14" t="s">
        <v>256</v>
      </c>
      <c r="AC14" t="s">
        <v>310</v>
      </c>
      <c r="AD14" t="s">
        <v>166</v>
      </c>
      <c r="AE14" t="s">
        <v>182</v>
      </c>
      <c r="AF14">
        <v>9</v>
      </c>
      <c r="AG14" s="1">
        <v>45755</v>
      </c>
      <c r="AH14" s="13">
        <v>3.2638888888888891E-2</v>
      </c>
      <c r="AI14" s="13">
        <v>0</v>
      </c>
      <c r="AJ14" t="s">
        <v>343</v>
      </c>
      <c r="AK14" t="s">
        <v>601</v>
      </c>
      <c r="AL14" t="s">
        <v>600</v>
      </c>
      <c r="AM14" t="s">
        <v>169</v>
      </c>
      <c r="AN14" s="13">
        <v>3.2638888888888891E-2</v>
      </c>
      <c r="AO14" s="1">
        <v>45755</v>
      </c>
      <c r="AP14" s="13">
        <v>0</v>
      </c>
      <c r="AQ14" s="2"/>
      <c r="AR14" t="s">
        <v>343</v>
      </c>
      <c r="AS14" t="s">
        <v>148</v>
      </c>
      <c r="AT14" t="s">
        <v>582</v>
      </c>
      <c r="AU14">
        <v>2025</v>
      </c>
      <c r="AV14">
        <v>15</v>
      </c>
      <c r="AW14">
        <v>2</v>
      </c>
      <c r="AX14">
        <v>8</v>
      </c>
      <c r="AY14">
        <v>98</v>
      </c>
      <c r="AZ14" t="s">
        <v>601</v>
      </c>
      <c r="BA14" t="s">
        <v>595</v>
      </c>
      <c r="BD14" t="s">
        <v>1033</v>
      </c>
      <c r="BG14" t="s">
        <v>1020</v>
      </c>
      <c r="BH14" t="s">
        <v>343</v>
      </c>
      <c r="BI14" t="s">
        <v>343</v>
      </c>
    </row>
    <row r="15" spans="1:61" x14ac:dyDescent="0.25">
      <c r="A15" t="s">
        <v>612</v>
      </c>
      <c r="B15">
        <v>45756</v>
      </c>
      <c r="C15" s="2">
        <v>0.96527777777777768</v>
      </c>
      <c r="D15" s="1">
        <v>45756</v>
      </c>
      <c r="E15" s="13">
        <v>0.96597222222222223</v>
      </c>
      <c r="F15" s="1">
        <v>45757</v>
      </c>
      <c r="G15" s="13">
        <v>0.57611111111111113</v>
      </c>
      <c r="H15" t="s">
        <v>174</v>
      </c>
      <c r="K15" t="s">
        <v>613</v>
      </c>
      <c r="L15" t="s">
        <v>325</v>
      </c>
      <c r="M15">
        <v>8</v>
      </c>
      <c r="N15" t="s">
        <v>614</v>
      </c>
      <c r="Q15" t="s">
        <v>615</v>
      </c>
      <c r="R15" t="s">
        <v>991</v>
      </c>
      <c r="S15" t="s">
        <v>616</v>
      </c>
      <c r="T15" t="s">
        <v>161</v>
      </c>
      <c r="Y15" t="s">
        <v>932</v>
      </c>
      <c r="Z15" t="s">
        <v>931</v>
      </c>
      <c r="AA15" t="s">
        <v>265</v>
      </c>
      <c r="AB15" t="s">
        <v>164</v>
      </c>
      <c r="AC15" t="s">
        <v>488</v>
      </c>
      <c r="AD15" t="s">
        <v>166</v>
      </c>
      <c r="AE15" t="s">
        <v>182</v>
      </c>
      <c r="AF15">
        <v>9</v>
      </c>
      <c r="AG15" s="1">
        <v>45756</v>
      </c>
      <c r="AH15" s="13">
        <v>0.96527777777777779</v>
      </c>
      <c r="AI15" s="13">
        <v>0.95833333333333337</v>
      </c>
      <c r="AJ15" t="s">
        <v>168</v>
      </c>
      <c r="AK15" t="s">
        <v>617</v>
      </c>
      <c r="AL15" t="s">
        <v>174</v>
      </c>
      <c r="AM15" t="s">
        <v>169</v>
      </c>
      <c r="AN15" s="13">
        <v>0.96527777777777779</v>
      </c>
      <c r="AO15" s="1">
        <v>45756</v>
      </c>
      <c r="AP15" s="13">
        <v>0.95833333333333337</v>
      </c>
      <c r="AQ15" s="2"/>
      <c r="AR15" t="s">
        <v>168</v>
      </c>
      <c r="AS15" t="s">
        <v>239</v>
      </c>
      <c r="AT15" t="s">
        <v>582</v>
      </c>
      <c r="AU15">
        <v>2025</v>
      </c>
      <c r="AV15">
        <v>15</v>
      </c>
      <c r="AW15">
        <v>2</v>
      </c>
      <c r="AX15">
        <v>9</v>
      </c>
      <c r="AY15">
        <v>99</v>
      </c>
      <c r="AZ15" t="s">
        <v>617</v>
      </c>
      <c r="BA15" t="s">
        <v>613</v>
      </c>
      <c r="BD15" t="s">
        <v>1034</v>
      </c>
      <c r="BG15" t="s">
        <v>1018</v>
      </c>
      <c r="BH15" t="s">
        <v>168</v>
      </c>
      <c r="BI15" t="s">
        <v>168</v>
      </c>
    </row>
    <row r="16" spans="1:61" x14ac:dyDescent="0.25">
      <c r="A16" t="s">
        <v>618</v>
      </c>
      <c r="C16" s="2"/>
      <c r="D16" s="1">
        <v>45760</v>
      </c>
      <c r="E16" s="13">
        <v>0.6875</v>
      </c>
      <c r="F16" s="1">
        <v>45760</v>
      </c>
      <c r="G16" s="13">
        <v>0.69084490740740745</v>
      </c>
      <c r="H16" t="s">
        <v>174</v>
      </c>
      <c r="I16" t="s">
        <v>619</v>
      </c>
      <c r="K16" t="s">
        <v>620</v>
      </c>
      <c r="L16" t="s">
        <v>191</v>
      </c>
      <c r="M16">
        <v>7</v>
      </c>
      <c r="N16" t="s">
        <v>621</v>
      </c>
      <c r="Q16" t="s">
        <v>1002</v>
      </c>
      <c r="R16" t="s">
        <v>942</v>
      </c>
      <c r="S16" t="s">
        <v>160</v>
      </c>
      <c r="T16" t="s">
        <v>161</v>
      </c>
      <c r="U16" t="s">
        <v>1003</v>
      </c>
      <c r="V16" t="s">
        <v>161</v>
      </c>
      <c r="W16" t="s">
        <v>981</v>
      </c>
      <c r="X16" t="s">
        <v>624</v>
      </c>
      <c r="Y16" t="s">
        <v>950</v>
      </c>
      <c r="Z16" t="s">
        <v>931</v>
      </c>
      <c r="AA16" t="s">
        <v>625</v>
      </c>
      <c r="AB16" t="s">
        <v>328</v>
      </c>
      <c r="AC16" t="s">
        <v>228</v>
      </c>
      <c r="AD16" t="s">
        <v>144</v>
      </c>
      <c r="AE16" t="s">
        <v>182</v>
      </c>
      <c r="AF16">
        <v>9</v>
      </c>
      <c r="AG16" s="1">
        <v>45760</v>
      </c>
      <c r="AH16" s="13">
        <v>0.6875</v>
      </c>
      <c r="AI16" s="13">
        <v>0.66666666666666663</v>
      </c>
      <c r="AJ16" t="s">
        <v>266</v>
      </c>
      <c r="AK16" t="s">
        <v>627</v>
      </c>
      <c r="AL16" t="s">
        <v>626</v>
      </c>
      <c r="AM16" t="s">
        <v>169</v>
      </c>
      <c r="AN16" s="13">
        <v>0.6875</v>
      </c>
      <c r="AO16" s="1">
        <v>45760</v>
      </c>
      <c r="AP16" s="13">
        <v>0.66666666666666663</v>
      </c>
      <c r="AQ16" s="2"/>
      <c r="AR16" t="s">
        <v>266</v>
      </c>
      <c r="AS16" t="s">
        <v>311</v>
      </c>
      <c r="AT16" t="s">
        <v>582</v>
      </c>
      <c r="AU16">
        <v>2025</v>
      </c>
      <c r="AV16">
        <v>16</v>
      </c>
      <c r="AW16">
        <v>3</v>
      </c>
      <c r="AX16">
        <v>13</v>
      </c>
      <c r="AY16">
        <v>103</v>
      </c>
      <c r="AZ16" t="s">
        <v>627</v>
      </c>
      <c r="BA16" t="s">
        <v>620</v>
      </c>
      <c r="BD16" t="s">
        <v>1017</v>
      </c>
      <c r="BG16" t="s">
        <v>1020</v>
      </c>
      <c r="BH16" t="s">
        <v>266</v>
      </c>
      <c r="BI16" t="s">
        <v>266</v>
      </c>
    </row>
    <row r="17" spans="1:61" x14ac:dyDescent="0.25">
      <c r="A17" t="s">
        <v>649</v>
      </c>
      <c r="B17">
        <v>45766</v>
      </c>
      <c r="C17" s="2">
        <v>0.58333333333333326</v>
      </c>
      <c r="D17" s="1">
        <v>45766</v>
      </c>
      <c r="E17" s="13">
        <v>0.625</v>
      </c>
      <c r="F17" s="1">
        <v>45766</v>
      </c>
      <c r="G17" s="13">
        <v>0.63688657407407412</v>
      </c>
      <c r="H17" t="s">
        <v>174</v>
      </c>
      <c r="I17" t="s">
        <v>295</v>
      </c>
      <c r="K17" t="s">
        <v>650</v>
      </c>
      <c r="L17" t="s">
        <v>358</v>
      </c>
      <c r="M17">
        <v>8</v>
      </c>
      <c r="N17" t="s">
        <v>651</v>
      </c>
      <c r="Q17" t="s">
        <v>1004</v>
      </c>
      <c r="R17" t="s">
        <v>981</v>
      </c>
      <c r="S17" t="s">
        <v>653</v>
      </c>
      <c r="T17" t="s">
        <v>161</v>
      </c>
      <c r="U17" t="s">
        <v>1005</v>
      </c>
      <c r="V17" t="s">
        <v>161</v>
      </c>
      <c r="W17" t="s">
        <v>655</v>
      </c>
      <c r="X17" t="s">
        <v>656</v>
      </c>
      <c r="Y17" t="s">
        <v>1006</v>
      </c>
      <c r="Z17" t="s">
        <v>931</v>
      </c>
      <c r="AA17" t="s">
        <v>530</v>
      </c>
      <c r="AB17" t="s">
        <v>384</v>
      </c>
      <c r="AC17" t="s">
        <v>488</v>
      </c>
      <c r="AD17" t="s">
        <v>166</v>
      </c>
      <c r="AE17" t="s">
        <v>182</v>
      </c>
      <c r="AF17">
        <v>9</v>
      </c>
      <c r="AG17" s="1">
        <v>45766</v>
      </c>
      <c r="AH17" s="13">
        <v>0.58333333333333337</v>
      </c>
      <c r="AI17" s="13">
        <v>0.58333333333333337</v>
      </c>
      <c r="AJ17" t="s">
        <v>146</v>
      </c>
      <c r="AK17" t="s">
        <v>658</v>
      </c>
      <c r="AL17" t="s">
        <v>302</v>
      </c>
      <c r="AM17" t="s">
        <v>169</v>
      </c>
      <c r="AN17" s="13">
        <v>0.58333333333333337</v>
      </c>
      <c r="AO17" s="1">
        <v>45766</v>
      </c>
      <c r="AP17" s="13">
        <v>0.58333333333333337</v>
      </c>
      <c r="AQ17" s="2"/>
      <c r="AR17" t="s">
        <v>146</v>
      </c>
      <c r="AS17" t="s">
        <v>292</v>
      </c>
      <c r="AT17" t="s">
        <v>582</v>
      </c>
      <c r="AU17">
        <v>2025</v>
      </c>
      <c r="AV17">
        <v>16</v>
      </c>
      <c r="AW17">
        <v>3</v>
      </c>
      <c r="AX17">
        <v>19</v>
      </c>
      <c r="AY17">
        <v>109</v>
      </c>
      <c r="AZ17" t="s">
        <v>658</v>
      </c>
      <c r="BA17" t="s">
        <v>650</v>
      </c>
      <c r="BD17" t="s">
        <v>1035</v>
      </c>
      <c r="BG17" t="s">
        <v>1020</v>
      </c>
      <c r="BH17" t="s">
        <v>146</v>
      </c>
      <c r="BI17" t="s">
        <v>146</v>
      </c>
    </row>
    <row r="18" spans="1:61" x14ac:dyDescent="0.25">
      <c r="A18" t="s">
        <v>604</v>
      </c>
      <c r="B18">
        <v>45755</v>
      </c>
      <c r="C18" s="2">
        <v>0.20833333333333326</v>
      </c>
      <c r="D18" s="1">
        <v>45757</v>
      </c>
      <c r="E18" s="13">
        <v>0.375</v>
      </c>
      <c r="F18" s="1">
        <v>45768</v>
      </c>
      <c r="G18" s="13">
        <v>0.53252314814814816</v>
      </c>
      <c r="H18" t="s">
        <v>174</v>
      </c>
      <c r="K18" t="s">
        <v>605</v>
      </c>
      <c r="L18" t="s">
        <v>270</v>
      </c>
      <c r="M18">
        <v>5</v>
      </c>
      <c r="N18" t="s">
        <v>606</v>
      </c>
      <c r="Q18" t="s">
        <v>607</v>
      </c>
      <c r="R18" t="s">
        <v>608</v>
      </c>
      <c r="S18" t="s">
        <v>609</v>
      </c>
      <c r="T18" t="s">
        <v>161</v>
      </c>
      <c r="Y18" t="s">
        <v>1007</v>
      </c>
      <c r="Z18" t="s">
        <v>931</v>
      </c>
      <c r="AA18" t="s">
        <v>585</v>
      </c>
      <c r="AB18" t="s">
        <v>164</v>
      </c>
      <c r="AC18" t="s">
        <v>180</v>
      </c>
      <c r="AD18" t="s">
        <v>166</v>
      </c>
      <c r="AE18" t="s">
        <v>182</v>
      </c>
      <c r="AF18">
        <v>9</v>
      </c>
      <c r="AG18" s="1">
        <v>45755</v>
      </c>
      <c r="AH18" s="13">
        <v>0.20833333333333334</v>
      </c>
      <c r="AI18" s="13">
        <v>0.20833333333333334</v>
      </c>
      <c r="AJ18" t="s">
        <v>385</v>
      </c>
      <c r="AK18" t="s">
        <v>611</v>
      </c>
      <c r="AL18" t="s">
        <v>174</v>
      </c>
      <c r="AM18" t="s">
        <v>169</v>
      </c>
      <c r="AN18" s="13">
        <v>0.20833333333333334</v>
      </c>
      <c r="AO18" s="1">
        <v>45755</v>
      </c>
      <c r="AP18" s="13">
        <v>0.20833333333333334</v>
      </c>
      <c r="AQ18" s="2"/>
      <c r="AR18" t="s">
        <v>385</v>
      </c>
      <c r="AS18" t="s">
        <v>148</v>
      </c>
      <c r="AT18" t="s">
        <v>582</v>
      </c>
      <c r="AU18">
        <v>2025</v>
      </c>
      <c r="AV18">
        <v>15</v>
      </c>
      <c r="AW18">
        <v>2</v>
      </c>
      <c r="AX18">
        <v>8</v>
      </c>
      <c r="AY18">
        <v>98</v>
      </c>
      <c r="AZ18" t="s">
        <v>611</v>
      </c>
      <c r="BA18" t="s">
        <v>605</v>
      </c>
      <c r="BD18" t="s">
        <v>1036</v>
      </c>
      <c r="BG18" t="s">
        <v>1023</v>
      </c>
      <c r="BH18" t="s">
        <v>385</v>
      </c>
      <c r="BI18" t="s">
        <v>385</v>
      </c>
    </row>
    <row r="19" spans="1:61" x14ac:dyDescent="0.25">
      <c r="A19" t="s">
        <v>732</v>
      </c>
      <c r="B19">
        <v>45788</v>
      </c>
      <c r="C19" s="2">
        <v>79.166666666666671</v>
      </c>
      <c r="D19" s="1">
        <v>45789</v>
      </c>
      <c r="E19" s="13">
        <v>0.13958333333333334</v>
      </c>
      <c r="F19" s="1">
        <v>45789</v>
      </c>
      <c r="G19" s="13">
        <v>0.28483796296296299</v>
      </c>
      <c r="H19" t="s">
        <v>174</v>
      </c>
      <c r="K19" t="s">
        <v>733</v>
      </c>
      <c r="L19" t="s">
        <v>270</v>
      </c>
      <c r="M19">
        <v>5</v>
      </c>
      <c r="N19" t="s">
        <v>734</v>
      </c>
      <c r="Q19" t="s">
        <v>735</v>
      </c>
      <c r="R19" t="s">
        <v>995</v>
      </c>
      <c r="S19" t="s">
        <v>736</v>
      </c>
      <c r="T19" t="s">
        <v>161</v>
      </c>
      <c r="Y19" t="s">
        <v>946</v>
      </c>
      <c r="Z19" t="s">
        <v>931</v>
      </c>
      <c r="AA19" t="s">
        <v>210</v>
      </c>
      <c r="AB19" t="s">
        <v>211</v>
      </c>
      <c r="AC19" t="s">
        <v>228</v>
      </c>
      <c r="AD19" t="s">
        <v>166</v>
      </c>
      <c r="AE19" t="s">
        <v>182</v>
      </c>
      <c r="AF19">
        <v>9</v>
      </c>
      <c r="AG19" s="1">
        <v>45788</v>
      </c>
      <c r="AH19" s="13">
        <v>0.16666666666666666</v>
      </c>
      <c r="AI19" s="13">
        <v>0.16666666666666666</v>
      </c>
      <c r="AJ19" t="s">
        <v>385</v>
      </c>
      <c r="AK19" t="s">
        <v>737</v>
      </c>
      <c r="AL19" t="s">
        <v>174</v>
      </c>
      <c r="AM19" t="s">
        <v>169</v>
      </c>
      <c r="AN19" s="13">
        <v>0.16666666666666666</v>
      </c>
      <c r="AO19" s="1">
        <v>45788</v>
      </c>
      <c r="AP19" s="13">
        <v>0.16666666666666666</v>
      </c>
      <c r="AQ19" s="2"/>
      <c r="AR19" t="s">
        <v>385</v>
      </c>
      <c r="AS19" t="s">
        <v>311</v>
      </c>
      <c r="AT19" t="s">
        <v>705</v>
      </c>
      <c r="AU19">
        <v>2025</v>
      </c>
      <c r="AV19">
        <v>20</v>
      </c>
      <c r="AW19">
        <v>3</v>
      </c>
      <c r="AX19">
        <v>11</v>
      </c>
      <c r="AY19">
        <v>131</v>
      </c>
      <c r="AZ19" t="s">
        <v>737</v>
      </c>
      <c r="BA19" t="s">
        <v>733</v>
      </c>
      <c r="BD19" t="s">
        <v>1037</v>
      </c>
      <c r="BG19" t="s">
        <v>1018</v>
      </c>
      <c r="BH19" t="s">
        <v>385</v>
      </c>
      <c r="BI19" t="s">
        <v>385</v>
      </c>
    </row>
    <row r="20" spans="1:61" x14ac:dyDescent="0.25">
      <c r="A20" t="s">
        <v>765</v>
      </c>
      <c r="B20">
        <v>45791</v>
      </c>
      <c r="C20" s="2">
        <v>0.46875</v>
      </c>
      <c r="D20" s="1"/>
      <c r="E20" s="13"/>
      <c r="F20" s="1">
        <v>45797</v>
      </c>
      <c r="G20" s="13">
        <v>0.56267361111111114</v>
      </c>
      <c r="H20" t="s">
        <v>174</v>
      </c>
      <c r="I20" t="s">
        <v>295</v>
      </c>
      <c r="K20" t="s">
        <v>766</v>
      </c>
      <c r="L20" t="s">
        <v>325</v>
      </c>
      <c r="M20">
        <v>8</v>
      </c>
      <c r="N20" t="s">
        <v>767</v>
      </c>
      <c r="Q20" t="s">
        <v>768</v>
      </c>
      <c r="Y20" t="s">
        <v>946</v>
      </c>
      <c r="Z20" t="s">
        <v>931</v>
      </c>
      <c r="AA20" t="s">
        <v>334</v>
      </c>
      <c r="AB20" t="s">
        <v>164</v>
      </c>
      <c r="AC20" t="s">
        <v>310</v>
      </c>
      <c r="AD20" t="s">
        <v>166</v>
      </c>
      <c r="AE20" t="s">
        <v>182</v>
      </c>
      <c r="AF20">
        <v>9</v>
      </c>
      <c r="AG20" s="1">
        <v>45791</v>
      </c>
      <c r="AH20" s="13">
        <v>0.46875</v>
      </c>
      <c r="AI20" s="13">
        <v>0.45833333333333331</v>
      </c>
      <c r="AJ20" t="s">
        <v>276</v>
      </c>
      <c r="AK20" t="s">
        <v>374</v>
      </c>
      <c r="AL20" t="s">
        <v>302</v>
      </c>
      <c r="AM20" t="s">
        <v>169</v>
      </c>
      <c r="AN20" s="13">
        <v>0.46875</v>
      </c>
      <c r="AO20" s="1">
        <v>45791</v>
      </c>
      <c r="AP20" s="13">
        <v>0.45833333333333331</v>
      </c>
      <c r="AQ20" s="2"/>
      <c r="AR20" t="s">
        <v>276</v>
      </c>
      <c r="AS20" t="s">
        <v>239</v>
      </c>
      <c r="AT20" t="s">
        <v>705</v>
      </c>
      <c r="AU20">
        <v>2025</v>
      </c>
      <c r="AV20">
        <v>20</v>
      </c>
      <c r="AW20">
        <v>3</v>
      </c>
      <c r="AX20">
        <v>14</v>
      </c>
      <c r="AY20">
        <v>134</v>
      </c>
      <c r="AZ20" t="s">
        <v>374</v>
      </c>
      <c r="BA20" t="s">
        <v>766</v>
      </c>
      <c r="BG20" t="s">
        <v>1019</v>
      </c>
      <c r="BH20" t="s">
        <v>276</v>
      </c>
      <c r="BI20" t="s">
        <v>276</v>
      </c>
    </row>
    <row r="21" spans="1:61" x14ac:dyDescent="0.25">
      <c r="A21" t="s">
        <v>823</v>
      </c>
      <c r="B21">
        <v>45813</v>
      </c>
      <c r="C21" s="2">
        <v>0.28472222222222232</v>
      </c>
      <c r="D21" s="1"/>
      <c r="E21" s="13"/>
      <c r="F21" s="1">
        <v>45813</v>
      </c>
      <c r="G21" s="13">
        <v>0.28687499999999999</v>
      </c>
      <c r="H21" t="s">
        <v>174</v>
      </c>
      <c r="I21" t="s">
        <v>556</v>
      </c>
      <c r="K21" t="s">
        <v>824</v>
      </c>
      <c r="L21" t="s">
        <v>338</v>
      </c>
      <c r="M21">
        <v>6</v>
      </c>
      <c r="N21" t="s">
        <v>825</v>
      </c>
      <c r="Q21" t="s">
        <v>826</v>
      </c>
      <c r="R21" t="s">
        <v>1011</v>
      </c>
      <c r="S21" t="s">
        <v>828</v>
      </c>
      <c r="T21" t="s">
        <v>161</v>
      </c>
      <c r="Y21" t="s">
        <v>930</v>
      </c>
      <c r="Z21" t="s">
        <v>931</v>
      </c>
      <c r="AA21" t="s">
        <v>393</v>
      </c>
      <c r="AB21" t="s">
        <v>384</v>
      </c>
      <c r="AC21" t="s">
        <v>228</v>
      </c>
      <c r="AD21" t="s">
        <v>166</v>
      </c>
      <c r="AE21" t="s">
        <v>182</v>
      </c>
      <c r="AF21">
        <v>9</v>
      </c>
      <c r="AG21" s="1">
        <v>45813</v>
      </c>
      <c r="AH21" s="13">
        <v>0.28472222222222221</v>
      </c>
      <c r="AI21" s="13">
        <v>0.25</v>
      </c>
      <c r="AJ21" t="s">
        <v>385</v>
      </c>
      <c r="AK21" t="s">
        <v>830</v>
      </c>
      <c r="AL21" t="s">
        <v>829</v>
      </c>
      <c r="AM21" t="s">
        <v>169</v>
      </c>
      <c r="AN21" s="13">
        <v>0.28472222222222221</v>
      </c>
      <c r="AO21" s="1">
        <v>45813</v>
      </c>
      <c r="AP21" s="13">
        <v>0.25</v>
      </c>
      <c r="AQ21" s="2"/>
      <c r="AR21" t="s">
        <v>385</v>
      </c>
      <c r="AS21" t="s">
        <v>247</v>
      </c>
      <c r="AT21" t="s">
        <v>149</v>
      </c>
      <c r="AU21">
        <v>2025</v>
      </c>
      <c r="AV21">
        <v>23</v>
      </c>
      <c r="AW21">
        <v>1</v>
      </c>
      <c r="AX21">
        <v>5</v>
      </c>
      <c r="AY21">
        <v>156</v>
      </c>
      <c r="AZ21" t="s">
        <v>830</v>
      </c>
      <c r="BA21" t="s">
        <v>824</v>
      </c>
      <c r="BD21" t="s">
        <v>1038</v>
      </c>
      <c r="BG21" t="s">
        <v>1020</v>
      </c>
      <c r="BH21" t="s">
        <v>385</v>
      </c>
      <c r="BI21" t="s">
        <v>385</v>
      </c>
    </row>
    <row r="22" spans="1:61" x14ac:dyDescent="0.25">
      <c r="A22" t="s">
        <v>831</v>
      </c>
      <c r="B22">
        <v>45813</v>
      </c>
      <c r="C22" s="2">
        <v>0.28194444444444455</v>
      </c>
      <c r="D22" s="1"/>
      <c r="E22" s="13"/>
      <c r="F22" s="1">
        <v>45813</v>
      </c>
      <c r="G22" s="13">
        <v>0.28289351851851852</v>
      </c>
      <c r="H22" t="s">
        <v>174</v>
      </c>
      <c r="I22" t="s">
        <v>556</v>
      </c>
      <c r="K22" t="s">
        <v>832</v>
      </c>
      <c r="L22" t="s">
        <v>553</v>
      </c>
      <c r="M22">
        <v>7</v>
      </c>
      <c r="N22" t="s">
        <v>833</v>
      </c>
      <c r="Q22" t="s">
        <v>834</v>
      </c>
      <c r="R22" t="s">
        <v>1011</v>
      </c>
      <c r="S22" t="s">
        <v>828</v>
      </c>
      <c r="T22" t="s">
        <v>835</v>
      </c>
      <c r="Y22" t="s">
        <v>930</v>
      </c>
      <c r="Z22" t="s">
        <v>931</v>
      </c>
      <c r="AA22" t="s">
        <v>265</v>
      </c>
      <c r="AB22" t="s">
        <v>164</v>
      </c>
      <c r="AC22" t="s">
        <v>228</v>
      </c>
      <c r="AD22" t="s">
        <v>166</v>
      </c>
      <c r="AE22" t="s">
        <v>167</v>
      </c>
      <c r="AF22">
        <v>9</v>
      </c>
      <c r="AG22" s="1">
        <v>45813</v>
      </c>
      <c r="AH22" s="13">
        <v>0.28194444444444444</v>
      </c>
      <c r="AI22" s="13">
        <v>0.25</v>
      </c>
      <c r="AJ22" t="s">
        <v>385</v>
      </c>
      <c r="AK22" t="s">
        <v>836</v>
      </c>
      <c r="AL22" t="s">
        <v>829</v>
      </c>
      <c r="AM22" t="s">
        <v>169</v>
      </c>
      <c r="AN22" s="13">
        <v>0.28194444444444444</v>
      </c>
      <c r="AO22" s="1">
        <v>45813</v>
      </c>
      <c r="AP22" s="13">
        <v>0.25</v>
      </c>
      <c r="AQ22" s="2"/>
      <c r="AR22" t="s">
        <v>385</v>
      </c>
      <c r="AS22" t="s">
        <v>247</v>
      </c>
      <c r="AT22" t="s">
        <v>149</v>
      </c>
      <c r="AU22">
        <v>2025</v>
      </c>
      <c r="AV22">
        <v>23</v>
      </c>
      <c r="AW22">
        <v>1</v>
      </c>
      <c r="AX22">
        <v>5</v>
      </c>
      <c r="AY22">
        <v>156</v>
      </c>
      <c r="AZ22" t="s">
        <v>836</v>
      </c>
      <c r="BA22" t="s">
        <v>832</v>
      </c>
      <c r="BD22" t="s">
        <v>1038</v>
      </c>
      <c r="BG22" t="s">
        <v>1020</v>
      </c>
      <c r="BH22" t="s">
        <v>385</v>
      </c>
      <c r="BI22" t="s">
        <v>385</v>
      </c>
    </row>
    <row r="23" spans="1:61" x14ac:dyDescent="0.25">
      <c r="A23" t="s">
        <v>837</v>
      </c>
      <c r="B23">
        <v>45815</v>
      </c>
      <c r="C23" s="2">
        <v>0.35416666666666674</v>
      </c>
      <c r="D23" s="1">
        <v>45815</v>
      </c>
      <c r="E23" s="13">
        <v>0.71458333333333335</v>
      </c>
      <c r="F23" s="1">
        <v>45815</v>
      </c>
      <c r="G23" s="13">
        <v>0.71855324074074078</v>
      </c>
      <c r="H23" t="s">
        <v>174</v>
      </c>
      <c r="I23" t="s">
        <v>556</v>
      </c>
      <c r="K23" t="s">
        <v>491</v>
      </c>
      <c r="L23" t="s">
        <v>221</v>
      </c>
      <c r="M23">
        <v>9</v>
      </c>
      <c r="N23" t="s">
        <v>838</v>
      </c>
      <c r="Q23" t="s">
        <v>839</v>
      </c>
      <c r="R23" t="s">
        <v>961</v>
      </c>
      <c r="S23" t="s">
        <v>840</v>
      </c>
      <c r="T23" t="s">
        <v>161</v>
      </c>
      <c r="Y23" t="s">
        <v>946</v>
      </c>
      <c r="Z23" t="s">
        <v>931</v>
      </c>
      <c r="AA23" t="s">
        <v>841</v>
      </c>
      <c r="AB23" t="s">
        <v>384</v>
      </c>
      <c r="AC23" t="s">
        <v>310</v>
      </c>
      <c r="AD23" t="s">
        <v>166</v>
      </c>
      <c r="AE23" t="s">
        <v>182</v>
      </c>
      <c r="AF23">
        <v>9</v>
      </c>
      <c r="AG23" s="1">
        <v>45815</v>
      </c>
      <c r="AH23" s="13">
        <v>0.35416666666666669</v>
      </c>
      <c r="AI23" s="13">
        <v>0.33333333333333331</v>
      </c>
      <c r="AJ23" t="s">
        <v>276</v>
      </c>
      <c r="AK23" t="s">
        <v>230</v>
      </c>
      <c r="AL23" t="s">
        <v>829</v>
      </c>
      <c r="AM23" t="s">
        <v>169</v>
      </c>
      <c r="AN23" s="13">
        <v>0.35416666666666669</v>
      </c>
      <c r="AO23" s="1">
        <v>45815</v>
      </c>
      <c r="AP23" s="13">
        <v>0.33333333333333331</v>
      </c>
      <c r="AQ23" s="2"/>
      <c r="AR23" t="s">
        <v>276</v>
      </c>
      <c r="AS23" t="s">
        <v>292</v>
      </c>
      <c r="AT23" t="s">
        <v>149</v>
      </c>
      <c r="AU23">
        <v>2025</v>
      </c>
      <c r="AV23">
        <v>23</v>
      </c>
      <c r="AW23">
        <v>1</v>
      </c>
      <c r="AX23">
        <v>7</v>
      </c>
      <c r="AY23">
        <v>158</v>
      </c>
      <c r="AZ23" t="s">
        <v>230</v>
      </c>
      <c r="BA23" t="s">
        <v>491</v>
      </c>
      <c r="BD23" t="s">
        <v>1039</v>
      </c>
      <c r="BG23" t="s">
        <v>1020</v>
      </c>
      <c r="BH23" t="s">
        <v>276</v>
      </c>
      <c r="BI23" t="s">
        <v>276</v>
      </c>
    </row>
    <row r="24" spans="1:61" x14ac:dyDescent="0.25">
      <c r="A24" t="s">
        <v>842</v>
      </c>
      <c r="B24">
        <v>45816</v>
      </c>
      <c r="C24" s="2">
        <v>6.25E-2</v>
      </c>
      <c r="D24" s="1"/>
      <c r="E24" s="13"/>
      <c r="F24" s="1">
        <v>45816</v>
      </c>
      <c r="G24" s="13">
        <v>0.42436342592592591</v>
      </c>
      <c r="H24" t="s">
        <v>174</v>
      </c>
      <c r="K24" t="s">
        <v>470</v>
      </c>
      <c r="L24" t="s">
        <v>191</v>
      </c>
      <c r="M24">
        <v>7</v>
      </c>
      <c r="N24" t="s">
        <v>843</v>
      </c>
      <c r="Q24" t="s">
        <v>1012</v>
      </c>
      <c r="S24" t="s">
        <v>773</v>
      </c>
      <c r="T24" t="s">
        <v>161</v>
      </c>
      <c r="Y24" t="s">
        <v>930</v>
      </c>
      <c r="Z24" t="s">
        <v>931</v>
      </c>
      <c r="AA24" t="s">
        <v>265</v>
      </c>
      <c r="AB24" t="s">
        <v>164</v>
      </c>
      <c r="AC24" t="s">
        <v>228</v>
      </c>
      <c r="AD24" t="s">
        <v>181</v>
      </c>
      <c r="AE24" t="s">
        <v>182</v>
      </c>
      <c r="AF24">
        <v>9</v>
      </c>
      <c r="AG24" s="1">
        <v>45816</v>
      </c>
      <c r="AH24" s="13">
        <v>6.25E-2</v>
      </c>
      <c r="AI24" s="13">
        <v>4.1666666666666664E-2</v>
      </c>
      <c r="AJ24" t="s">
        <v>343</v>
      </c>
      <c r="AK24" t="s">
        <v>476</v>
      </c>
      <c r="AL24" t="s">
        <v>174</v>
      </c>
      <c r="AM24" t="s">
        <v>169</v>
      </c>
      <c r="AN24" s="13">
        <v>6.25E-2</v>
      </c>
      <c r="AO24" s="1">
        <v>45816</v>
      </c>
      <c r="AP24" s="13">
        <v>4.1666666666666664E-2</v>
      </c>
      <c r="AQ24" s="2"/>
      <c r="AR24" t="s">
        <v>343</v>
      </c>
      <c r="AS24" t="s">
        <v>311</v>
      </c>
      <c r="AT24" t="s">
        <v>149</v>
      </c>
      <c r="AU24">
        <v>2025</v>
      </c>
      <c r="AV24">
        <v>24</v>
      </c>
      <c r="AW24">
        <v>2</v>
      </c>
      <c r="AX24">
        <v>8</v>
      </c>
      <c r="AY24">
        <v>159</v>
      </c>
      <c r="AZ24" t="s">
        <v>476</v>
      </c>
      <c r="BA24" t="s">
        <v>470</v>
      </c>
      <c r="BG24" t="s">
        <v>1020</v>
      </c>
      <c r="BH24" t="s">
        <v>343</v>
      </c>
      <c r="BI24" t="s">
        <v>343</v>
      </c>
    </row>
    <row r="25" spans="1:61" x14ac:dyDescent="0.25">
      <c r="A25" t="s">
        <v>864</v>
      </c>
      <c r="B25">
        <v>45828</v>
      </c>
      <c r="C25" s="2">
        <v>0.97916666666666674</v>
      </c>
      <c r="D25" s="1">
        <v>45828</v>
      </c>
      <c r="E25" s="13">
        <v>0.375</v>
      </c>
      <c r="F25" s="1">
        <v>45829</v>
      </c>
      <c r="G25" s="13">
        <v>0.39340277777777777</v>
      </c>
      <c r="H25" t="s">
        <v>174</v>
      </c>
      <c r="I25" t="s">
        <v>205</v>
      </c>
      <c r="J25" t="s">
        <v>154</v>
      </c>
      <c r="K25" t="s">
        <v>865</v>
      </c>
      <c r="L25" t="s">
        <v>138</v>
      </c>
      <c r="M25">
        <v>8</v>
      </c>
      <c r="N25" t="s">
        <v>866</v>
      </c>
      <c r="Q25" t="s">
        <v>867</v>
      </c>
      <c r="R25" t="s">
        <v>955</v>
      </c>
      <c r="S25" t="s">
        <v>868</v>
      </c>
      <c r="T25" t="s">
        <v>161</v>
      </c>
      <c r="Y25" t="s">
        <v>930</v>
      </c>
      <c r="Z25" t="s">
        <v>931</v>
      </c>
      <c r="AA25" t="s">
        <v>585</v>
      </c>
      <c r="AB25" t="s">
        <v>164</v>
      </c>
      <c r="AC25" t="s">
        <v>228</v>
      </c>
      <c r="AD25" t="s">
        <v>181</v>
      </c>
      <c r="AE25" t="s">
        <v>167</v>
      </c>
      <c r="AF25">
        <v>9</v>
      </c>
      <c r="AG25" s="1">
        <v>45828</v>
      </c>
      <c r="AH25" s="13">
        <v>0.97916666666666663</v>
      </c>
      <c r="AI25" s="13">
        <v>0.95833333333333337</v>
      </c>
      <c r="AJ25" t="s">
        <v>168</v>
      </c>
      <c r="AK25" t="s">
        <v>870</v>
      </c>
      <c r="AL25" t="s">
        <v>869</v>
      </c>
      <c r="AM25" t="s">
        <v>948</v>
      </c>
      <c r="AN25" s="13">
        <v>0.97916666666666663</v>
      </c>
      <c r="AO25" s="1">
        <v>45828</v>
      </c>
      <c r="AP25" s="13">
        <v>0.95833333333333337</v>
      </c>
      <c r="AQ25" s="2"/>
      <c r="AR25" t="s">
        <v>168</v>
      </c>
      <c r="AS25" t="s">
        <v>170</v>
      </c>
      <c r="AT25" t="s">
        <v>149</v>
      </c>
      <c r="AU25">
        <v>2025</v>
      </c>
      <c r="AV25">
        <v>25</v>
      </c>
      <c r="AW25">
        <v>3</v>
      </c>
      <c r="AX25">
        <v>20</v>
      </c>
      <c r="AY25">
        <v>171</v>
      </c>
      <c r="AZ25" t="s">
        <v>870</v>
      </c>
      <c r="BA25" t="s">
        <v>865</v>
      </c>
      <c r="BD25" t="s">
        <v>1040</v>
      </c>
      <c r="BG25" t="s">
        <v>1018</v>
      </c>
      <c r="BH25" t="s">
        <v>168</v>
      </c>
      <c r="BI25" t="s">
        <v>168</v>
      </c>
    </row>
    <row r="26" spans="1:61" x14ac:dyDescent="0.25">
      <c r="A26" t="s">
        <v>898</v>
      </c>
      <c r="B26">
        <v>45833</v>
      </c>
      <c r="C26" s="2">
        <v>0.54166666666666674</v>
      </c>
      <c r="D26" s="1"/>
      <c r="E26" s="13"/>
      <c r="F26" s="1">
        <v>45833</v>
      </c>
      <c r="G26" s="13">
        <v>0.57819444444444446</v>
      </c>
      <c r="H26" t="s">
        <v>174</v>
      </c>
      <c r="K26" t="s">
        <v>899</v>
      </c>
      <c r="L26" t="s">
        <v>400</v>
      </c>
      <c r="M26">
        <v>6</v>
      </c>
      <c r="N26" t="s">
        <v>900</v>
      </c>
      <c r="Q26" t="s">
        <v>901</v>
      </c>
      <c r="R26" t="s">
        <v>961</v>
      </c>
      <c r="S26" t="s">
        <v>342</v>
      </c>
      <c r="T26" t="s">
        <v>161</v>
      </c>
      <c r="Y26" t="s">
        <v>989</v>
      </c>
      <c r="Z26" t="s">
        <v>931</v>
      </c>
      <c r="AA26" t="s">
        <v>417</v>
      </c>
      <c r="AB26" t="s">
        <v>142</v>
      </c>
      <c r="AC26" t="s">
        <v>350</v>
      </c>
      <c r="AD26" t="s">
        <v>301</v>
      </c>
      <c r="AE26" t="s">
        <v>182</v>
      </c>
      <c r="AF26">
        <v>9</v>
      </c>
      <c r="AG26" s="1">
        <v>45833</v>
      </c>
      <c r="AH26" s="13">
        <v>0.54166666666666663</v>
      </c>
      <c r="AI26" s="13">
        <v>0.54166666666666663</v>
      </c>
      <c r="AJ26" t="s">
        <v>146</v>
      </c>
      <c r="AK26" t="s">
        <v>902</v>
      </c>
      <c r="AL26" t="s">
        <v>174</v>
      </c>
      <c r="AM26" t="s">
        <v>948</v>
      </c>
      <c r="AN26" s="13">
        <v>0.54166666666666663</v>
      </c>
      <c r="AO26" s="1">
        <v>45833</v>
      </c>
      <c r="AP26" s="13">
        <v>0.54166666666666663</v>
      </c>
      <c r="AQ26" s="2"/>
      <c r="AR26" t="s">
        <v>146</v>
      </c>
      <c r="AS26" t="s">
        <v>239</v>
      </c>
      <c r="AT26" t="s">
        <v>149</v>
      </c>
      <c r="AU26">
        <v>2025</v>
      </c>
      <c r="AV26">
        <v>26</v>
      </c>
      <c r="AW26">
        <v>4</v>
      </c>
      <c r="AX26">
        <v>25</v>
      </c>
      <c r="AY26">
        <v>176</v>
      </c>
      <c r="AZ26" t="s">
        <v>902</v>
      </c>
      <c r="BA26" t="s">
        <v>899</v>
      </c>
      <c r="BD26" t="s">
        <v>1041</v>
      </c>
      <c r="BG26" t="s">
        <v>1020</v>
      </c>
      <c r="BH26" t="s">
        <v>146</v>
      </c>
      <c r="BI26" t="s">
        <v>146</v>
      </c>
    </row>
    <row r="27" spans="1:61" x14ac:dyDescent="0.25">
      <c r="A27" t="s">
        <v>906</v>
      </c>
      <c r="B27">
        <v>45837</v>
      </c>
      <c r="C27" s="2">
        <v>0.625</v>
      </c>
      <c r="D27" s="1">
        <v>45838</v>
      </c>
      <c r="E27" s="13">
        <v>0.31458333333333333</v>
      </c>
      <c r="F27" s="1">
        <v>45838</v>
      </c>
      <c r="G27" s="13">
        <v>0.31462962962962965</v>
      </c>
      <c r="H27" t="s">
        <v>174</v>
      </c>
      <c r="I27" t="s">
        <v>295</v>
      </c>
      <c r="K27" t="s">
        <v>907</v>
      </c>
      <c r="L27" t="s">
        <v>378</v>
      </c>
      <c r="M27">
        <v>5</v>
      </c>
      <c r="N27" t="s">
        <v>908</v>
      </c>
      <c r="Q27" t="s">
        <v>909</v>
      </c>
      <c r="R27" t="s">
        <v>981</v>
      </c>
      <c r="S27" t="s">
        <v>510</v>
      </c>
      <c r="T27" t="s">
        <v>161</v>
      </c>
      <c r="Y27" t="s">
        <v>930</v>
      </c>
      <c r="Z27" t="s">
        <v>931</v>
      </c>
      <c r="AA27" t="s">
        <v>530</v>
      </c>
      <c r="AB27" t="s">
        <v>384</v>
      </c>
      <c r="AC27" t="s">
        <v>257</v>
      </c>
      <c r="AD27" t="s">
        <v>181</v>
      </c>
      <c r="AE27" t="s">
        <v>182</v>
      </c>
      <c r="AF27">
        <v>9</v>
      </c>
      <c r="AG27" s="1">
        <v>45837</v>
      </c>
      <c r="AH27" s="13">
        <v>0.625</v>
      </c>
      <c r="AI27" s="13">
        <v>0.625</v>
      </c>
      <c r="AJ27" t="s">
        <v>146</v>
      </c>
      <c r="AK27" t="s">
        <v>910</v>
      </c>
      <c r="AL27" t="s">
        <v>302</v>
      </c>
      <c r="AM27" t="s">
        <v>948</v>
      </c>
      <c r="AN27" s="13">
        <v>0.625</v>
      </c>
      <c r="AO27" s="1">
        <v>45837</v>
      </c>
      <c r="AP27" s="13">
        <v>0.625</v>
      </c>
      <c r="AQ27" s="2"/>
      <c r="AR27" t="s">
        <v>146</v>
      </c>
      <c r="AS27" t="s">
        <v>311</v>
      </c>
      <c r="AT27" t="s">
        <v>149</v>
      </c>
      <c r="AU27">
        <v>2025</v>
      </c>
      <c r="AV27">
        <v>27</v>
      </c>
      <c r="AW27">
        <v>5</v>
      </c>
      <c r="AX27">
        <v>29</v>
      </c>
      <c r="AY27">
        <v>180</v>
      </c>
      <c r="AZ27" t="s">
        <v>910</v>
      </c>
      <c r="BA27" t="s">
        <v>907</v>
      </c>
      <c r="BD27" t="s">
        <v>1028</v>
      </c>
      <c r="BG27" t="s">
        <v>1018</v>
      </c>
      <c r="BH27" t="s">
        <v>146</v>
      </c>
      <c r="BI27" t="s">
        <v>146</v>
      </c>
    </row>
  </sheetData>
  <phoneticPr fontId="9" type="noConversion"/>
  <conditionalFormatting sqref="A2:BI27">
    <cfRule type="expression" dxfId="87" priority="1" stopIfTrue="1">
      <formula>$AM2="7-Day"</formula>
    </cfRule>
    <cfRule type="expression" dxfId="86" priority="2" stopIfTrue="1">
      <formula>$AM2="28-Day"</formula>
    </cfRule>
    <cfRule type="expression" dxfId="85" priority="3" stopIfTrue="1">
      <formula>$AM2="YTD"</formula>
    </cfRule>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956DD-F7A7-4C0C-B7E9-46A60212108B}">
  <sheetPr codeName="Sheet41">
    <tabColor rgb="FFFFC000"/>
  </sheetPr>
  <dimension ref="A1:BI32"/>
  <sheetViews>
    <sheetView workbookViewId="0">
      <selection sqref="A1:BI29"/>
    </sheetView>
  </sheetViews>
  <sheetFormatPr defaultRowHeight="15" x14ac:dyDescent="0.25"/>
  <cols>
    <col min="1" max="1" width="15.140625" bestFit="1" customWidth="1"/>
    <col min="2" max="2" width="14.7109375" style="1"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29" bestFit="1" customWidth="1"/>
    <col min="9" max="9" width="31.42578125" bestFit="1" customWidth="1"/>
    <col min="10" max="10" width="31" bestFit="1" customWidth="1"/>
    <col min="11" max="11" width="43.710937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2851562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7.140625" bestFit="1" customWidth="1"/>
    <col min="28" max="28" width="8.7109375" bestFit="1" customWidth="1"/>
    <col min="29" max="29" width="26.85546875" bestFit="1" customWidth="1"/>
    <col min="30" max="30" width="29.140625" bestFit="1" customWidth="1"/>
    <col min="31" max="31" width="32.140625"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28.140625" bestFit="1" customWidth="1"/>
    <col min="38" max="38" width="81.140625" bestFit="1" customWidth="1"/>
    <col min="39" max="39" width="9.14062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28.140625" bestFit="1" customWidth="1"/>
    <col min="53" max="53" width="43.7109375" bestFit="1" customWidth="1"/>
    <col min="54" max="54" width="6" bestFit="1" customWidth="1"/>
    <col min="55" max="55" width="8.5703125" bestFit="1" customWidth="1"/>
    <col min="56" max="56" width="10.42578125" bestFit="1" customWidth="1"/>
    <col min="57" max="57" width="10.140625" bestFit="1" customWidth="1"/>
    <col min="58" max="58" width="26.42578125" bestFit="1" customWidth="1"/>
    <col min="59" max="59" width="16.5703125" bestFit="1" customWidth="1"/>
    <col min="60" max="62" width="25.7109375" customWidth="1"/>
    <col min="63" max="63" width="81.140625" bestFit="1" customWidth="1"/>
    <col min="64" max="64" width="25.7109375" bestFit="1" customWidth="1"/>
    <col min="65" max="65" width="11.85546875" bestFit="1" customWidth="1"/>
    <col min="66" max="66" width="12" bestFit="1" customWidth="1"/>
    <col min="67" max="67" width="14.42578125" bestFit="1" customWidth="1"/>
    <col min="68" max="68" width="22.7109375" bestFit="1" customWidth="1"/>
    <col min="69" max="69" width="25.7109375" bestFit="1" customWidth="1"/>
    <col min="70" max="70" width="12.28515625" bestFit="1" customWidth="1"/>
    <col min="71" max="71" width="15" bestFit="1" customWidth="1"/>
    <col min="72" max="72" width="7.28515625" bestFit="1" customWidth="1"/>
    <col min="73" max="73" width="15.42578125" bestFit="1" customWidth="1"/>
    <col min="74" max="74" width="17.42578125" bestFit="1" customWidth="1"/>
    <col min="75" max="75" width="6.5703125" bestFit="1" customWidth="1"/>
    <col min="76" max="76" width="13.28515625" bestFit="1" customWidth="1"/>
    <col min="77" max="77" width="12.5703125" bestFit="1" customWidth="1"/>
    <col min="78" max="78" width="41.140625" bestFit="1" customWidth="1"/>
    <col min="79" max="79" width="81.140625" bestFit="1" customWidth="1"/>
    <col min="80" max="80" width="25.140625" bestFit="1" customWidth="1"/>
    <col min="81" max="81" width="6" bestFit="1" customWidth="1"/>
    <col min="82" max="82" width="8.5703125" bestFit="1" customWidth="1"/>
    <col min="83" max="83" width="10.28515625" bestFit="1" customWidth="1"/>
    <col min="84" max="84" width="10.140625" bestFit="1" customWidth="1"/>
    <col min="85" max="85" width="26.42578125" bestFit="1" customWidth="1"/>
    <col min="86" max="86" width="16.5703125" bestFit="1" customWidth="1"/>
    <col min="87" max="87" width="25.7109375" bestFit="1" customWidth="1"/>
  </cols>
  <sheetData>
    <row r="1" spans="1:61" x14ac:dyDescent="0.25">
      <c r="A1" t="s">
        <v>93</v>
      </c>
      <c r="B1" s="1" t="s">
        <v>94</v>
      </c>
      <c r="C1" t="s">
        <v>95</v>
      </c>
      <c r="D1" t="s">
        <v>911</v>
      </c>
      <c r="E1" t="s">
        <v>912</v>
      </c>
      <c r="F1" t="s">
        <v>913</v>
      </c>
      <c r="G1" t="s">
        <v>914</v>
      </c>
      <c r="H1" t="s">
        <v>96</v>
      </c>
      <c r="I1" t="s">
        <v>97</v>
      </c>
      <c r="J1" t="s">
        <v>98</v>
      </c>
      <c r="K1" t="s">
        <v>99</v>
      </c>
      <c r="L1" t="s">
        <v>100</v>
      </c>
      <c r="M1" t="s">
        <v>101</v>
      </c>
      <c r="N1" t="s">
        <v>102</v>
      </c>
      <c r="O1" t="s">
        <v>103</v>
      </c>
      <c r="P1" t="s">
        <v>104</v>
      </c>
      <c r="Q1" t="s">
        <v>105</v>
      </c>
      <c r="R1" t="s">
        <v>106</v>
      </c>
      <c r="S1" t="s">
        <v>107</v>
      </c>
      <c r="T1" t="s">
        <v>108</v>
      </c>
      <c r="U1" t="s">
        <v>109</v>
      </c>
      <c r="V1" t="s">
        <v>110</v>
      </c>
      <c r="W1" t="s">
        <v>111</v>
      </c>
      <c r="X1" t="s">
        <v>112</v>
      </c>
      <c r="Y1" t="s">
        <v>113</v>
      </c>
      <c r="Z1" t="s">
        <v>915</v>
      </c>
      <c r="AA1" t="s">
        <v>114</v>
      </c>
      <c r="AB1" t="s">
        <v>115</v>
      </c>
      <c r="AC1" t="s">
        <v>116</v>
      </c>
      <c r="AD1" t="s">
        <v>117</v>
      </c>
      <c r="AE1" t="s">
        <v>118</v>
      </c>
      <c r="AF1" t="s">
        <v>916</v>
      </c>
      <c r="AG1" t="s">
        <v>2</v>
      </c>
      <c r="AH1" t="s">
        <v>120</v>
      </c>
      <c r="AI1" t="s">
        <v>121</v>
      </c>
      <c r="AJ1" t="s">
        <v>122</v>
      </c>
      <c r="AK1" t="s">
        <v>1</v>
      </c>
      <c r="AL1" t="s">
        <v>123</v>
      </c>
      <c r="AM1" t="s">
        <v>124</v>
      </c>
      <c r="AN1" t="s">
        <v>125</v>
      </c>
      <c r="AO1" t="s">
        <v>126</v>
      </c>
      <c r="AP1" t="s">
        <v>918</v>
      </c>
      <c r="AQ1" t="s">
        <v>919</v>
      </c>
      <c r="AR1" t="s">
        <v>920</v>
      </c>
      <c r="AS1" t="s">
        <v>128</v>
      </c>
      <c r="AT1" t="s">
        <v>129</v>
      </c>
      <c r="AU1" t="s">
        <v>130</v>
      </c>
      <c r="AV1" t="s">
        <v>131</v>
      </c>
      <c r="AW1" t="s">
        <v>921</v>
      </c>
      <c r="AX1" t="s">
        <v>132</v>
      </c>
      <c r="AY1" t="s">
        <v>922</v>
      </c>
      <c r="AZ1" t="s">
        <v>923</v>
      </c>
      <c r="BA1" t="s">
        <v>924</v>
      </c>
      <c r="BB1" t="s">
        <v>925</v>
      </c>
      <c r="BC1" t="s">
        <v>7</v>
      </c>
      <c r="BD1" t="s">
        <v>926</v>
      </c>
      <c r="BE1" t="s">
        <v>5</v>
      </c>
      <c r="BF1" t="s">
        <v>927</v>
      </c>
      <c r="BG1" t="s">
        <v>928</v>
      </c>
      <c r="BH1" t="s">
        <v>929</v>
      </c>
      <c r="BI1" t="s">
        <v>127</v>
      </c>
    </row>
    <row r="2" spans="1:61" x14ac:dyDescent="0.25">
      <c r="A2" s="100" t="s">
        <v>241</v>
      </c>
      <c r="B2" s="101">
        <v>45673</v>
      </c>
      <c r="C2" s="105">
        <v>0.5</v>
      </c>
      <c r="D2" s="103">
        <v>45673</v>
      </c>
      <c r="E2" s="102">
        <v>0.75</v>
      </c>
      <c r="F2" s="103">
        <v>45673</v>
      </c>
      <c r="G2" s="102">
        <v>0.81587962962962968</v>
      </c>
      <c r="H2" s="100" t="s">
        <v>242</v>
      </c>
      <c r="I2" s="100"/>
      <c r="J2" s="100"/>
      <c r="K2" s="100" t="s">
        <v>243</v>
      </c>
      <c r="L2" s="100" t="s">
        <v>191</v>
      </c>
      <c r="M2" s="104">
        <v>7</v>
      </c>
      <c r="N2" s="100" t="s">
        <v>244</v>
      </c>
      <c r="O2" s="104"/>
      <c r="P2" s="104"/>
      <c r="Q2" s="100"/>
      <c r="R2" s="100"/>
      <c r="S2" s="100"/>
      <c r="T2" s="100"/>
      <c r="U2" s="100"/>
      <c r="V2" s="100"/>
      <c r="W2" s="100"/>
      <c r="X2" s="100"/>
      <c r="Y2" s="100" t="s">
        <v>934</v>
      </c>
      <c r="Z2" s="100" t="s">
        <v>931</v>
      </c>
      <c r="AA2" s="100" t="s">
        <v>245</v>
      </c>
      <c r="AB2" s="100" t="s">
        <v>142</v>
      </c>
      <c r="AC2" s="100" t="s">
        <v>180</v>
      </c>
      <c r="AD2" s="100" t="s">
        <v>166</v>
      </c>
      <c r="AE2" s="100" t="s">
        <v>246</v>
      </c>
      <c r="AF2" s="104">
        <v>9</v>
      </c>
      <c r="AG2" s="103">
        <v>45673</v>
      </c>
      <c r="AH2" s="102">
        <v>0.5</v>
      </c>
      <c r="AI2" s="102">
        <v>0.5</v>
      </c>
      <c r="AJ2" s="104" t="s">
        <v>146</v>
      </c>
      <c r="AK2" s="100" t="s">
        <v>248</v>
      </c>
      <c r="AL2" s="100" t="s">
        <v>242</v>
      </c>
      <c r="AM2" s="104" t="s">
        <v>169</v>
      </c>
      <c r="AN2" s="102">
        <v>0.5</v>
      </c>
      <c r="AO2" s="103">
        <v>45673</v>
      </c>
      <c r="AP2" s="102">
        <v>0.5</v>
      </c>
      <c r="AQ2" s="105"/>
      <c r="AR2" s="100" t="s">
        <v>146</v>
      </c>
      <c r="AS2" s="100" t="s">
        <v>247</v>
      </c>
      <c r="AT2" s="100" t="s">
        <v>171</v>
      </c>
      <c r="AU2" s="104">
        <v>2025</v>
      </c>
      <c r="AV2" s="104">
        <v>3</v>
      </c>
      <c r="AW2" s="104">
        <v>3</v>
      </c>
      <c r="AX2" s="104">
        <v>16</v>
      </c>
      <c r="AY2" s="104">
        <v>16</v>
      </c>
      <c r="AZ2" s="100" t="s">
        <v>248</v>
      </c>
      <c r="BA2" s="100" t="s">
        <v>243</v>
      </c>
      <c r="BB2" s="100"/>
      <c r="BC2" s="100"/>
      <c r="BD2" s="100"/>
      <c r="BE2" s="100"/>
      <c r="BF2" s="104"/>
      <c r="BG2" s="100"/>
      <c r="BH2" s="100" t="s">
        <v>146</v>
      </c>
      <c r="BI2" s="100" t="s">
        <v>146</v>
      </c>
    </row>
    <row r="3" spans="1:61" x14ac:dyDescent="0.25">
      <c r="A3" s="100" t="s">
        <v>286</v>
      </c>
      <c r="B3" s="101">
        <v>45682</v>
      </c>
      <c r="C3" s="105">
        <v>0.45833333333333326</v>
      </c>
      <c r="D3" s="103">
        <v>45682</v>
      </c>
      <c r="E3" s="102">
        <v>0.58333333333333337</v>
      </c>
      <c r="F3" s="103">
        <v>45682</v>
      </c>
      <c r="G3" s="102">
        <v>0.58054398148148145</v>
      </c>
      <c r="H3" s="100" t="s">
        <v>242</v>
      </c>
      <c r="I3" s="100"/>
      <c r="J3" s="100"/>
      <c r="K3" s="100" t="s">
        <v>287</v>
      </c>
      <c r="L3" s="100" t="s">
        <v>288</v>
      </c>
      <c r="M3" s="104">
        <v>5</v>
      </c>
      <c r="N3" s="100" t="s">
        <v>289</v>
      </c>
      <c r="O3" s="104"/>
      <c r="P3" s="104"/>
      <c r="Q3" s="100"/>
      <c r="R3" s="100"/>
      <c r="S3" s="100"/>
      <c r="T3" s="100"/>
      <c r="U3" s="100"/>
      <c r="V3" s="100"/>
      <c r="W3" s="100"/>
      <c r="X3" s="100"/>
      <c r="Y3" s="100" t="s">
        <v>958</v>
      </c>
      <c r="Z3" s="100" t="s">
        <v>931</v>
      </c>
      <c r="AA3" s="100" t="s">
        <v>291</v>
      </c>
      <c r="AB3" s="100" t="s">
        <v>256</v>
      </c>
      <c r="AC3" s="100" t="s">
        <v>180</v>
      </c>
      <c r="AD3" s="100" t="s">
        <v>166</v>
      </c>
      <c r="AE3" s="100" t="s">
        <v>246</v>
      </c>
      <c r="AF3" s="104">
        <v>9</v>
      </c>
      <c r="AG3" s="103">
        <v>45682</v>
      </c>
      <c r="AH3" s="102">
        <v>0.45833333333333331</v>
      </c>
      <c r="AI3" s="102">
        <v>0.45833333333333331</v>
      </c>
      <c r="AJ3" s="104" t="s">
        <v>276</v>
      </c>
      <c r="AK3" s="100" t="s">
        <v>293</v>
      </c>
      <c r="AL3" s="100" t="s">
        <v>242</v>
      </c>
      <c r="AM3" s="104" t="s">
        <v>169</v>
      </c>
      <c r="AN3" s="102">
        <v>0.45833333333333331</v>
      </c>
      <c r="AO3" s="103">
        <v>45682</v>
      </c>
      <c r="AP3" s="102">
        <v>0.45833333333333331</v>
      </c>
      <c r="AQ3" s="105"/>
      <c r="AR3" s="100" t="s">
        <v>276</v>
      </c>
      <c r="AS3" s="100" t="s">
        <v>292</v>
      </c>
      <c r="AT3" s="100" t="s">
        <v>171</v>
      </c>
      <c r="AU3" s="104">
        <v>2025</v>
      </c>
      <c r="AV3" s="104">
        <v>4</v>
      </c>
      <c r="AW3" s="104">
        <v>4</v>
      </c>
      <c r="AX3" s="104">
        <v>25</v>
      </c>
      <c r="AY3" s="104">
        <v>25</v>
      </c>
      <c r="AZ3" s="100" t="s">
        <v>293</v>
      </c>
      <c r="BA3" s="100" t="s">
        <v>287</v>
      </c>
      <c r="BB3" s="100"/>
      <c r="BC3" s="100"/>
      <c r="BD3" s="100"/>
      <c r="BE3" s="100"/>
      <c r="BF3" s="104"/>
      <c r="BG3" s="100"/>
      <c r="BH3" s="100" t="s">
        <v>276</v>
      </c>
      <c r="BI3" s="100" t="s">
        <v>276</v>
      </c>
    </row>
    <row r="4" spans="1:61" x14ac:dyDescent="0.25">
      <c r="A4" s="100" t="s">
        <v>323</v>
      </c>
      <c r="B4" s="101">
        <v>45688</v>
      </c>
      <c r="C4" s="105">
        <v>0.49988425925925917</v>
      </c>
      <c r="D4" s="103"/>
      <c r="E4" s="102"/>
      <c r="F4" s="103">
        <v>45688</v>
      </c>
      <c r="G4" s="102">
        <v>0.49988425925925928</v>
      </c>
      <c r="H4" s="100" t="s">
        <v>242</v>
      </c>
      <c r="I4" s="100"/>
      <c r="J4" s="100"/>
      <c r="K4" s="100" t="s">
        <v>324</v>
      </c>
      <c r="L4" s="100" t="s">
        <v>325</v>
      </c>
      <c r="M4" s="104">
        <v>8</v>
      </c>
      <c r="N4" s="100" t="s">
        <v>326</v>
      </c>
      <c r="O4" s="104"/>
      <c r="P4" s="104"/>
      <c r="Q4" s="100"/>
      <c r="R4" s="100"/>
      <c r="S4" s="100"/>
      <c r="T4" s="100"/>
      <c r="U4" s="100"/>
      <c r="V4" s="100"/>
      <c r="W4" s="100"/>
      <c r="X4" s="100"/>
      <c r="Y4" s="100" t="s">
        <v>950</v>
      </c>
      <c r="Z4" s="100" t="s">
        <v>931</v>
      </c>
      <c r="AA4" s="100" t="s">
        <v>327</v>
      </c>
      <c r="AB4" s="100" t="s">
        <v>328</v>
      </c>
      <c r="AC4" s="100" t="s">
        <v>228</v>
      </c>
      <c r="AD4" s="100" t="s">
        <v>166</v>
      </c>
      <c r="AE4" s="100" t="s">
        <v>246</v>
      </c>
      <c r="AF4" s="104">
        <v>9</v>
      </c>
      <c r="AG4" s="103">
        <v>45688</v>
      </c>
      <c r="AH4" s="102">
        <v>0.49988425925925928</v>
      </c>
      <c r="AI4" s="102">
        <v>0.45833333333333331</v>
      </c>
      <c r="AJ4" s="104" t="s">
        <v>276</v>
      </c>
      <c r="AK4" s="100" t="s">
        <v>329</v>
      </c>
      <c r="AL4" s="100" t="s">
        <v>242</v>
      </c>
      <c r="AM4" s="104" t="s">
        <v>169</v>
      </c>
      <c r="AN4" s="102">
        <v>0.49988425925925928</v>
      </c>
      <c r="AO4" s="103">
        <v>45688</v>
      </c>
      <c r="AP4" s="102">
        <v>0.45833333333333331</v>
      </c>
      <c r="AQ4" s="105"/>
      <c r="AR4" s="100" t="s">
        <v>276</v>
      </c>
      <c r="AS4" s="100" t="s">
        <v>170</v>
      </c>
      <c r="AT4" s="100" t="s">
        <v>171</v>
      </c>
      <c r="AU4" s="104">
        <v>2025</v>
      </c>
      <c r="AV4" s="104">
        <v>5</v>
      </c>
      <c r="AW4" s="104">
        <v>5</v>
      </c>
      <c r="AX4" s="104">
        <v>31</v>
      </c>
      <c r="AY4" s="104">
        <v>31</v>
      </c>
      <c r="AZ4" s="100" t="s">
        <v>329</v>
      </c>
      <c r="BA4" s="100" t="s">
        <v>324</v>
      </c>
      <c r="BB4" s="100"/>
      <c r="BC4" s="100"/>
      <c r="BD4" s="100"/>
      <c r="BE4" s="100"/>
      <c r="BF4" s="104"/>
      <c r="BG4" s="100"/>
      <c r="BH4" s="100" t="s">
        <v>276</v>
      </c>
      <c r="BI4" s="100" t="s">
        <v>276</v>
      </c>
    </row>
    <row r="5" spans="1:61" x14ac:dyDescent="0.25">
      <c r="A5" s="100" t="s">
        <v>366</v>
      </c>
      <c r="B5" s="101">
        <v>45693</v>
      </c>
      <c r="C5" s="105">
        <v>0.12291666666666656</v>
      </c>
      <c r="D5" s="103"/>
      <c r="E5" s="102"/>
      <c r="F5" s="103">
        <v>45693</v>
      </c>
      <c r="G5" s="102">
        <v>0.1233912037037037</v>
      </c>
      <c r="H5" s="100" t="s">
        <v>367</v>
      </c>
      <c r="I5" s="100" t="s">
        <v>368</v>
      </c>
      <c r="J5" s="100"/>
      <c r="K5" s="100" t="s">
        <v>369</v>
      </c>
      <c r="L5" s="100" t="s">
        <v>325</v>
      </c>
      <c r="M5" s="104">
        <v>8</v>
      </c>
      <c r="N5" s="100" t="s">
        <v>370</v>
      </c>
      <c r="O5" s="104"/>
      <c r="P5" s="104"/>
      <c r="Q5" s="100"/>
      <c r="R5" s="100"/>
      <c r="S5" s="100"/>
      <c r="T5" s="100"/>
      <c r="U5" s="100"/>
      <c r="V5" s="100"/>
      <c r="W5" s="100"/>
      <c r="X5" s="100"/>
      <c r="Y5" s="100" t="s">
        <v>953</v>
      </c>
      <c r="Z5" s="100" t="s">
        <v>931</v>
      </c>
      <c r="AA5" s="100" t="s">
        <v>371</v>
      </c>
      <c r="AB5" s="100" t="s">
        <v>256</v>
      </c>
      <c r="AC5" s="100" t="s">
        <v>372</v>
      </c>
      <c r="AD5" s="100" t="s">
        <v>181</v>
      </c>
      <c r="AE5" s="100" t="s">
        <v>246</v>
      </c>
      <c r="AF5" s="104">
        <v>9</v>
      </c>
      <c r="AG5" s="103">
        <v>45693</v>
      </c>
      <c r="AH5" s="102">
        <v>0.12291666666666666</v>
      </c>
      <c r="AI5" s="102">
        <v>8.3333333333333329E-2</v>
      </c>
      <c r="AJ5" s="104" t="s">
        <v>343</v>
      </c>
      <c r="AK5" s="100" t="s">
        <v>374</v>
      </c>
      <c r="AL5" s="100" t="s">
        <v>373</v>
      </c>
      <c r="AM5" s="104" t="s">
        <v>169</v>
      </c>
      <c r="AN5" s="102">
        <v>0.12291666666666666</v>
      </c>
      <c r="AO5" s="103">
        <v>45693</v>
      </c>
      <c r="AP5" s="102">
        <v>8.3333333333333329E-2</v>
      </c>
      <c r="AQ5" s="105"/>
      <c r="AR5" s="100" t="s">
        <v>343</v>
      </c>
      <c r="AS5" s="100" t="s">
        <v>239</v>
      </c>
      <c r="AT5" s="100" t="s">
        <v>344</v>
      </c>
      <c r="AU5" s="104">
        <v>2025</v>
      </c>
      <c r="AV5" s="104">
        <v>6</v>
      </c>
      <c r="AW5" s="104">
        <v>2</v>
      </c>
      <c r="AX5" s="104">
        <v>5</v>
      </c>
      <c r="AY5" s="104">
        <v>36</v>
      </c>
      <c r="AZ5" s="100" t="s">
        <v>374</v>
      </c>
      <c r="BA5" s="100" t="s">
        <v>369</v>
      </c>
      <c r="BB5" s="100"/>
      <c r="BC5" s="100"/>
      <c r="BD5" s="100"/>
      <c r="BE5" s="100"/>
      <c r="BF5" s="104"/>
      <c r="BG5" s="100"/>
      <c r="BH5" s="100" t="s">
        <v>343</v>
      </c>
      <c r="BI5" s="100" t="s">
        <v>343</v>
      </c>
    </row>
    <row r="6" spans="1:61" x14ac:dyDescent="0.25">
      <c r="A6" s="100" t="s">
        <v>418</v>
      </c>
      <c r="B6" s="101">
        <v>45705</v>
      </c>
      <c r="C6" s="105">
        <v>0.52497685185185183</v>
      </c>
      <c r="D6" s="103"/>
      <c r="E6" s="102"/>
      <c r="F6" s="103">
        <v>45705</v>
      </c>
      <c r="G6" s="102">
        <v>0.52497685185185183</v>
      </c>
      <c r="H6" s="100" t="s">
        <v>367</v>
      </c>
      <c r="I6" s="100" t="s">
        <v>347</v>
      </c>
      <c r="J6" s="100"/>
      <c r="K6" s="100" t="s">
        <v>419</v>
      </c>
      <c r="L6" s="100" t="s">
        <v>251</v>
      </c>
      <c r="M6" s="104">
        <v>9</v>
      </c>
      <c r="N6" s="100" t="s">
        <v>420</v>
      </c>
      <c r="O6" s="104"/>
      <c r="P6" s="104"/>
      <c r="Q6" s="100"/>
      <c r="R6" s="100"/>
      <c r="S6" s="100"/>
      <c r="T6" s="100"/>
      <c r="U6" s="100"/>
      <c r="V6" s="100"/>
      <c r="W6" s="100"/>
      <c r="X6" s="100"/>
      <c r="Y6" s="100" t="s">
        <v>934</v>
      </c>
      <c r="Z6" s="100" t="s">
        <v>931</v>
      </c>
      <c r="AA6" s="100" t="s">
        <v>179</v>
      </c>
      <c r="AB6" s="100" t="s">
        <v>142</v>
      </c>
      <c r="AC6" s="100" t="s">
        <v>350</v>
      </c>
      <c r="AD6" s="100" t="s">
        <v>166</v>
      </c>
      <c r="AE6" s="100" t="s">
        <v>246</v>
      </c>
      <c r="AF6" s="104">
        <v>9</v>
      </c>
      <c r="AG6" s="103">
        <v>45705</v>
      </c>
      <c r="AH6" s="102">
        <v>0.52497685185185183</v>
      </c>
      <c r="AI6" s="102">
        <v>0.5</v>
      </c>
      <c r="AJ6" s="104" t="s">
        <v>146</v>
      </c>
      <c r="AK6" s="100" t="s">
        <v>312</v>
      </c>
      <c r="AL6" s="100" t="s">
        <v>421</v>
      </c>
      <c r="AM6" s="104" t="s">
        <v>169</v>
      </c>
      <c r="AN6" s="102">
        <v>0.52497685185185183</v>
      </c>
      <c r="AO6" s="103">
        <v>45705</v>
      </c>
      <c r="AP6" s="102">
        <v>0.5</v>
      </c>
      <c r="AQ6" s="105"/>
      <c r="AR6" s="100" t="s">
        <v>146</v>
      </c>
      <c r="AS6" s="100" t="s">
        <v>183</v>
      </c>
      <c r="AT6" s="100" t="s">
        <v>344</v>
      </c>
      <c r="AU6" s="104">
        <v>2025</v>
      </c>
      <c r="AV6" s="104">
        <v>8</v>
      </c>
      <c r="AW6" s="104">
        <v>4</v>
      </c>
      <c r="AX6" s="104">
        <v>17</v>
      </c>
      <c r="AY6" s="104">
        <v>48</v>
      </c>
      <c r="AZ6" s="100" t="s">
        <v>312</v>
      </c>
      <c r="BA6" s="100" t="s">
        <v>419</v>
      </c>
      <c r="BB6" s="100"/>
      <c r="BC6" s="100"/>
      <c r="BD6" s="100"/>
      <c r="BE6" s="100"/>
      <c r="BF6" s="104"/>
      <c r="BG6" s="100"/>
      <c r="BH6" s="100" t="s">
        <v>146</v>
      </c>
      <c r="BI6" s="100" t="s">
        <v>146</v>
      </c>
    </row>
    <row r="7" spans="1:61" x14ac:dyDescent="0.25">
      <c r="A7" s="100" t="s">
        <v>477</v>
      </c>
      <c r="B7" s="101">
        <v>45726</v>
      </c>
      <c r="C7" s="105">
        <v>4.6527777777777724E-2</v>
      </c>
      <c r="D7" s="103">
        <v>45726</v>
      </c>
      <c r="E7" s="102">
        <v>0.16180555555555556</v>
      </c>
      <c r="F7" s="103">
        <v>45727</v>
      </c>
      <c r="G7" s="102">
        <v>0.44234953703703705</v>
      </c>
      <c r="H7" s="100" t="s">
        <v>242</v>
      </c>
      <c r="I7" s="100"/>
      <c r="J7" s="100"/>
      <c r="K7" s="100" t="s">
        <v>478</v>
      </c>
      <c r="L7" s="100" t="s">
        <v>358</v>
      </c>
      <c r="M7" s="104">
        <v>8</v>
      </c>
      <c r="N7" s="100" t="s">
        <v>479</v>
      </c>
      <c r="O7" s="104"/>
      <c r="P7" s="104"/>
      <c r="Q7" s="100"/>
      <c r="R7" s="100"/>
      <c r="S7" s="100"/>
      <c r="T7" s="100"/>
      <c r="U7" s="100"/>
      <c r="V7" s="100"/>
      <c r="W7" s="100"/>
      <c r="X7" s="100"/>
      <c r="Y7" s="100" t="s">
        <v>946</v>
      </c>
      <c r="Z7" s="100" t="s">
        <v>931</v>
      </c>
      <c r="AA7" s="100" t="s">
        <v>163</v>
      </c>
      <c r="AB7" s="100" t="s">
        <v>328</v>
      </c>
      <c r="AC7" s="100" t="s">
        <v>310</v>
      </c>
      <c r="AD7" s="100" t="s">
        <v>364</v>
      </c>
      <c r="AE7" s="100" t="s">
        <v>246</v>
      </c>
      <c r="AF7" s="104">
        <v>9</v>
      </c>
      <c r="AG7" s="103">
        <v>45726</v>
      </c>
      <c r="AH7" s="102">
        <v>4.6527777777777779E-2</v>
      </c>
      <c r="AI7" s="102">
        <v>4.1666666666666664E-2</v>
      </c>
      <c r="AJ7" s="104" t="s">
        <v>343</v>
      </c>
      <c r="AK7" s="100" t="s">
        <v>481</v>
      </c>
      <c r="AL7" s="100" t="s">
        <v>242</v>
      </c>
      <c r="AM7" s="104" t="s">
        <v>169</v>
      </c>
      <c r="AN7" s="102">
        <v>4.6527777777777779E-2</v>
      </c>
      <c r="AO7" s="103">
        <v>45726</v>
      </c>
      <c r="AP7" s="102">
        <v>4.1666666666666664E-2</v>
      </c>
      <c r="AQ7" s="105"/>
      <c r="AR7" s="100" t="s">
        <v>343</v>
      </c>
      <c r="AS7" s="100" t="s">
        <v>183</v>
      </c>
      <c r="AT7" s="100" t="s">
        <v>445</v>
      </c>
      <c r="AU7" s="104">
        <v>2025</v>
      </c>
      <c r="AV7" s="104">
        <v>11</v>
      </c>
      <c r="AW7" s="104">
        <v>3</v>
      </c>
      <c r="AX7" s="104">
        <v>10</v>
      </c>
      <c r="AY7" s="104">
        <v>69</v>
      </c>
      <c r="AZ7" s="100" t="s">
        <v>481</v>
      </c>
      <c r="BA7" s="100" t="s">
        <v>478</v>
      </c>
      <c r="BB7" s="100"/>
      <c r="BC7" s="100"/>
      <c r="BD7" s="100"/>
      <c r="BE7" s="100"/>
      <c r="BF7" s="104"/>
      <c r="BG7" s="100"/>
      <c r="BH7" s="100" t="s">
        <v>343</v>
      </c>
      <c r="BI7" s="100" t="s">
        <v>343</v>
      </c>
    </row>
    <row r="8" spans="1:61" x14ac:dyDescent="0.25">
      <c r="A8" s="100" t="s">
        <v>527</v>
      </c>
      <c r="B8" s="101">
        <v>45743</v>
      </c>
      <c r="C8" s="105">
        <v>0.94666666666666677</v>
      </c>
      <c r="D8" s="103"/>
      <c r="E8" s="102"/>
      <c r="F8" s="103">
        <v>45743</v>
      </c>
      <c r="G8" s="102">
        <v>0.94666666666666666</v>
      </c>
      <c r="H8" s="100" t="s">
        <v>367</v>
      </c>
      <c r="I8" s="100" t="s">
        <v>528</v>
      </c>
      <c r="J8" s="100" t="s">
        <v>218</v>
      </c>
      <c r="K8" s="100" t="s">
        <v>529</v>
      </c>
      <c r="L8" s="100" t="s">
        <v>315</v>
      </c>
      <c r="M8" s="104">
        <v>6</v>
      </c>
      <c r="N8" s="100" t="s">
        <v>13</v>
      </c>
      <c r="O8" s="104"/>
      <c r="P8" s="104"/>
      <c r="Q8" s="100"/>
      <c r="R8" s="100"/>
      <c r="S8" s="100"/>
      <c r="T8" s="100"/>
      <c r="U8" s="100"/>
      <c r="V8" s="100"/>
      <c r="W8" s="100"/>
      <c r="X8" s="100"/>
      <c r="Y8" s="100" t="s">
        <v>932</v>
      </c>
      <c r="Z8" s="100" t="s">
        <v>931</v>
      </c>
      <c r="AA8" s="100" t="s">
        <v>530</v>
      </c>
      <c r="AB8" s="100" t="s">
        <v>384</v>
      </c>
      <c r="AC8" s="100" t="s">
        <v>257</v>
      </c>
      <c r="AD8" s="100" t="s">
        <v>144</v>
      </c>
      <c r="AE8" s="100" t="s">
        <v>246</v>
      </c>
      <c r="AF8" s="104">
        <v>9</v>
      </c>
      <c r="AG8" s="103">
        <v>45743</v>
      </c>
      <c r="AH8" s="102">
        <v>0.94666666666666666</v>
      </c>
      <c r="AI8" s="102">
        <v>0.91666666666666663</v>
      </c>
      <c r="AJ8" s="104" t="s">
        <v>168</v>
      </c>
      <c r="AK8" s="100" t="s">
        <v>461</v>
      </c>
      <c r="AL8" s="100" t="s">
        <v>531</v>
      </c>
      <c r="AM8" s="104" t="s">
        <v>169</v>
      </c>
      <c r="AN8" s="102">
        <v>0.94666666666666666</v>
      </c>
      <c r="AO8" s="103">
        <v>45743</v>
      </c>
      <c r="AP8" s="102">
        <v>0.91666666666666663</v>
      </c>
      <c r="AQ8" s="105"/>
      <c r="AR8" s="100" t="s">
        <v>168</v>
      </c>
      <c r="AS8" s="100" t="s">
        <v>247</v>
      </c>
      <c r="AT8" s="100" t="s">
        <v>445</v>
      </c>
      <c r="AU8" s="104">
        <v>2025</v>
      </c>
      <c r="AV8" s="104">
        <v>13</v>
      </c>
      <c r="AW8" s="104">
        <v>5</v>
      </c>
      <c r="AX8" s="104">
        <v>27</v>
      </c>
      <c r="AY8" s="104">
        <v>86</v>
      </c>
      <c r="AZ8" s="100" t="s">
        <v>461</v>
      </c>
      <c r="BA8" s="100" t="s">
        <v>529</v>
      </c>
      <c r="BB8" s="100"/>
      <c r="BC8" s="100"/>
      <c r="BD8" s="100"/>
      <c r="BE8" s="100"/>
      <c r="BF8" s="104"/>
      <c r="BG8" s="100"/>
      <c r="BH8" s="100" t="s">
        <v>168</v>
      </c>
      <c r="BI8" s="100" t="s">
        <v>168</v>
      </c>
    </row>
    <row r="9" spans="1:61" x14ac:dyDescent="0.25">
      <c r="A9" s="100" t="s">
        <v>532</v>
      </c>
      <c r="B9" s="101">
        <v>45743</v>
      </c>
      <c r="C9" s="105">
        <v>0.97916666666666674</v>
      </c>
      <c r="D9" s="103">
        <v>45744</v>
      </c>
      <c r="E9" s="102">
        <v>2.5000000000000001E-2</v>
      </c>
      <c r="F9" s="103">
        <v>45744</v>
      </c>
      <c r="G9" s="102">
        <v>0.46781250000000002</v>
      </c>
      <c r="H9" s="100" t="s">
        <v>242</v>
      </c>
      <c r="I9" s="100"/>
      <c r="J9" s="100"/>
      <c r="K9" s="100" t="s">
        <v>533</v>
      </c>
      <c r="L9" s="100" t="s">
        <v>358</v>
      </c>
      <c r="M9" s="104">
        <v>8</v>
      </c>
      <c r="N9" s="100" t="s">
        <v>17</v>
      </c>
      <c r="O9" s="104">
        <v>50300</v>
      </c>
      <c r="P9" s="104"/>
      <c r="Q9" s="100"/>
      <c r="R9" s="100"/>
      <c r="S9" s="100"/>
      <c r="T9" s="100"/>
      <c r="U9" s="100"/>
      <c r="V9" s="100"/>
      <c r="W9" s="100"/>
      <c r="X9" s="100"/>
      <c r="Y9" s="100" t="s">
        <v>935</v>
      </c>
      <c r="Z9" s="100" t="s">
        <v>931</v>
      </c>
      <c r="AA9" s="100" t="s">
        <v>475</v>
      </c>
      <c r="AB9" s="100" t="s">
        <v>211</v>
      </c>
      <c r="AC9" s="100" t="s">
        <v>534</v>
      </c>
      <c r="AD9" s="100" t="s">
        <v>166</v>
      </c>
      <c r="AE9" s="100" t="s">
        <v>246</v>
      </c>
      <c r="AF9" s="104">
        <v>9</v>
      </c>
      <c r="AG9" s="103">
        <v>45743</v>
      </c>
      <c r="AH9" s="102">
        <v>0.97916666666666663</v>
      </c>
      <c r="AI9" s="102">
        <v>0.95833333333333337</v>
      </c>
      <c r="AJ9" s="104" t="s">
        <v>168</v>
      </c>
      <c r="AK9" s="100" t="s">
        <v>481</v>
      </c>
      <c r="AL9" s="100" t="s">
        <v>242</v>
      </c>
      <c r="AM9" s="104" t="s">
        <v>169</v>
      </c>
      <c r="AN9" s="102">
        <v>0.97916666666666663</v>
      </c>
      <c r="AO9" s="103">
        <v>45743</v>
      </c>
      <c r="AP9" s="102">
        <v>0.95833333333333337</v>
      </c>
      <c r="AQ9" s="105"/>
      <c r="AR9" s="100" t="s">
        <v>168</v>
      </c>
      <c r="AS9" s="100" t="s">
        <v>247</v>
      </c>
      <c r="AT9" s="100" t="s">
        <v>445</v>
      </c>
      <c r="AU9" s="104">
        <v>2025</v>
      </c>
      <c r="AV9" s="104">
        <v>13</v>
      </c>
      <c r="AW9" s="104">
        <v>5</v>
      </c>
      <c r="AX9" s="104">
        <v>27</v>
      </c>
      <c r="AY9" s="104">
        <v>86</v>
      </c>
      <c r="AZ9" s="100" t="s">
        <v>481</v>
      </c>
      <c r="BA9" s="100" t="s">
        <v>533</v>
      </c>
      <c r="BB9" s="100"/>
      <c r="BC9" s="100"/>
      <c r="BD9" s="100"/>
      <c r="BE9" s="100"/>
      <c r="BF9" s="104">
        <v>50300</v>
      </c>
      <c r="BG9" s="100"/>
      <c r="BH9" s="100" t="s">
        <v>168</v>
      </c>
      <c r="BI9" s="100" t="s">
        <v>168</v>
      </c>
    </row>
    <row r="10" spans="1:61" x14ac:dyDescent="0.25">
      <c r="A10" s="100" t="s">
        <v>551</v>
      </c>
      <c r="B10" s="101">
        <v>45747</v>
      </c>
      <c r="C10" s="105">
        <v>0.5</v>
      </c>
      <c r="D10" s="103"/>
      <c r="E10" s="102"/>
      <c r="F10" s="103">
        <v>45747</v>
      </c>
      <c r="G10" s="102">
        <v>0.54355324074074074</v>
      </c>
      <c r="H10" s="100" t="s">
        <v>242</v>
      </c>
      <c r="I10" s="100"/>
      <c r="J10" s="100"/>
      <c r="K10" s="100" t="s">
        <v>552</v>
      </c>
      <c r="L10" s="100" t="s">
        <v>553</v>
      </c>
      <c r="M10" s="104">
        <v>7</v>
      </c>
      <c r="N10" s="100" t="s">
        <v>23</v>
      </c>
      <c r="O10" s="104"/>
      <c r="P10" s="104"/>
      <c r="Q10" s="100"/>
      <c r="R10" s="100"/>
      <c r="S10" s="100"/>
      <c r="T10" s="100"/>
      <c r="U10" s="100"/>
      <c r="V10" s="100"/>
      <c r="W10" s="100"/>
      <c r="X10" s="100"/>
      <c r="Y10" s="100" t="s">
        <v>993</v>
      </c>
      <c r="Z10" s="100" t="s">
        <v>931</v>
      </c>
      <c r="AA10" s="100" t="s">
        <v>554</v>
      </c>
      <c r="AB10" s="100" t="s">
        <v>256</v>
      </c>
      <c r="AC10" s="100" t="s">
        <v>350</v>
      </c>
      <c r="AD10" s="100" t="s">
        <v>301</v>
      </c>
      <c r="AE10" s="100" t="s">
        <v>246</v>
      </c>
      <c r="AF10" s="104">
        <v>9</v>
      </c>
      <c r="AG10" s="103">
        <v>45747</v>
      </c>
      <c r="AH10" s="102">
        <v>0.5</v>
      </c>
      <c r="AI10" s="102">
        <v>0.5</v>
      </c>
      <c r="AJ10" s="104" t="s">
        <v>146</v>
      </c>
      <c r="AK10" s="100" t="s">
        <v>322</v>
      </c>
      <c r="AL10" s="100" t="s">
        <v>242</v>
      </c>
      <c r="AM10" s="104" t="s">
        <v>169</v>
      </c>
      <c r="AN10" s="102">
        <v>0.5</v>
      </c>
      <c r="AO10" s="103">
        <v>45747</v>
      </c>
      <c r="AP10" s="102">
        <v>0.5</v>
      </c>
      <c r="AQ10" s="105"/>
      <c r="AR10" s="100" t="s">
        <v>146</v>
      </c>
      <c r="AS10" s="100" t="s">
        <v>183</v>
      </c>
      <c r="AT10" s="100" t="s">
        <v>445</v>
      </c>
      <c r="AU10" s="104">
        <v>2025</v>
      </c>
      <c r="AV10" s="104">
        <v>14</v>
      </c>
      <c r="AW10" s="104">
        <v>6</v>
      </c>
      <c r="AX10" s="104">
        <v>31</v>
      </c>
      <c r="AY10" s="104">
        <v>90</v>
      </c>
      <c r="AZ10" s="100" t="s">
        <v>322</v>
      </c>
      <c r="BA10" s="100" t="s">
        <v>552</v>
      </c>
      <c r="BB10" s="100"/>
      <c r="BC10" s="100"/>
      <c r="BD10" s="100"/>
      <c r="BE10" s="100"/>
      <c r="BF10" s="104"/>
      <c r="BG10" s="100"/>
      <c r="BH10" s="100" t="s">
        <v>146</v>
      </c>
      <c r="BI10" s="100" t="s">
        <v>146</v>
      </c>
    </row>
    <row r="11" spans="1:61" x14ac:dyDescent="0.25">
      <c r="A11" s="100" t="s">
        <v>583</v>
      </c>
      <c r="B11" s="101">
        <v>45748</v>
      </c>
      <c r="C11" s="105">
        <v>0.5</v>
      </c>
      <c r="D11" s="103">
        <v>45751</v>
      </c>
      <c r="E11" s="102">
        <v>0.52083333333333337</v>
      </c>
      <c r="F11" s="103">
        <v>45751</v>
      </c>
      <c r="G11" s="102">
        <v>0.54546296296296293</v>
      </c>
      <c r="H11" s="100" t="s">
        <v>242</v>
      </c>
      <c r="I11" s="100"/>
      <c r="J11" s="100"/>
      <c r="K11" s="100" t="s">
        <v>584</v>
      </c>
      <c r="L11" s="100" t="s">
        <v>288</v>
      </c>
      <c r="M11" s="104">
        <v>5</v>
      </c>
      <c r="N11" s="100" t="s">
        <v>26</v>
      </c>
      <c r="O11" s="104"/>
      <c r="P11" s="104"/>
      <c r="Q11" s="100"/>
      <c r="R11" s="100"/>
      <c r="S11" s="100"/>
      <c r="T11" s="100"/>
      <c r="U11" s="100"/>
      <c r="V11" s="100"/>
      <c r="W11" s="100"/>
      <c r="X11" s="100"/>
      <c r="Y11" s="100" t="s">
        <v>950</v>
      </c>
      <c r="Z11" s="100" t="s">
        <v>931</v>
      </c>
      <c r="AA11" s="100" t="s">
        <v>585</v>
      </c>
      <c r="AB11" s="100" t="s">
        <v>164</v>
      </c>
      <c r="AC11" s="100" t="s">
        <v>488</v>
      </c>
      <c r="AD11" s="100" t="s">
        <v>166</v>
      </c>
      <c r="AE11" s="100" t="s">
        <v>246</v>
      </c>
      <c r="AF11" s="104">
        <v>9</v>
      </c>
      <c r="AG11" s="103">
        <v>45748</v>
      </c>
      <c r="AH11" s="102">
        <v>0.5</v>
      </c>
      <c r="AI11" s="102">
        <v>0.5</v>
      </c>
      <c r="AJ11" s="104" t="s">
        <v>146</v>
      </c>
      <c r="AK11" s="100" t="s">
        <v>586</v>
      </c>
      <c r="AL11" s="100" t="s">
        <v>242</v>
      </c>
      <c r="AM11" s="104" t="s">
        <v>169</v>
      </c>
      <c r="AN11" s="102">
        <v>0.5</v>
      </c>
      <c r="AO11" s="103">
        <v>45748</v>
      </c>
      <c r="AP11" s="102">
        <v>0.5</v>
      </c>
      <c r="AQ11" s="105"/>
      <c r="AR11" s="100" t="s">
        <v>146</v>
      </c>
      <c r="AS11" s="100" t="s">
        <v>148</v>
      </c>
      <c r="AT11" s="100" t="s">
        <v>582</v>
      </c>
      <c r="AU11" s="104">
        <v>2025</v>
      </c>
      <c r="AV11" s="104">
        <v>14</v>
      </c>
      <c r="AW11" s="104">
        <v>1</v>
      </c>
      <c r="AX11" s="104">
        <v>1</v>
      </c>
      <c r="AY11" s="104">
        <v>91</v>
      </c>
      <c r="AZ11" s="100" t="s">
        <v>586</v>
      </c>
      <c r="BA11" s="100" t="s">
        <v>584</v>
      </c>
      <c r="BB11" s="100"/>
      <c r="BC11" s="100"/>
      <c r="BD11" s="100"/>
      <c r="BE11" s="100"/>
      <c r="BF11" s="104"/>
      <c r="BG11" s="100"/>
      <c r="BH11" s="100" t="s">
        <v>146</v>
      </c>
      <c r="BI11" s="100" t="s">
        <v>146</v>
      </c>
    </row>
    <row r="12" spans="1:61" x14ac:dyDescent="0.25">
      <c r="A12" s="100" t="s">
        <v>602</v>
      </c>
      <c r="B12" s="101">
        <v>45755</v>
      </c>
      <c r="C12" s="105">
        <v>0.5</v>
      </c>
      <c r="D12" s="103">
        <v>45759</v>
      </c>
      <c r="E12" s="102">
        <v>0.5</v>
      </c>
      <c r="F12" s="103">
        <v>45759</v>
      </c>
      <c r="G12" s="102">
        <v>0.5269907407407407</v>
      </c>
      <c r="H12" s="100" t="s">
        <v>242</v>
      </c>
      <c r="I12" s="100"/>
      <c r="J12" s="100"/>
      <c r="K12" s="100" t="s">
        <v>603</v>
      </c>
      <c r="L12" s="100" t="s">
        <v>288</v>
      </c>
      <c r="M12" s="104">
        <v>5</v>
      </c>
      <c r="N12" s="100" t="s">
        <v>29</v>
      </c>
      <c r="O12" s="104"/>
      <c r="P12" s="104"/>
      <c r="Q12" s="100"/>
      <c r="R12" s="100"/>
      <c r="S12" s="100"/>
      <c r="T12" s="100"/>
      <c r="U12" s="100"/>
      <c r="V12" s="100"/>
      <c r="W12" s="100"/>
      <c r="X12" s="100"/>
      <c r="Y12" s="100" t="s">
        <v>932</v>
      </c>
      <c r="Z12" s="100" t="s">
        <v>931</v>
      </c>
      <c r="AA12" s="100" t="s">
        <v>530</v>
      </c>
      <c r="AB12" s="100" t="s">
        <v>384</v>
      </c>
      <c r="AC12" s="100" t="s">
        <v>310</v>
      </c>
      <c r="AD12" s="100" t="s">
        <v>166</v>
      </c>
      <c r="AE12" s="100" t="s">
        <v>246</v>
      </c>
      <c r="AF12" s="104">
        <v>9</v>
      </c>
      <c r="AG12" s="103">
        <v>45755</v>
      </c>
      <c r="AH12" s="102">
        <v>0.5</v>
      </c>
      <c r="AI12" s="102">
        <v>0.5</v>
      </c>
      <c r="AJ12" s="104" t="s">
        <v>146</v>
      </c>
      <c r="AK12" s="100" t="s">
        <v>352</v>
      </c>
      <c r="AL12" s="100" t="s">
        <v>242</v>
      </c>
      <c r="AM12" s="104" t="s">
        <v>169</v>
      </c>
      <c r="AN12" s="102">
        <v>0.5</v>
      </c>
      <c r="AO12" s="103">
        <v>45755</v>
      </c>
      <c r="AP12" s="102">
        <v>0.5</v>
      </c>
      <c r="AQ12" s="105"/>
      <c r="AR12" s="100" t="s">
        <v>146</v>
      </c>
      <c r="AS12" s="100" t="s">
        <v>148</v>
      </c>
      <c r="AT12" s="100" t="s">
        <v>582</v>
      </c>
      <c r="AU12" s="104">
        <v>2025</v>
      </c>
      <c r="AV12" s="104">
        <v>15</v>
      </c>
      <c r="AW12" s="104">
        <v>2</v>
      </c>
      <c r="AX12" s="104">
        <v>8</v>
      </c>
      <c r="AY12" s="104">
        <v>98</v>
      </c>
      <c r="AZ12" s="100" t="s">
        <v>352</v>
      </c>
      <c r="BA12" s="100" t="s">
        <v>603</v>
      </c>
      <c r="BB12" s="100"/>
      <c r="BC12" s="100"/>
      <c r="BD12" s="100"/>
      <c r="BE12" s="100"/>
      <c r="BF12" s="104"/>
      <c r="BG12" s="100"/>
      <c r="BH12" s="100" t="s">
        <v>146</v>
      </c>
      <c r="BI12" s="100" t="s">
        <v>146</v>
      </c>
    </row>
    <row r="13" spans="1:61" x14ac:dyDescent="0.25">
      <c r="A13" s="100" t="s">
        <v>628</v>
      </c>
      <c r="B13" s="101">
        <v>45760</v>
      </c>
      <c r="C13" s="105">
        <v>0.78115740740740747</v>
      </c>
      <c r="D13" s="103"/>
      <c r="E13" s="102"/>
      <c r="F13" s="103">
        <v>45760</v>
      </c>
      <c r="G13" s="102">
        <v>0.78115740740740736</v>
      </c>
      <c r="H13" s="100" t="s">
        <v>242</v>
      </c>
      <c r="I13" s="100" t="s">
        <v>629</v>
      </c>
      <c r="J13" s="100" t="s">
        <v>556</v>
      </c>
      <c r="K13" s="100" t="s">
        <v>630</v>
      </c>
      <c r="L13" s="100" t="s">
        <v>414</v>
      </c>
      <c r="M13" s="104">
        <v>7</v>
      </c>
      <c r="N13" s="100" t="s">
        <v>34</v>
      </c>
      <c r="O13" s="104"/>
      <c r="P13" s="104"/>
      <c r="Q13" s="100"/>
      <c r="R13" s="100"/>
      <c r="S13" s="100"/>
      <c r="T13" s="100"/>
      <c r="U13" s="100"/>
      <c r="V13" s="100"/>
      <c r="W13" s="100"/>
      <c r="X13" s="100"/>
      <c r="Y13" s="100" t="s">
        <v>950</v>
      </c>
      <c r="Z13" s="100" t="s">
        <v>931</v>
      </c>
      <c r="AA13" s="100" t="s">
        <v>291</v>
      </c>
      <c r="AB13" s="100" t="s">
        <v>256</v>
      </c>
      <c r="AC13" s="100" t="s">
        <v>228</v>
      </c>
      <c r="AD13" s="100" t="s">
        <v>144</v>
      </c>
      <c r="AE13" s="100" t="s">
        <v>246</v>
      </c>
      <c r="AF13" s="104">
        <v>9</v>
      </c>
      <c r="AG13" s="103">
        <v>45760</v>
      </c>
      <c r="AH13" s="102">
        <v>0.78115740740740736</v>
      </c>
      <c r="AI13" s="102">
        <v>0.75</v>
      </c>
      <c r="AJ13" s="104" t="s">
        <v>266</v>
      </c>
      <c r="AK13" s="100" t="s">
        <v>184</v>
      </c>
      <c r="AL13" s="100" t="s">
        <v>631</v>
      </c>
      <c r="AM13" s="104" t="s">
        <v>169</v>
      </c>
      <c r="AN13" s="102">
        <v>0.78115740740740736</v>
      </c>
      <c r="AO13" s="103">
        <v>45760</v>
      </c>
      <c r="AP13" s="102">
        <v>0.75</v>
      </c>
      <c r="AQ13" s="105"/>
      <c r="AR13" s="100" t="s">
        <v>266</v>
      </c>
      <c r="AS13" s="100" t="s">
        <v>311</v>
      </c>
      <c r="AT13" s="100" t="s">
        <v>582</v>
      </c>
      <c r="AU13" s="104">
        <v>2025</v>
      </c>
      <c r="AV13" s="104">
        <v>16</v>
      </c>
      <c r="AW13" s="104">
        <v>3</v>
      </c>
      <c r="AX13" s="104">
        <v>13</v>
      </c>
      <c r="AY13" s="104">
        <v>103</v>
      </c>
      <c r="AZ13" s="100" t="s">
        <v>184</v>
      </c>
      <c r="BA13" s="100" t="s">
        <v>630</v>
      </c>
      <c r="BB13" s="100"/>
      <c r="BC13" s="100"/>
      <c r="BD13" s="100"/>
      <c r="BE13" s="100"/>
      <c r="BF13" s="104"/>
      <c r="BG13" s="100"/>
      <c r="BH13" s="100" t="s">
        <v>266</v>
      </c>
      <c r="BI13" s="100" t="s">
        <v>266</v>
      </c>
    </row>
    <row r="14" spans="1:61" x14ac:dyDescent="0.25">
      <c r="A14" s="100" t="s">
        <v>632</v>
      </c>
      <c r="B14" s="101">
        <v>45761</v>
      </c>
      <c r="C14" s="105">
        <v>0.95833333333333326</v>
      </c>
      <c r="D14" s="103">
        <v>45762</v>
      </c>
      <c r="E14" s="102">
        <v>0.77083333333333337</v>
      </c>
      <c r="F14" s="103">
        <v>45762</v>
      </c>
      <c r="G14" s="102">
        <v>0.77781250000000002</v>
      </c>
      <c r="H14" s="100" t="s">
        <v>242</v>
      </c>
      <c r="I14" s="100" t="s">
        <v>295</v>
      </c>
      <c r="J14" s="100" t="s">
        <v>556</v>
      </c>
      <c r="K14" s="100" t="s">
        <v>633</v>
      </c>
      <c r="L14" s="100" t="s">
        <v>138</v>
      </c>
      <c r="M14" s="104">
        <v>8</v>
      </c>
      <c r="N14" s="100" t="s">
        <v>634</v>
      </c>
      <c r="O14" s="104"/>
      <c r="P14" s="104"/>
      <c r="Q14" s="100"/>
      <c r="R14" s="100"/>
      <c r="S14" s="100"/>
      <c r="T14" s="100"/>
      <c r="U14" s="100"/>
      <c r="V14" s="100"/>
      <c r="W14" s="100"/>
      <c r="X14" s="100"/>
      <c r="Y14" s="100" t="s">
        <v>1001</v>
      </c>
      <c r="Z14" s="100" t="s">
        <v>931</v>
      </c>
      <c r="AA14" s="100" t="s">
        <v>635</v>
      </c>
      <c r="AB14" s="100" t="s">
        <v>542</v>
      </c>
      <c r="AC14" s="100" t="s">
        <v>228</v>
      </c>
      <c r="AD14" s="100" t="s">
        <v>320</v>
      </c>
      <c r="AE14" s="100" t="s">
        <v>246</v>
      </c>
      <c r="AF14" s="104">
        <v>9</v>
      </c>
      <c r="AG14" s="103">
        <v>45761</v>
      </c>
      <c r="AH14" s="102">
        <v>0.95833333333333337</v>
      </c>
      <c r="AI14" s="102">
        <v>0.95833333333333337</v>
      </c>
      <c r="AJ14" s="104" t="s">
        <v>168</v>
      </c>
      <c r="AK14" s="100" t="s">
        <v>150</v>
      </c>
      <c r="AL14" s="100" t="s">
        <v>636</v>
      </c>
      <c r="AM14" s="104" t="s">
        <v>169</v>
      </c>
      <c r="AN14" s="102">
        <v>0.95833333333333337</v>
      </c>
      <c r="AO14" s="103">
        <v>45761</v>
      </c>
      <c r="AP14" s="102">
        <v>0.95833333333333337</v>
      </c>
      <c r="AQ14" s="105"/>
      <c r="AR14" s="100" t="s">
        <v>168</v>
      </c>
      <c r="AS14" s="100" t="s">
        <v>183</v>
      </c>
      <c r="AT14" s="100" t="s">
        <v>582</v>
      </c>
      <c r="AU14" s="104">
        <v>2025</v>
      </c>
      <c r="AV14" s="104">
        <v>16</v>
      </c>
      <c r="AW14" s="104">
        <v>3</v>
      </c>
      <c r="AX14" s="104">
        <v>14</v>
      </c>
      <c r="AY14" s="104">
        <v>104</v>
      </c>
      <c r="AZ14" s="100" t="s">
        <v>150</v>
      </c>
      <c r="BA14" s="100" t="s">
        <v>633</v>
      </c>
      <c r="BB14" s="100"/>
      <c r="BC14" s="100"/>
      <c r="BD14" s="100"/>
      <c r="BE14" s="100"/>
      <c r="BF14" s="104"/>
      <c r="BG14" s="100"/>
      <c r="BH14" s="100" t="s">
        <v>168</v>
      </c>
      <c r="BI14" s="100" t="s">
        <v>168</v>
      </c>
    </row>
    <row r="15" spans="1:61" x14ac:dyDescent="0.25">
      <c r="A15" s="100" t="s">
        <v>637</v>
      </c>
      <c r="B15" s="101">
        <v>45763</v>
      </c>
      <c r="C15" s="105">
        <v>0.25</v>
      </c>
      <c r="D15" s="103">
        <v>45765</v>
      </c>
      <c r="E15" s="102"/>
      <c r="F15" s="103">
        <v>45765</v>
      </c>
      <c r="G15" s="102">
        <v>0.9226388888888889</v>
      </c>
      <c r="H15" s="100" t="s">
        <v>242</v>
      </c>
      <c r="I15" s="100"/>
      <c r="J15" s="100"/>
      <c r="K15" s="100" t="s">
        <v>638</v>
      </c>
      <c r="L15" s="100" t="s">
        <v>414</v>
      </c>
      <c r="M15" s="104">
        <v>7</v>
      </c>
      <c r="N15" s="100" t="s">
        <v>639</v>
      </c>
      <c r="O15" s="104"/>
      <c r="P15" s="104"/>
      <c r="Q15" s="100"/>
      <c r="R15" s="100"/>
      <c r="S15" s="100"/>
      <c r="T15" s="100"/>
      <c r="U15" s="100"/>
      <c r="V15" s="100"/>
      <c r="W15" s="100"/>
      <c r="X15" s="100"/>
      <c r="Y15" s="100" t="s">
        <v>946</v>
      </c>
      <c r="Z15" s="100" t="s">
        <v>931</v>
      </c>
      <c r="AA15" s="100" t="s">
        <v>327</v>
      </c>
      <c r="AB15" s="100" t="s">
        <v>328</v>
      </c>
      <c r="AC15" s="100" t="s">
        <v>275</v>
      </c>
      <c r="AD15" s="100" t="s">
        <v>166</v>
      </c>
      <c r="AE15" s="100" t="s">
        <v>246</v>
      </c>
      <c r="AF15" s="104">
        <v>9</v>
      </c>
      <c r="AG15" s="103">
        <v>45763</v>
      </c>
      <c r="AH15" s="102">
        <v>0.25</v>
      </c>
      <c r="AI15" s="102">
        <v>0.25</v>
      </c>
      <c r="AJ15" s="104" t="s">
        <v>385</v>
      </c>
      <c r="AK15" s="100" t="s">
        <v>640</v>
      </c>
      <c r="AL15" s="100" t="s">
        <v>242</v>
      </c>
      <c r="AM15" s="104" t="s">
        <v>169</v>
      </c>
      <c r="AN15" s="102">
        <v>0.25</v>
      </c>
      <c r="AO15" s="103">
        <v>45763</v>
      </c>
      <c r="AP15" s="102">
        <v>0.25</v>
      </c>
      <c r="AQ15" s="105"/>
      <c r="AR15" s="100" t="s">
        <v>385</v>
      </c>
      <c r="AS15" s="100" t="s">
        <v>239</v>
      </c>
      <c r="AT15" s="100" t="s">
        <v>582</v>
      </c>
      <c r="AU15" s="104">
        <v>2025</v>
      </c>
      <c r="AV15" s="104">
        <v>16</v>
      </c>
      <c r="AW15" s="104">
        <v>3</v>
      </c>
      <c r="AX15" s="104">
        <v>16</v>
      </c>
      <c r="AY15" s="104">
        <v>106</v>
      </c>
      <c r="AZ15" s="100" t="s">
        <v>640</v>
      </c>
      <c r="BA15" s="100" t="s">
        <v>638</v>
      </c>
      <c r="BB15" s="100"/>
      <c r="BC15" s="100"/>
      <c r="BD15" s="100"/>
      <c r="BE15" s="100"/>
      <c r="BF15" s="104"/>
      <c r="BG15" s="100"/>
      <c r="BH15" s="100" t="s">
        <v>385</v>
      </c>
      <c r="BI15" s="100" t="s">
        <v>385</v>
      </c>
    </row>
    <row r="16" spans="1:61" x14ac:dyDescent="0.25">
      <c r="A16" s="100" t="s">
        <v>663</v>
      </c>
      <c r="B16" s="101"/>
      <c r="C16" s="105"/>
      <c r="D16" s="103"/>
      <c r="E16" s="102"/>
      <c r="F16" s="103">
        <v>45768</v>
      </c>
      <c r="G16" s="102">
        <v>0.40254629629629629</v>
      </c>
      <c r="H16" s="100" t="s">
        <v>242</v>
      </c>
      <c r="I16" s="100"/>
      <c r="J16" s="100"/>
      <c r="K16" s="100" t="s">
        <v>664</v>
      </c>
      <c r="L16" s="100" t="s">
        <v>414</v>
      </c>
      <c r="M16" s="104">
        <v>7</v>
      </c>
      <c r="N16" s="100" t="s">
        <v>665</v>
      </c>
      <c r="O16" s="104"/>
      <c r="P16" s="104"/>
      <c r="Q16" s="100"/>
      <c r="R16" s="100"/>
      <c r="S16" s="100"/>
      <c r="T16" s="100"/>
      <c r="U16" s="100"/>
      <c r="V16" s="100"/>
      <c r="W16" s="100"/>
      <c r="X16" s="100"/>
      <c r="Y16" s="100" t="s">
        <v>1007</v>
      </c>
      <c r="Z16" s="100" t="s">
        <v>931</v>
      </c>
      <c r="AA16" s="100" t="s">
        <v>585</v>
      </c>
      <c r="AB16" s="100" t="s">
        <v>164</v>
      </c>
      <c r="AC16" s="100" t="s">
        <v>534</v>
      </c>
      <c r="AD16" s="100" t="s">
        <v>301</v>
      </c>
      <c r="AE16" s="100" t="s">
        <v>246</v>
      </c>
      <c r="AF16" s="104">
        <v>9</v>
      </c>
      <c r="AG16" s="103">
        <v>45768</v>
      </c>
      <c r="AH16" s="102">
        <v>0.40254629629629629</v>
      </c>
      <c r="AI16" s="102">
        <v>0.375</v>
      </c>
      <c r="AJ16" s="104" t="s">
        <v>276</v>
      </c>
      <c r="AK16" s="100" t="s">
        <v>666</v>
      </c>
      <c r="AL16" s="100" t="s">
        <v>242</v>
      </c>
      <c r="AM16" s="104" t="s">
        <v>169</v>
      </c>
      <c r="AN16" s="102">
        <v>0.40254629629629629</v>
      </c>
      <c r="AO16" s="103">
        <v>45768</v>
      </c>
      <c r="AP16" s="102">
        <v>0.375</v>
      </c>
      <c r="AQ16" s="105"/>
      <c r="AR16" s="100" t="s">
        <v>276</v>
      </c>
      <c r="AS16" s="100" t="s">
        <v>183</v>
      </c>
      <c r="AT16" s="100" t="s">
        <v>582</v>
      </c>
      <c r="AU16" s="104">
        <v>2025</v>
      </c>
      <c r="AV16" s="104">
        <v>17</v>
      </c>
      <c r="AW16" s="104">
        <v>4</v>
      </c>
      <c r="AX16" s="104">
        <v>21</v>
      </c>
      <c r="AY16" s="104">
        <v>111</v>
      </c>
      <c r="AZ16" s="100" t="s">
        <v>666</v>
      </c>
      <c r="BA16" s="100" t="s">
        <v>664</v>
      </c>
      <c r="BB16" s="100"/>
      <c r="BC16" s="100"/>
      <c r="BD16" s="100"/>
      <c r="BE16" s="100"/>
      <c r="BF16" s="104"/>
      <c r="BG16" s="100"/>
      <c r="BH16" s="100" t="s">
        <v>276</v>
      </c>
      <c r="BI16" s="100" t="s">
        <v>276</v>
      </c>
    </row>
    <row r="17" spans="1:61" x14ac:dyDescent="0.25">
      <c r="A17" s="100" t="s">
        <v>659</v>
      </c>
      <c r="B17" s="101">
        <v>45767</v>
      </c>
      <c r="C17" s="105">
        <v>0.14861111111111103</v>
      </c>
      <c r="D17" s="103">
        <v>45768</v>
      </c>
      <c r="E17" s="102">
        <v>0.33333333333333331</v>
      </c>
      <c r="F17" s="103">
        <v>45768</v>
      </c>
      <c r="G17" s="102">
        <v>0.33649305555555553</v>
      </c>
      <c r="H17" s="100" t="s">
        <v>367</v>
      </c>
      <c r="I17" s="100"/>
      <c r="J17" s="100"/>
      <c r="K17" s="100" t="s">
        <v>660</v>
      </c>
      <c r="L17" s="100" t="s">
        <v>516</v>
      </c>
      <c r="M17" s="104">
        <v>9</v>
      </c>
      <c r="N17" s="100" t="s">
        <v>661</v>
      </c>
      <c r="O17" s="104"/>
      <c r="P17" s="104"/>
      <c r="Q17" s="100"/>
      <c r="R17" s="100"/>
      <c r="S17" s="100"/>
      <c r="T17" s="100"/>
      <c r="U17" s="100"/>
      <c r="V17" s="100"/>
      <c r="W17" s="100"/>
      <c r="X17" s="100"/>
      <c r="Y17" s="100" t="s">
        <v>1007</v>
      </c>
      <c r="Z17" s="100" t="s">
        <v>931</v>
      </c>
      <c r="AA17" s="100" t="s">
        <v>530</v>
      </c>
      <c r="AB17" s="100" t="s">
        <v>384</v>
      </c>
      <c r="AC17" s="100" t="s">
        <v>310</v>
      </c>
      <c r="AD17" s="100" t="s">
        <v>166</v>
      </c>
      <c r="AE17" s="100" t="s">
        <v>246</v>
      </c>
      <c r="AF17" s="104">
        <v>9</v>
      </c>
      <c r="AG17" s="103">
        <v>45767</v>
      </c>
      <c r="AH17" s="102">
        <v>0.14861111111111111</v>
      </c>
      <c r="AI17" s="102">
        <v>0.125</v>
      </c>
      <c r="AJ17" s="104" t="s">
        <v>343</v>
      </c>
      <c r="AK17" s="100" t="s">
        <v>662</v>
      </c>
      <c r="AL17" s="100" t="s">
        <v>367</v>
      </c>
      <c r="AM17" s="104" t="s">
        <v>169</v>
      </c>
      <c r="AN17" s="102">
        <v>0.14861111111111111</v>
      </c>
      <c r="AO17" s="103">
        <v>45767</v>
      </c>
      <c r="AP17" s="102">
        <v>0.125</v>
      </c>
      <c r="AQ17" s="105"/>
      <c r="AR17" s="100" t="s">
        <v>343</v>
      </c>
      <c r="AS17" s="100" t="s">
        <v>311</v>
      </c>
      <c r="AT17" s="100" t="s">
        <v>582</v>
      </c>
      <c r="AU17" s="104">
        <v>2025</v>
      </c>
      <c r="AV17" s="104">
        <v>17</v>
      </c>
      <c r="AW17" s="104">
        <v>4</v>
      </c>
      <c r="AX17" s="104">
        <v>20</v>
      </c>
      <c r="AY17" s="104">
        <v>110</v>
      </c>
      <c r="AZ17" s="100" t="s">
        <v>662</v>
      </c>
      <c r="BA17" s="100" t="s">
        <v>660</v>
      </c>
      <c r="BB17" s="100"/>
      <c r="BC17" s="100"/>
      <c r="BD17" s="100"/>
      <c r="BE17" s="100"/>
      <c r="BF17" s="104"/>
      <c r="BG17" s="100"/>
      <c r="BH17" s="100" t="s">
        <v>343</v>
      </c>
      <c r="BI17" s="100" t="s">
        <v>343</v>
      </c>
    </row>
    <row r="18" spans="1:61" x14ac:dyDescent="0.25">
      <c r="A18" s="100" t="s">
        <v>700</v>
      </c>
      <c r="B18" s="101">
        <v>45778</v>
      </c>
      <c r="C18" s="105">
        <v>0.93593750000000009</v>
      </c>
      <c r="D18" s="103"/>
      <c r="E18" s="102"/>
      <c r="F18" s="103">
        <v>45778</v>
      </c>
      <c r="G18" s="102">
        <v>0.93593749999999998</v>
      </c>
      <c r="H18" s="100" t="s">
        <v>242</v>
      </c>
      <c r="I18" s="100" t="s">
        <v>295</v>
      </c>
      <c r="J18" s="100" t="s">
        <v>701</v>
      </c>
      <c r="K18" s="100" t="s">
        <v>702</v>
      </c>
      <c r="L18" s="100" t="s">
        <v>191</v>
      </c>
      <c r="M18" s="104">
        <v>7</v>
      </c>
      <c r="N18" s="100" t="s">
        <v>703</v>
      </c>
      <c r="O18" s="104"/>
      <c r="P18" s="104"/>
      <c r="Q18" s="100"/>
      <c r="R18" s="100"/>
      <c r="S18" s="100"/>
      <c r="T18" s="100"/>
      <c r="U18" s="100"/>
      <c r="V18" s="100"/>
      <c r="W18" s="100"/>
      <c r="X18" s="100"/>
      <c r="Y18" s="100" t="s">
        <v>958</v>
      </c>
      <c r="Z18" s="100" t="s">
        <v>931</v>
      </c>
      <c r="AA18" s="100" t="s">
        <v>635</v>
      </c>
      <c r="AB18" s="100" t="s">
        <v>256</v>
      </c>
      <c r="AC18" s="100" t="s">
        <v>228</v>
      </c>
      <c r="AD18" s="100" t="s">
        <v>166</v>
      </c>
      <c r="AE18" s="100" t="s">
        <v>246</v>
      </c>
      <c r="AF18" s="104">
        <v>9</v>
      </c>
      <c r="AG18" s="103">
        <v>45778</v>
      </c>
      <c r="AH18" s="102">
        <v>0.93593749999999998</v>
      </c>
      <c r="AI18" s="102">
        <v>0.91666666666666663</v>
      </c>
      <c r="AJ18" s="104" t="s">
        <v>168</v>
      </c>
      <c r="AK18" s="100" t="s">
        <v>627</v>
      </c>
      <c r="AL18" s="100" t="s">
        <v>704</v>
      </c>
      <c r="AM18" s="104" t="s">
        <v>169</v>
      </c>
      <c r="AN18" s="102">
        <v>0.93593749999999998</v>
      </c>
      <c r="AO18" s="103">
        <v>45778</v>
      </c>
      <c r="AP18" s="102">
        <v>0.91666666666666663</v>
      </c>
      <c r="AQ18" s="105"/>
      <c r="AR18" s="100" t="s">
        <v>168</v>
      </c>
      <c r="AS18" s="100" t="s">
        <v>247</v>
      </c>
      <c r="AT18" s="100" t="s">
        <v>705</v>
      </c>
      <c r="AU18" s="104">
        <v>2025</v>
      </c>
      <c r="AV18" s="104">
        <v>18</v>
      </c>
      <c r="AW18" s="104">
        <v>1</v>
      </c>
      <c r="AX18" s="104">
        <v>1</v>
      </c>
      <c r="AY18" s="104">
        <v>121</v>
      </c>
      <c r="AZ18" s="100" t="s">
        <v>627</v>
      </c>
      <c r="BA18" s="100" t="s">
        <v>702</v>
      </c>
      <c r="BB18" s="100"/>
      <c r="BC18" s="100"/>
      <c r="BD18" s="100"/>
      <c r="BE18" s="100"/>
      <c r="BF18" s="104"/>
      <c r="BG18" s="100"/>
      <c r="BH18" s="100" t="s">
        <v>168</v>
      </c>
      <c r="BI18" s="100" t="s">
        <v>168</v>
      </c>
    </row>
    <row r="19" spans="1:61" x14ac:dyDescent="0.25">
      <c r="A19" s="100" t="s">
        <v>742</v>
      </c>
      <c r="B19" s="101">
        <v>45789</v>
      </c>
      <c r="C19" s="105">
        <v>0.27222222222222214</v>
      </c>
      <c r="D19" s="103"/>
      <c r="E19" s="102"/>
      <c r="F19" s="103">
        <v>45789</v>
      </c>
      <c r="G19" s="102">
        <v>0.27627314814814813</v>
      </c>
      <c r="H19" s="100" t="s">
        <v>242</v>
      </c>
      <c r="I19" s="100" t="s">
        <v>388</v>
      </c>
      <c r="J19" s="100" t="s">
        <v>743</v>
      </c>
      <c r="K19" s="100" t="s">
        <v>744</v>
      </c>
      <c r="L19" s="100" t="s">
        <v>390</v>
      </c>
      <c r="M19" s="104">
        <v>9</v>
      </c>
      <c r="N19" s="100" t="s">
        <v>745</v>
      </c>
      <c r="O19" s="104"/>
      <c r="P19" s="104"/>
      <c r="Q19" s="100" t="s">
        <v>941</v>
      </c>
      <c r="R19" s="100" t="s">
        <v>942</v>
      </c>
      <c r="S19" s="100" t="s">
        <v>178</v>
      </c>
      <c r="T19" s="100" t="s">
        <v>161</v>
      </c>
      <c r="U19" s="100"/>
      <c r="V19" s="100"/>
      <c r="W19" s="100"/>
      <c r="X19" s="100"/>
      <c r="Y19" s="100" t="s">
        <v>943</v>
      </c>
      <c r="Z19" s="100" t="s">
        <v>931</v>
      </c>
      <c r="AA19" s="100" t="s">
        <v>163</v>
      </c>
      <c r="AB19" s="100" t="s">
        <v>328</v>
      </c>
      <c r="AC19" s="100" t="s">
        <v>350</v>
      </c>
      <c r="AD19" s="100" t="s">
        <v>364</v>
      </c>
      <c r="AE19" s="100" t="s">
        <v>747</v>
      </c>
      <c r="AF19" s="104">
        <v>9</v>
      </c>
      <c r="AG19" s="103">
        <v>45789</v>
      </c>
      <c r="AH19" s="102">
        <v>0.2722222222222222</v>
      </c>
      <c r="AI19" s="102">
        <v>0.25</v>
      </c>
      <c r="AJ19" s="104" t="s">
        <v>385</v>
      </c>
      <c r="AK19" s="100" t="s">
        <v>749</v>
      </c>
      <c r="AL19" s="100" t="s">
        <v>748</v>
      </c>
      <c r="AM19" s="104" t="s">
        <v>169</v>
      </c>
      <c r="AN19" s="102">
        <v>0.2722222222222222</v>
      </c>
      <c r="AO19" s="103">
        <v>45789</v>
      </c>
      <c r="AP19" s="102">
        <v>0.25</v>
      </c>
      <c r="AQ19" s="105"/>
      <c r="AR19" s="100" t="s">
        <v>385</v>
      </c>
      <c r="AS19" s="100" t="s">
        <v>183</v>
      </c>
      <c r="AT19" s="100" t="s">
        <v>705</v>
      </c>
      <c r="AU19" s="104">
        <v>2025</v>
      </c>
      <c r="AV19" s="104">
        <v>20</v>
      </c>
      <c r="AW19" s="104">
        <v>3</v>
      </c>
      <c r="AX19" s="104">
        <v>12</v>
      </c>
      <c r="AY19" s="104">
        <v>132</v>
      </c>
      <c r="AZ19" s="100" t="s">
        <v>749</v>
      </c>
      <c r="BA19" s="100" t="s">
        <v>744</v>
      </c>
      <c r="BB19" s="100"/>
      <c r="BC19" s="100"/>
      <c r="BD19" s="100" t="s">
        <v>944</v>
      </c>
      <c r="BE19" s="100"/>
      <c r="BF19" s="104"/>
      <c r="BG19" s="100"/>
      <c r="BH19" s="100" t="s">
        <v>385</v>
      </c>
      <c r="BI19" s="100" t="s">
        <v>385</v>
      </c>
    </row>
    <row r="20" spans="1:61" x14ac:dyDescent="0.25">
      <c r="A20" s="100" t="s">
        <v>706</v>
      </c>
      <c r="B20" s="101">
        <v>45781</v>
      </c>
      <c r="C20" s="105">
        <v>0.54166666666666674</v>
      </c>
      <c r="D20" s="103"/>
      <c r="E20" s="102"/>
      <c r="F20" s="103">
        <v>45789</v>
      </c>
      <c r="G20" s="102">
        <v>0.55585648148148148</v>
      </c>
      <c r="H20" s="100" t="s">
        <v>242</v>
      </c>
      <c r="I20" s="100"/>
      <c r="J20" s="100"/>
      <c r="K20" s="100" t="s">
        <v>707</v>
      </c>
      <c r="L20" s="100" t="s">
        <v>138</v>
      </c>
      <c r="M20" s="104">
        <v>8</v>
      </c>
      <c r="N20" s="100" t="s">
        <v>708</v>
      </c>
      <c r="O20" s="104"/>
      <c r="P20" s="104"/>
      <c r="Q20" s="100"/>
      <c r="R20" s="100"/>
      <c r="S20" s="100"/>
      <c r="T20" s="100"/>
      <c r="U20" s="100"/>
      <c r="V20" s="100"/>
      <c r="W20" s="100"/>
      <c r="X20" s="100"/>
      <c r="Y20" s="100" t="s">
        <v>943</v>
      </c>
      <c r="Z20" s="100" t="s">
        <v>931</v>
      </c>
      <c r="AA20" s="100" t="s">
        <v>475</v>
      </c>
      <c r="AB20" s="100" t="s">
        <v>211</v>
      </c>
      <c r="AC20" s="100" t="s">
        <v>350</v>
      </c>
      <c r="AD20" s="100" t="s">
        <v>301</v>
      </c>
      <c r="AE20" s="100" t="s">
        <v>246</v>
      </c>
      <c r="AF20" s="104">
        <v>9</v>
      </c>
      <c r="AG20" s="103">
        <v>45781</v>
      </c>
      <c r="AH20" s="102">
        <v>0.54166666666666663</v>
      </c>
      <c r="AI20" s="102">
        <v>0.54166666666666663</v>
      </c>
      <c r="AJ20" s="104" t="s">
        <v>146</v>
      </c>
      <c r="AK20" s="100" t="s">
        <v>710</v>
      </c>
      <c r="AL20" s="100" t="s">
        <v>242</v>
      </c>
      <c r="AM20" s="104" t="s">
        <v>169</v>
      </c>
      <c r="AN20" s="102">
        <v>0.54166666666666663</v>
      </c>
      <c r="AO20" s="103">
        <v>45781</v>
      </c>
      <c r="AP20" s="102">
        <v>0.54166666666666663</v>
      </c>
      <c r="AQ20" s="105"/>
      <c r="AR20" s="100" t="s">
        <v>146</v>
      </c>
      <c r="AS20" s="100" t="s">
        <v>311</v>
      </c>
      <c r="AT20" s="100" t="s">
        <v>705</v>
      </c>
      <c r="AU20" s="104">
        <v>2025</v>
      </c>
      <c r="AV20" s="104">
        <v>19</v>
      </c>
      <c r="AW20" s="104">
        <v>2</v>
      </c>
      <c r="AX20" s="104">
        <v>4</v>
      </c>
      <c r="AY20" s="104">
        <v>124</v>
      </c>
      <c r="AZ20" s="100" t="s">
        <v>710</v>
      </c>
      <c r="BA20" s="100" t="s">
        <v>707</v>
      </c>
      <c r="BB20" s="100"/>
      <c r="BC20" s="100"/>
      <c r="BD20" s="100"/>
      <c r="BE20" s="100"/>
      <c r="BF20" s="104"/>
      <c r="BG20" s="100"/>
      <c r="BH20" s="100" t="s">
        <v>146</v>
      </c>
      <c r="BI20" s="100" t="s">
        <v>146</v>
      </c>
    </row>
    <row r="21" spans="1:61" x14ac:dyDescent="0.25">
      <c r="A21" s="100" t="s">
        <v>757</v>
      </c>
      <c r="B21" s="101">
        <v>45789</v>
      </c>
      <c r="C21" s="105">
        <v>0.33333333333333326</v>
      </c>
      <c r="D21" s="103">
        <v>45793</v>
      </c>
      <c r="E21" s="102"/>
      <c r="F21" s="103">
        <v>45793</v>
      </c>
      <c r="G21" s="102">
        <v>0.55564814814814811</v>
      </c>
      <c r="H21" s="100" t="s">
        <v>242</v>
      </c>
      <c r="I21" s="100"/>
      <c r="J21" s="100"/>
      <c r="K21" s="100" t="s">
        <v>758</v>
      </c>
      <c r="L21" s="100" t="s">
        <v>270</v>
      </c>
      <c r="M21" s="104">
        <v>5</v>
      </c>
      <c r="N21" s="100" t="s">
        <v>759</v>
      </c>
      <c r="O21" s="104"/>
      <c r="P21" s="104"/>
      <c r="Q21" s="100"/>
      <c r="R21" s="100"/>
      <c r="S21" s="100"/>
      <c r="T21" s="100"/>
      <c r="U21" s="100"/>
      <c r="V21" s="100"/>
      <c r="W21" s="100"/>
      <c r="X21" s="100"/>
      <c r="Y21" s="100" t="s">
        <v>958</v>
      </c>
      <c r="Z21" s="100" t="s">
        <v>931</v>
      </c>
      <c r="AA21" s="100" t="s">
        <v>635</v>
      </c>
      <c r="AB21" s="100" t="s">
        <v>256</v>
      </c>
      <c r="AC21" s="100" t="s">
        <v>350</v>
      </c>
      <c r="AD21" s="100" t="s">
        <v>301</v>
      </c>
      <c r="AE21" s="100" t="s">
        <v>246</v>
      </c>
      <c r="AF21" s="104">
        <v>9</v>
      </c>
      <c r="AG21" s="103">
        <v>45789</v>
      </c>
      <c r="AH21" s="102">
        <v>0.33333333333333331</v>
      </c>
      <c r="AI21" s="102">
        <v>0.33333333333333331</v>
      </c>
      <c r="AJ21" s="104" t="s">
        <v>276</v>
      </c>
      <c r="AK21" s="100" t="s">
        <v>760</v>
      </c>
      <c r="AL21" s="100" t="s">
        <v>242</v>
      </c>
      <c r="AM21" s="104" t="s">
        <v>169</v>
      </c>
      <c r="AN21" s="102">
        <v>0.33333333333333331</v>
      </c>
      <c r="AO21" s="103">
        <v>45789</v>
      </c>
      <c r="AP21" s="102">
        <v>0.33333333333333331</v>
      </c>
      <c r="AQ21" s="105"/>
      <c r="AR21" s="100" t="s">
        <v>276</v>
      </c>
      <c r="AS21" s="100" t="s">
        <v>183</v>
      </c>
      <c r="AT21" s="100" t="s">
        <v>705</v>
      </c>
      <c r="AU21" s="104">
        <v>2025</v>
      </c>
      <c r="AV21" s="104">
        <v>20</v>
      </c>
      <c r="AW21" s="104">
        <v>3</v>
      </c>
      <c r="AX21" s="104">
        <v>12</v>
      </c>
      <c r="AY21" s="104">
        <v>132</v>
      </c>
      <c r="AZ21" s="100" t="s">
        <v>760</v>
      </c>
      <c r="BA21" s="100" t="s">
        <v>758</v>
      </c>
      <c r="BB21" s="100"/>
      <c r="BC21" s="100"/>
      <c r="BD21" s="100"/>
      <c r="BE21" s="100"/>
      <c r="BF21" s="104"/>
      <c r="BG21" s="100"/>
      <c r="BH21" s="100" t="s">
        <v>276</v>
      </c>
      <c r="BI21" s="100" t="s">
        <v>276</v>
      </c>
    </row>
    <row r="22" spans="1:61" x14ac:dyDescent="0.25">
      <c r="A22" s="100" t="s">
        <v>778</v>
      </c>
      <c r="B22" s="101">
        <v>45801</v>
      </c>
      <c r="C22" s="105">
        <v>0.93333333333333335</v>
      </c>
      <c r="D22" s="103"/>
      <c r="E22" s="102"/>
      <c r="F22" s="103">
        <v>45801</v>
      </c>
      <c r="G22" s="102">
        <v>0.94206018518518519</v>
      </c>
      <c r="H22" s="100" t="s">
        <v>242</v>
      </c>
      <c r="I22" s="100" t="s">
        <v>556</v>
      </c>
      <c r="J22" s="100" t="s">
        <v>779</v>
      </c>
      <c r="K22" s="100" t="s">
        <v>780</v>
      </c>
      <c r="L22" s="100" t="s">
        <v>378</v>
      </c>
      <c r="M22" s="104">
        <v>5</v>
      </c>
      <c r="N22" s="100" t="s">
        <v>781</v>
      </c>
      <c r="O22" s="104"/>
      <c r="P22" s="104"/>
      <c r="Q22" s="100"/>
      <c r="R22" s="100"/>
      <c r="S22" s="100"/>
      <c r="T22" s="100"/>
      <c r="U22" s="100"/>
      <c r="V22" s="100"/>
      <c r="W22" s="100"/>
      <c r="X22" s="100"/>
      <c r="Y22" s="100" t="s">
        <v>936</v>
      </c>
      <c r="Z22" s="100" t="s">
        <v>931</v>
      </c>
      <c r="AA22" s="100" t="s">
        <v>562</v>
      </c>
      <c r="AB22" s="100" t="s">
        <v>444</v>
      </c>
      <c r="AC22" s="100" t="s">
        <v>228</v>
      </c>
      <c r="AD22" s="100" t="s">
        <v>166</v>
      </c>
      <c r="AE22" s="100" t="s">
        <v>246</v>
      </c>
      <c r="AF22" s="104">
        <v>9</v>
      </c>
      <c r="AG22" s="103">
        <v>45801</v>
      </c>
      <c r="AH22" s="102">
        <v>0.93333333333333335</v>
      </c>
      <c r="AI22" s="102">
        <v>0.91666666666666663</v>
      </c>
      <c r="AJ22" s="104" t="s">
        <v>168</v>
      </c>
      <c r="AK22" s="100" t="s">
        <v>783</v>
      </c>
      <c r="AL22" s="100" t="s">
        <v>782</v>
      </c>
      <c r="AM22" s="104" t="s">
        <v>169</v>
      </c>
      <c r="AN22" s="102">
        <v>0.93333333333333335</v>
      </c>
      <c r="AO22" s="103">
        <v>45801</v>
      </c>
      <c r="AP22" s="102">
        <v>0.91666666666666663</v>
      </c>
      <c r="AQ22" s="105"/>
      <c r="AR22" s="100" t="s">
        <v>168</v>
      </c>
      <c r="AS22" s="100" t="s">
        <v>292</v>
      </c>
      <c r="AT22" s="100" t="s">
        <v>705</v>
      </c>
      <c r="AU22" s="104">
        <v>2025</v>
      </c>
      <c r="AV22" s="104">
        <v>21</v>
      </c>
      <c r="AW22" s="104">
        <v>4</v>
      </c>
      <c r="AX22" s="104">
        <v>24</v>
      </c>
      <c r="AY22" s="104">
        <v>144</v>
      </c>
      <c r="AZ22" s="100" t="s">
        <v>783</v>
      </c>
      <c r="BA22" s="100" t="s">
        <v>780</v>
      </c>
      <c r="BB22" s="100"/>
      <c r="BC22" s="100"/>
      <c r="BD22" s="100"/>
      <c r="BE22" s="100"/>
      <c r="BF22" s="104"/>
      <c r="BG22" s="100"/>
      <c r="BH22" s="100" t="s">
        <v>168</v>
      </c>
      <c r="BI22" s="100" t="s">
        <v>168</v>
      </c>
    </row>
    <row r="23" spans="1:61" x14ac:dyDescent="0.25">
      <c r="A23" s="100" t="s">
        <v>784</v>
      </c>
      <c r="B23" s="101">
        <v>45802</v>
      </c>
      <c r="C23" s="105">
        <v>0.23958333333333326</v>
      </c>
      <c r="D23" s="103"/>
      <c r="E23" s="102">
        <v>0.29166666666666669</v>
      </c>
      <c r="F23" s="103">
        <v>45802</v>
      </c>
      <c r="G23" s="102">
        <v>0.36920138888888887</v>
      </c>
      <c r="H23" s="100" t="s">
        <v>367</v>
      </c>
      <c r="I23" s="100"/>
      <c r="J23" s="100"/>
      <c r="K23" s="100" t="s">
        <v>785</v>
      </c>
      <c r="L23" s="100" t="s">
        <v>414</v>
      </c>
      <c r="M23" s="104">
        <v>7</v>
      </c>
      <c r="N23" s="100" t="s">
        <v>786</v>
      </c>
      <c r="O23" s="104"/>
      <c r="P23" s="104"/>
      <c r="Q23" s="100"/>
      <c r="R23" s="100"/>
      <c r="S23" s="100"/>
      <c r="T23" s="100"/>
      <c r="U23" s="100"/>
      <c r="V23" s="100"/>
      <c r="W23" s="100"/>
      <c r="X23" s="100"/>
      <c r="Y23" s="100" t="s">
        <v>1001</v>
      </c>
      <c r="Z23" s="100" t="s">
        <v>931</v>
      </c>
      <c r="AA23" s="100" t="s">
        <v>787</v>
      </c>
      <c r="AB23" s="100" t="s">
        <v>542</v>
      </c>
      <c r="AC23" s="100" t="s">
        <v>350</v>
      </c>
      <c r="AD23" s="100" t="s">
        <v>320</v>
      </c>
      <c r="AE23" s="100" t="s">
        <v>246</v>
      </c>
      <c r="AF23" s="104">
        <v>9</v>
      </c>
      <c r="AG23" s="103">
        <v>45802</v>
      </c>
      <c r="AH23" s="102">
        <v>0.23958333333333334</v>
      </c>
      <c r="AI23" s="102">
        <v>0.20833333333333334</v>
      </c>
      <c r="AJ23" s="104" t="s">
        <v>385</v>
      </c>
      <c r="AK23" s="100" t="s">
        <v>184</v>
      </c>
      <c r="AL23" s="100" t="s">
        <v>367</v>
      </c>
      <c r="AM23" s="104" t="s">
        <v>169</v>
      </c>
      <c r="AN23" s="102">
        <v>0.23958333333333334</v>
      </c>
      <c r="AO23" s="103">
        <v>45802</v>
      </c>
      <c r="AP23" s="102">
        <v>0.20833333333333334</v>
      </c>
      <c r="AQ23" s="105"/>
      <c r="AR23" s="100" t="s">
        <v>385</v>
      </c>
      <c r="AS23" s="100" t="s">
        <v>311</v>
      </c>
      <c r="AT23" s="100" t="s">
        <v>705</v>
      </c>
      <c r="AU23" s="104">
        <v>2025</v>
      </c>
      <c r="AV23" s="104">
        <v>22</v>
      </c>
      <c r="AW23" s="104">
        <v>5</v>
      </c>
      <c r="AX23" s="104">
        <v>25</v>
      </c>
      <c r="AY23" s="104">
        <v>145</v>
      </c>
      <c r="AZ23" s="100" t="s">
        <v>184</v>
      </c>
      <c r="BA23" s="100" t="s">
        <v>785</v>
      </c>
      <c r="BB23" s="100"/>
      <c r="BC23" s="100"/>
      <c r="BD23" s="100"/>
      <c r="BE23" s="100"/>
      <c r="BF23" s="104"/>
      <c r="BG23" s="100"/>
      <c r="BH23" s="100" t="s">
        <v>385</v>
      </c>
      <c r="BI23" s="100" t="s">
        <v>385</v>
      </c>
    </row>
    <row r="24" spans="1:61" x14ac:dyDescent="0.25">
      <c r="A24" s="100" t="s">
        <v>788</v>
      </c>
      <c r="B24" s="101">
        <v>45802</v>
      </c>
      <c r="C24" s="105">
        <v>0.76041666666666674</v>
      </c>
      <c r="D24" s="103"/>
      <c r="E24" s="102"/>
      <c r="F24" s="103">
        <v>45802</v>
      </c>
      <c r="G24" s="102">
        <v>0.76521990740740742</v>
      </c>
      <c r="H24" s="100" t="s">
        <v>242</v>
      </c>
      <c r="I24" s="100" t="s">
        <v>219</v>
      </c>
      <c r="J24" s="100" t="s">
        <v>347</v>
      </c>
      <c r="K24" s="100" t="s">
        <v>789</v>
      </c>
      <c r="L24" s="100" t="s">
        <v>378</v>
      </c>
      <c r="M24" s="104">
        <v>5</v>
      </c>
      <c r="N24" s="100" t="s">
        <v>790</v>
      </c>
      <c r="O24" s="104"/>
      <c r="P24" s="104"/>
      <c r="Q24" s="100"/>
      <c r="R24" s="100"/>
      <c r="S24" s="100"/>
      <c r="T24" s="100"/>
      <c r="U24" s="100"/>
      <c r="V24" s="100"/>
      <c r="W24" s="100"/>
      <c r="X24" s="100"/>
      <c r="Y24" s="100" t="s">
        <v>936</v>
      </c>
      <c r="Z24" s="100" t="s">
        <v>931</v>
      </c>
      <c r="AA24" s="100" t="s">
        <v>309</v>
      </c>
      <c r="AB24" s="100" t="s">
        <v>444</v>
      </c>
      <c r="AC24" s="100" t="s">
        <v>228</v>
      </c>
      <c r="AD24" s="100" t="s">
        <v>166</v>
      </c>
      <c r="AE24" s="100" t="s">
        <v>246</v>
      </c>
      <c r="AF24" s="104">
        <v>9</v>
      </c>
      <c r="AG24" s="103">
        <v>45802</v>
      </c>
      <c r="AH24" s="102">
        <v>0.76041666666666663</v>
      </c>
      <c r="AI24" s="102">
        <v>0.75</v>
      </c>
      <c r="AJ24" s="104" t="s">
        <v>266</v>
      </c>
      <c r="AK24" s="100" t="s">
        <v>792</v>
      </c>
      <c r="AL24" s="100" t="s">
        <v>791</v>
      </c>
      <c r="AM24" s="104" t="s">
        <v>169</v>
      </c>
      <c r="AN24" s="102">
        <v>0.76041666666666663</v>
      </c>
      <c r="AO24" s="103">
        <v>45802</v>
      </c>
      <c r="AP24" s="102">
        <v>0.75</v>
      </c>
      <c r="AQ24" s="105"/>
      <c r="AR24" s="100" t="s">
        <v>266</v>
      </c>
      <c r="AS24" s="100" t="s">
        <v>311</v>
      </c>
      <c r="AT24" s="100" t="s">
        <v>705</v>
      </c>
      <c r="AU24" s="104">
        <v>2025</v>
      </c>
      <c r="AV24" s="104">
        <v>22</v>
      </c>
      <c r="AW24" s="104">
        <v>5</v>
      </c>
      <c r="AX24" s="104">
        <v>25</v>
      </c>
      <c r="AY24" s="104">
        <v>145</v>
      </c>
      <c r="AZ24" s="100" t="s">
        <v>792</v>
      </c>
      <c r="BA24" s="100" t="s">
        <v>789</v>
      </c>
      <c r="BB24" s="100"/>
      <c r="BC24" s="100"/>
      <c r="BD24" s="100"/>
      <c r="BE24" s="100"/>
      <c r="BF24" s="104"/>
      <c r="BG24" s="100"/>
      <c r="BH24" s="100" t="s">
        <v>266</v>
      </c>
      <c r="BI24" s="100" t="s">
        <v>266</v>
      </c>
    </row>
    <row r="25" spans="1:61" x14ac:dyDescent="0.25">
      <c r="A25" s="100" t="s">
        <v>687</v>
      </c>
      <c r="B25" s="101">
        <v>45774</v>
      </c>
      <c r="C25" s="105">
        <v>0.79166666666666674</v>
      </c>
      <c r="D25" s="103">
        <v>45802</v>
      </c>
      <c r="E25" s="102"/>
      <c r="F25" s="103">
        <v>45802</v>
      </c>
      <c r="G25" s="102">
        <v>0.80763888888888891</v>
      </c>
      <c r="H25" s="100" t="s">
        <v>242</v>
      </c>
      <c r="I25" s="100"/>
      <c r="J25" s="100"/>
      <c r="K25" s="100" t="s">
        <v>287</v>
      </c>
      <c r="L25" s="100" t="s">
        <v>288</v>
      </c>
      <c r="M25" s="104">
        <v>5</v>
      </c>
      <c r="N25" s="100" t="s">
        <v>688</v>
      </c>
      <c r="O25" s="104"/>
      <c r="P25" s="104"/>
      <c r="Q25" s="100"/>
      <c r="R25" s="100"/>
      <c r="S25" s="100"/>
      <c r="T25" s="100"/>
      <c r="U25" s="100"/>
      <c r="V25" s="100"/>
      <c r="W25" s="100"/>
      <c r="X25" s="100"/>
      <c r="Y25" s="100" t="s">
        <v>936</v>
      </c>
      <c r="Z25" s="100" t="s">
        <v>931</v>
      </c>
      <c r="AA25" s="100" t="s">
        <v>689</v>
      </c>
      <c r="AB25" s="100" t="s">
        <v>211</v>
      </c>
      <c r="AC25" s="100" t="s">
        <v>488</v>
      </c>
      <c r="AD25" s="100" t="s">
        <v>166</v>
      </c>
      <c r="AE25" s="100" t="s">
        <v>246</v>
      </c>
      <c r="AF25" s="104">
        <v>9</v>
      </c>
      <c r="AG25" s="103">
        <v>45774</v>
      </c>
      <c r="AH25" s="102">
        <v>0.79166666666666663</v>
      </c>
      <c r="AI25" s="102">
        <v>0.79166666666666663</v>
      </c>
      <c r="AJ25" s="104" t="s">
        <v>266</v>
      </c>
      <c r="AK25" s="100" t="s">
        <v>293</v>
      </c>
      <c r="AL25" s="100" t="s">
        <v>242</v>
      </c>
      <c r="AM25" s="104" t="s">
        <v>169</v>
      </c>
      <c r="AN25" s="102">
        <v>0.79166666666666663</v>
      </c>
      <c r="AO25" s="103">
        <v>45774</v>
      </c>
      <c r="AP25" s="102">
        <v>0.79166666666666663</v>
      </c>
      <c r="AQ25" s="105"/>
      <c r="AR25" s="100" t="s">
        <v>266</v>
      </c>
      <c r="AS25" s="100" t="s">
        <v>311</v>
      </c>
      <c r="AT25" s="100" t="s">
        <v>582</v>
      </c>
      <c r="AU25" s="104">
        <v>2025</v>
      </c>
      <c r="AV25" s="104">
        <v>18</v>
      </c>
      <c r="AW25" s="104">
        <v>5</v>
      </c>
      <c r="AX25" s="104">
        <v>27</v>
      </c>
      <c r="AY25" s="104">
        <v>117</v>
      </c>
      <c r="AZ25" s="100" t="s">
        <v>293</v>
      </c>
      <c r="BA25" s="100" t="s">
        <v>287</v>
      </c>
      <c r="BB25" s="100"/>
      <c r="BC25" s="100"/>
      <c r="BD25" s="100"/>
      <c r="BE25" s="100"/>
      <c r="BF25" s="104"/>
      <c r="BG25" s="100"/>
      <c r="BH25" s="100" t="s">
        <v>266</v>
      </c>
      <c r="BI25" s="100" t="s">
        <v>266</v>
      </c>
    </row>
    <row r="26" spans="1:61" x14ac:dyDescent="0.25">
      <c r="A26" s="100" t="s">
        <v>775</v>
      </c>
      <c r="B26" s="101">
        <v>45800</v>
      </c>
      <c r="C26" s="105">
        <v>0.33333333333333326</v>
      </c>
      <c r="D26" s="103">
        <v>45800</v>
      </c>
      <c r="E26" s="102">
        <v>0.66666666666666663</v>
      </c>
      <c r="F26" s="103">
        <v>45805</v>
      </c>
      <c r="G26" s="102">
        <v>0.70393518518518516</v>
      </c>
      <c r="H26" s="100" t="s">
        <v>242</v>
      </c>
      <c r="I26" s="100"/>
      <c r="J26" s="100"/>
      <c r="K26" s="100" t="s">
        <v>776</v>
      </c>
      <c r="L26" s="100"/>
      <c r="M26" s="104"/>
      <c r="N26" s="100" t="s">
        <v>777</v>
      </c>
      <c r="O26" s="104"/>
      <c r="P26" s="104"/>
      <c r="Q26" s="100"/>
      <c r="R26" s="100"/>
      <c r="S26" s="100"/>
      <c r="T26" s="100"/>
      <c r="U26" s="100"/>
      <c r="V26" s="100"/>
      <c r="W26" s="100"/>
      <c r="X26" s="100"/>
      <c r="Y26" s="100" t="s">
        <v>946</v>
      </c>
      <c r="Z26" s="100" t="s">
        <v>931</v>
      </c>
      <c r="AA26" s="100" t="s">
        <v>646</v>
      </c>
      <c r="AB26" s="100" t="s">
        <v>328</v>
      </c>
      <c r="AC26" s="100" t="s">
        <v>310</v>
      </c>
      <c r="AD26" s="100" t="s">
        <v>166</v>
      </c>
      <c r="AE26" s="100" t="s">
        <v>246</v>
      </c>
      <c r="AF26" s="104">
        <v>9</v>
      </c>
      <c r="AG26" s="103">
        <v>45800</v>
      </c>
      <c r="AH26" s="102">
        <v>0.33333333333333331</v>
      </c>
      <c r="AI26" s="102">
        <v>0.33333333333333331</v>
      </c>
      <c r="AJ26" s="104" t="s">
        <v>276</v>
      </c>
      <c r="AK26" s="100" t="s">
        <v>648</v>
      </c>
      <c r="AL26" s="100" t="s">
        <v>242</v>
      </c>
      <c r="AM26" s="104" t="s">
        <v>169</v>
      </c>
      <c r="AN26" s="102">
        <v>0.33333333333333331</v>
      </c>
      <c r="AO26" s="103">
        <v>45800</v>
      </c>
      <c r="AP26" s="102">
        <v>0.33333333333333331</v>
      </c>
      <c r="AQ26" s="105"/>
      <c r="AR26" s="100" t="s">
        <v>276</v>
      </c>
      <c r="AS26" s="100" t="s">
        <v>170</v>
      </c>
      <c r="AT26" s="100" t="s">
        <v>705</v>
      </c>
      <c r="AU26" s="104">
        <v>2025</v>
      </c>
      <c r="AV26" s="104">
        <v>21</v>
      </c>
      <c r="AW26" s="104">
        <v>4</v>
      </c>
      <c r="AX26" s="104">
        <v>23</v>
      </c>
      <c r="AY26" s="104">
        <v>143</v>
      </c>
      <c r="AZ26" s="100" t="s">
        <v>648</v>
      </c>
      <c r="BA26" s="100" t="s">
        <v>776</v>
      </c>
      <c r="BB26" s="100"/>
      <c r="BC26" s="100"/>
      <c r="BD26" s="100"/>
      <c r="BE26" s="100"/>
      <c r="BF26" s="104"/>
      <c r="BG26" s="100"/>
      <c r="BH26" s="100" t="s">
        <v>276</v>
      </c>
      <c r="BI26" s="100" t="s">
        <v>276</v>
      </c>
    </row>
    <row r="27" spans="1:61" x14ac:dyDescent="0.25">
      <c r="A27" s="100" t="s">
        <v>855</v>
      </c>
      <c r="B27" s="101">
        <v>45826</v>
      </c>
      <c r="C27" s="105">
        <v>0.38541666666666674</v>
      </c>
      <c r="D27" s="103">
        <v>45826</v>
      </c>
      <c r="E27" s="102">
        <v>0.41666666666666669</v>
      </c>
      <c r="F27" s="103">
        <v>45826</v>
      </c>
      <c r="G27" s="102">
        <v>0.46486111111111111</v>
      </c>
      <c r="H27" s="100" t="s">
        <v>242</v>
      </c>
      <c r="I27" s="100"/>
      <c r="J27" s="100"/>
      <c r="K27" s="100" t="s">
        <v>856</v>
      </c>
      <c r="L27" s="100" t="s">
        <v>138</v>
      </c>
      <c r="M27" s="104">
        <v>8</v>
      </c>
      <c r="N27" s="100" t="s">
        <v>857</v>
      </c>
      <c r="O27" s="104"/>
      <c r="P27" s="104"/>
      <c r="Q27" s="100"/>
      <c r="R27" s="100"/>
      <c r="S27" s="100"/>
      <c r="T27" s="100"/>
      <c r="U27" s="100"/>
      <c r="V27" s="100"/>
      <c r="W27" s="100"/>
      <c r="X27" s="100"/>
      <c r="Y27" s="100" t="s">
        <v>943</v>
      </c>
      <c r="Z27" s="100" t="s">
        <v>931</v>
      </c>
      <c r="AA27" s="100" t="s">
        <v>309</v>
      </c>
      <c r="AB27" s="100" t="s">
        <v>444</v>
      </c>
      <c r="AC27" s="100" t="s">
        <v>310</v>
      </c>
      <c r="AD27" s="100" t="s">
        <v>435</v>
      </c>
      <c r="AE27" s="100" t="s">
        <v>246</v>
      </c>
      <c r="AF27" s="104">
        <v>9</v>
      </c>
      <c r="AG27" s="103">
        <v>45826</v>
      </c>
      <c r="AH27" s="102">
        <v>0.38541666666666669</v>
      </c>
      <c r="AI27" s="102">
        <v>0.375</v>
      </c>
      <c r="AJ27" s="104" t="s">
        <v>276</v>
      </c>
      <c r="AK27" s="100" t="s">
        <v>858</v>
      </c>
      <c r="AL27" s="100" t="s">
        <v>242</v>
      </c>
      <c r="AM27" s="104" t="s">
        <v>948</v>
      </c>
      <c r="AN27" s="102">
        <v>0.38541666666666669</v>
      </c>
      <c r="AO27" s="103">
        <v>45826</v>
      </c>
      <c r="AP27" s="102">
        <v>0.375</v>
      </c>
      <c r="AQ27" s="105"/>
      <c r="AR27" s="100" t="s">
        <v>276</v>
      </c>
      <c r="AS27" s="100" t="s">
        <v>239</v>
      </c>
      <c r="AT27" s="100" t="s">
        <v>149</v>
      </c>
      <c r="AU27" s="104">
        <v>2025</v>
      </c>
      <c r="AV27" s="104">
        <v>25</v>
      </c>
      <c r="AW27" s="104">
        <v>3</v>
      </c>
      <c r="AX27" s="104">
        <v>18</v>
      </c>
      <c r="AY27" s="104">
        <v>169</v>
      </c>
      <c r="AZ27" s="100" t="s">
        <v>858</v>
      </c>
      <c r="BA27" s="100" t="s">
        <v>856</v>
      </c>
      <c r="BB27" s="100"/>
      <c r="BC27" s="100"/>
      <c r="BD27" s="100"/>
      <c r="BE27" s="100"/>
      <c r="BF27" s="104"/>
      <c r="BG27" s="100"/>
      <c r="BH27" s="100" t="s">
        <v>276</v>
      </c>
      <c r="BI27" s="100" t="s">
        <v>276</v>
      </c>
    </row>
    <row r="28" spans="1:61" x14ac:dyDescent="0.25">
      <c r="A28" s="100" t="s">
        <v>894</v>
      </c>
      <c r="B28" s="101">
        <v>45831</v>
      </c>
      <c r="C28" s="105">
        <v>0.33333333333333326</v>
      </c>
      <c r="D28" s="103">
        <v>45834</v>
      </c>
      <c r="E28" s="102">
        <v>0.79166666666666663</v>
      </c>
      <c r="F28" s="103">
        <v>45834</v>
      </c>
      <c r="G28" s="102">
        <v>0.87291666666666667</v>
      </c>
      <c r="H28" s="100" t="s">
        <v>242</v>
      </c>
      <c r="I28" s="100" t="s">
        <v>295</v>
      </c>
      <c r="J28" s="100"/>
      <c r="K28" s="100" t="s">
        <v>895</v>
      </c>
      <c r="L28" s="100" t="s">
        <v>358</v>
      </c>
      <c r="M28" s="104">
        <v>8</v>
      </c>
      <c r="N28" s="100" t="s">
        <v>896</v>
      </c>
      <c r="O28" s="104"/>
      <c r="P28" s="104"/>
      <c r="Q28" s="100"/>
      <c r="R28" s="100"/>
      <c r="S28" s="100"/>
      <c r="T28" s="100"/>
      <c r="U28" s="100"/>
      <c r="V28" s="100"/>
      <c r="W28" s="100"/>
      <c r="X28" s="100"/>
      <c r="Y28" s="100" t="s">
        <v>930</v>
      </c>
      <c r="Z28" s="100" t="s">
        <v>931</v>
      </c>
      <c r="AA28" s="100" t="s">
        <v>635</v>
      </c>
      <c r="AB28" s="100" t="s">
        <v>256</v>
      </c>
      <c r="AC28" s="100" t="s">
        <v>310</v>
      </c>
      <c r="AD28" s="100" t="s">
        <v>166</v>
      </c>
      <c r="AE28" s="100" t="s">
        <v>246</v>
      </c>
      <c r="AF28" s="104">
        <v>9</v>
      </c>
      <c r="AG28" s="103">
        <v>45831</v>
      </c>
      <c r="AH28" s="102">
        <v>0.33333333333333331</v>
      </c>
      <c r="AI28" s="102">
        <v>0.33333333333333331</v>
      </c>
      <c r="AJ28" s="104" t="s">
        <v>276</v>
      </c>
      <c r="AK28" s="100" t="s">
        <v>885</v>
      </c>
      <c r="AL28" s="100" t="s">
        <v>897</v>
      </c>
      <c r="AM28" s="104" t="s">
        <v>948</v>
      </c>
      <c r="AN28" s="102">
        <v>0.33333333333333331</v>
      </c>
      <c r="AO28" s="103">
        <v>45831</v>
      </c>
      <c r="AP28" s="102">
        <v>0.33333333333333331</v>
      </c>
      <c r="AQ28" s="105"/>
      <c r="AR28" s="100" t="s">
        <v>276</v>
      </c>
      <c r="AS28" s="100" t="s">
        <v>183</v>
      </c>
      <c r="AT28" s="100" t="s">
        <v>149</v>
      </c>
      <c r="AU28" s="104">
        <v>2025</v>
      </c>
      <c r="AV28" s="104">
        <v>26</v>
      </c>
      <c r="AW28" s="104">
        <v>4</v>
      </c>
      <c r="AX28" s="104">
        <v>23</v>
      </c>
      <c r="AY28" s="104">
        <v>174</v>
      </c>
      <c r="AZ28" s="100" t="s">
        <v>885</v>
      </c>
      <c r="BA28" s="100" t="s">
        <v>895</v>
      </c>
      <c r="BB28" s="100"/>
      <c r="BC28" s="100"/>
      <c r="BD28" s="100"/>
      <c r="BE28" s="100"/>
      <c r="BF28" s="104"/>
      <c r="BG28" s="100"/>
      <c r="BH28" s="100" t="s">
        <v>276</v>
      </c>
      <c r="BI28" s="100" t="s">
        <v>276</v>
      </c>
    </row>
    <row r="29" spans="1:61" x14ac:dyDescent="0.25">
      <c r="A29" s="100" t="s">
        <v>903</v>
      </c>
      <c r="B29" s="101">
        <v>45835</v>
      </c>
      <c r="C29" s="105">
        <v>0.59593750000000001</v>
      </c>
      <c r="D29" s="103"/>
      <c r="E29" s="102"/>
      <c r="F29" s="103">
        <v>45835</v>
      </c>
      <c r="G29" s="102">
        <v>0.59593750000000001</v>
      </c>
      <c r="H29" s="100" t="s">
        <v>242</v>
      </c>
      <c r="I29" s="100"/>
      <c r="J29" s="100"/>
      <c r="K29" s="100" t="s">
        <v>577</v>
      </c>
      <c r="L29" s="100" t="s">
        <v>414</v>
      </c>
      <c r="M29" s="104">
        <v>7</v>
      </c>
      <c r="N29" s="100" t="s">
        <v>904</v>
      </c>
      <c r="O29" s="104"/>
      <c r="P29" s="104"/>
      <c r="Q29" s="100"/>
      <c r="R29" s="100"/>
      <c r="S29" s="100"/>
      <c r="T29" s="100"/>
      <c r="U29" s="100"/>
      <c r="V29" s="100"/>
      <c r="W29" s="100"/>
      <c r="X29" s="100"/>
      <c r="Y29" s="100" t="s">
        <v>1007</v>
      </c>
      <c r="Z29" s="100" t="s">
        <v>931</v>
      </c>
      <c r="AA29" s="100" t="s">
        <v>141</v>
      </c>
      <c r="AB29" s="100" t="s">
        <v>142</v>
      </c>
      <c r="AC29" s="100" t="s">
        <v>534</v>
      </c>
      <c r="AD29" s="100" t="s">
        <v>435</v>
      </c>
      <c r="AE29" s="100" t="s">
        <v>246</v>
      </c>
      <c r="AF29" s="104">
        <v>9</v>
      </c>
      <c r="AG29" s="103">
        <v>45835</v>
      </c>
      <c r="AH29" s="102">
        <v>0.59593750000000001</v>
      </c>
      <c r="AI29" s="102">
        <v>0.58333333333333337</v>
      </c>
      <c r="AJ29" s="104" t="s">
        <v>146</v>
      </c>
      <c r="AK29" s="100" t="s">
        <v>184</v>
      </c>
      <c r="AL29" s="100" t="s">
        <v>242</v>
      </c>
      <c r="AM29" s="104" t="s">
        <v>948</v>
      </c>
      <c r="AN29" s="102">
        <v>0.59593750000000001</v>
      </c>
      <c r="AO29" s="103">
        <v>45835</v>
      </c>
      <c r="AP29" s="102">
        <v>0.58333333333333337</v>
      </c>
      <c r="AQ29" s="105"/>
      <c r="AR29" s="100" t="s">
        <v>146</v>
      </c>
      <c r="AS29" s="100" t="s">
        <v>170</v>
      </c>
      <c r="AT29" s="100" t="s">
        <v>149</v>
      </c>
      <c r="AU29" s="104">
        <v>2025</v>
      </c>
      <c r="AV29" s="104">
        <v>26</v>
      </c>
      <c r="AW29" s="104">
        <v>4</v>
      </c>
      <c r="AX29" s="104">
        <v>27</v>
      </c>
      <c r="AY29" s="104">
        <v>178</v>
      </c>
      <c r="AZ29" s="100" t="s">
        <v>184</v>
      </c>
      <c r="BA29" s="100" t="s">
        <v>577</v>
      </c>
      <c r="BB29" s="100"/>
      <c r="BC29" s="100"/>
      <c r="BD29" s="100"/>
      <c r="BE29" s="100"/>
      <c r="BF29" s="104"/>
      <c r="BG29" s="100"/>
      <c r="BH29" s="100" t="s">
        <v>146</v>
      </c>
      <c r="BI29" s="100" t="s">
        <v>146</v>
      </c>
    </row>
    <row r="30" spans="1:61" x14ac:dyDescent="0.25">
      <c r="A30" s="100" t="s">
        <v>1110</v>
      </c>
      <c r="B30" s="101">
        <v>45838</v>
      </c>
      <c r="C30" s="105">
        <v>0.46982638888888895</v>
      </c>
      <c r="D30" s="103"/>
      <c r="E30" s="102"/>
      <c r="F30" s="103">
        <v>45838</v>
      </c>
      <c r="G30" s="102">
        <v>0.46982638888888889</v>
      </c>
      <c r="H30" s="100" t="s">
        <v>242</v>
      </c>
      <c r="I30" s="100"/>
      <c r="J30" s="100"/>
      <c r="K30" s="100" t="s">
        <v>552</v>
      </c>
      <c r="L30" s="100" t="s">
        <v>553</v>
      </c>
      <c r="M30" s="104">
        <v>7</v>
      </c>
      <c r="N30" s="100" t="s">
        <v>1111</v>
      </c>
      <c r="O30" s="104"/>
      <c r="P30" s="104"/>
      <c r="Q30" s="100"/>
      <c r="R30" s="100"/>
      <c r="S30" s="100"/>
      <c r="T30" s="100"/>
      <c r="U30" s="100"/>
      <c r="V30" s="100"/>
      <c r="W30" s="100"/>
      <c r="X30" s="100"/>
      <c r="Y30" s="100" t="s">
        <v>964</v>
      </c>
      <c r="Z30" s="100" t="s">
        <v>931</v>
      </c>
      <c r="AA30" s="100" t="s">
        <v>1112</v>
      </c>
      <c r="AB30" s="100" t="s">
        <v>164</v>
      </c>
      <c r="AC30" s="100" t="s">
        <v>310</v>
      </c>
      <c r="AD30" s="100" t="s">
        <v>181</v>
      </c>
      <c r="AE30" s="100" t="s">
        <v>246</v>
      </c>
      <c r="AF30" s="104">
        <v>9</v>
      </c>
      <c r="AG30" s="103">
        <v>45838</v>
      </c>
      <c r="AH30" s="102">
        <v>0.46982638888888889</v>
      </c>
      <c r="AI30" s="102">
        <v>0.45833333333333331</v>
      </c>
      <c r="AJ30" s="104" t="s">
        <v>276</v>
      </c>
      <c r="AK30" s="100" t="s">
        <v>322</v>
      </c>
      <c r="AL30" s="100" t="s">
        <v>242</v>
      </c>
      <c r="AM30" s="104" t="s">
        <v>948</v>
      </c>
      <c r="AN30" s="102">
        <v>0.46982638888888889</v>
      </c>
      <c r="AO30" s="103">
        <v>45838</v>
      </c>
      <c r="AP30" s="102">
        <v>0.45833333333333331</v>
      </c>
      <c r="AQ30" s="105"/>
      <c r="AR30" s="100" t="s">
        <v>276</v>
      </c>
      <c r="AS30" s="100" t="s">
        <v>183</v>
      </c>
      <c r="AT30" s="100" t="s">
        <v>149</v>
      </c>
      <c r="AU30" s="104">
        <v>2025</v>
      </c>
      <c r="AV30" s="104">
        <v>27</v>
      </c>
      <c r="AW30" s="104">
        <v>5</v>
      </c>
      <c r="AX30" s="104">
        <v>30</v>
      </c>
      <c r="AY30" s="104">
        <v>181</v>
      </c>
      <c r="AZ30" s="100" t="s">
        <v>322</v>
      </c>
      <c r="BA30" s="100" t="s">
        <v>552</v>
      </c>
      <c r="BB30" s="100"/>
      <c r="BC30" s="100"/>
      <c r="BD30" s="100"/>
      <c r="BE30" s="100"/>
      <c r="BF30" s="104"/>
      <c r="BG30" s="100"/>
      <c r="BH30" s="100" t="s">
        <v>276</v>
      </c>
      <c r="BI30" s="100" t="s">
        <v>276</v>
      </c>
    </row>
    <row r="31" spans="1:61" x14ac:dyDescent="0.25">
      <c r="A31" s="100" t="s">
        <v>1116</v>
      </c>
      <c r="B31" s="101">
        <v>45840</v>
      </c>
      <c r="C31" s="105">
        <v>0.48958333333333326</v>
      </c>
      <c r="D31" s="103">
        <v>45840</v>
      </c>
      <c r="E31" s="102">
        <v>0.58333333333333337</v>
      </c>
      <c r="F31" s="103">
        <v>45840</v>
      </c>
      <c r="G31" s="102">
        <v>0.819849537037037</v>
      </c>
      <c r="H31" s="100" t="s">
        <v>242</v>
      </c>
      <c r="I31" s="100"/>
      <c r="J31" s="100"/>
      <c r="K31" s="100" t="s">
        <v>1117</v>
      </c>
      <c r="L31" s="100" t="s">
        <v>208</v>
      </c>
      <c r="M31" s="104">
        <v>8</v>
      </c>
      <c r="N31" s="100" t="s">
        <v>1118</v>
      </c>
      <c r="O31" s="104"/>
      <c r="P31" s="104"/>
      <c r="Q31" s="100"/>
      <c r="R31" s="100"/>
      <c r="S31" s="100"/>
      <c r="T31" s="100"/>
      <c r="U31" s="100"/>
      <c r="V31" s="100"/>
      <c r="W31" s="100"/>
      <c r="X31" s="100"/>
      <c r="Y31" s="100" t="s">
        <v>946</v>
      </c>
      <c r="Z31" s="100" t="s">
        <v>931</v>
      </c>
      <c r="AA31" s="100" t="s">
        <v>210</v>
      </c>
      <c r="AB31" s="100" t="s">
        <v>211</v>
      </c>
      <c r="AC31" s="100" t="s">
        <v>350</v>
      </c>
      <c r="AD31" s="100" t="s">
        <v>166</v>
      </c>
      <c r="AE31" s="100"/>
      <c r="AF31" s="104">
        <v>9</v>
      </c>
      <c r="AG31" s="103">
        <v>45840</v>
      </c>
      <c r="AH31" s="102">
        <v>0.48958333333333331</v>
      </c>
      <c r="AI31" s="102">
        <v>0.45833333333333331</v>
      </c>
      <c r="AJ31" s="104" t="s">
        <v>276</v>
      </c>
      <c r="AK31" s="100" t="s">
        <v>1119</v>
      </c>
      <c r="AL31" s="100" t="s">
        <v>242</v>
      </c>
      <c r="AM31" s="104" t="s">
        <v>1015</v>
      </c>
      <c r="AN31" s="102">
        <v>0.48958333333333331</v>
      </c>
      <c r="AO31" s="103">
        <v>45840</v>
      </c>
      <c r="AP31" s="102">
        <v>0.45833333333333331</v>
      </c>
      <c r="AQ31" s="105"/>
      <c r="AR31" s="100" t="s">
        <v>276</v>
      </c>
      <c r="AS31" s="100" t="s">
        <v>239</v>
      </c>
      <c r="AT31" s="100" t="s">
        <v>1115</v>
      </c>
      <c r="AU31" s="104">
        <v>2025</v>
      </c>
      <c r="AV31" s="104">
        <v>27</v>
      </c>
      <c r="AW31" s="104">
        <v>1</v>
      </c>
      <c r="AX31" s="104">
        <v>2</v>
      </c>
      <c r="AY31" s="104">
        <v>183</v>
      </c>
      <c r="AZ31" s="100" t="s">
        <v>1119</v>
      </c>
      <c r="BA31" s="100" t="s">
        <v>1117</v>
      </c>
      <c r="BB31" s="100"/>
      <c r="BC31" s="100"/>
      <c r="BD31" s="100"/>
      <c r="BE31" s="100"/>
      <c r="BF31" s="104"/>
      <c r="BG31" s="100"/>
      <c r="BH31" s="100" t="s">
        <v>276</v>
      </c>
      <c r="BI31" s="100" t="s">
        <v>276</v>
      </c>
    </row>
    <row r="32" spans="1:61" x14ac:dyDescent="0.25">
      <c r="A32" s="100" t="s">
        <v>1120</v>
      </c>
      <c r="B32" s="101">
        <v>45835</v>
      </c>
      <c r="C32" s="105">
        <v>0.39583333333333326</v>
      </c>
      <c r="D32" s="103">
        <v>45839</v>
      </c>
      <c r="E32" s="102">
        <v>0.75</v>
      </c>
      <c r="F32" s="103">
        <v>45841</v>
      </c>
      <c r="G32" s="102">
        <v>0.43170138888888887</v>
      </c>
      <c r="H32" s="100" t="s">
        <v>367</v>
      </c>
      <c r="I32" s="100" t="s">
        <v>295</v>
      </c>
      <c r="J32" s="100"/>
      <c r="K32" s="100" t="s">
        <v>1121</v>
      </c>
      <c r="L32" s="100" t="s">
        <v>221</v>
      </c>
      <c r="M32" s="104">
        <v>9</v>
      </c>
      <c r="N32" s="100" t="s">
        <v>1122</v>
      </c>
      <c r="O32" s="104"/>
      <c r="P32" s="104"/>
      <c r="Q32" s="100"/>
      <c r="R32" s="100"/>
      <c r="S32" s="100"/>
      <c r="T32" s="100"/>
      <c r="U32" s="100"/>
      <c r="V32" s="100"/>
      <c r="W32" s="100"/>
      <c r="X32" s="100"/>
      <c r="Y32" s="100" t="s">
        <v>943</v>
      </c>
      <c r="Z32" s="100" t="s">
        <v>931</v>
      </c>
      <c r="AA32" s="100" t="s">
        <v>787</v>
      </c>
      <c r="AB32" s="100" t="s">
        <v>542</v>
      </c>
      <c r="AC32" s="100" t="s">
        <v>275</v>
      </c>
      <c r="AD32" s="100" t="s">
        <v>181</v>
      </c>
      <c r="AE32" s="100"/>
      <c r="AF32" s="104">
        <v>9</v>
      </c>
      <c r="AG32" s="103">
        <v>45835</v>
      </c>
      <c r="AH32" s="102">
        <v>0.39583333333333331</v>
      </c>
      <c r="AI32" s="102">
        <v>0.375</v>
      </c>
      <c r="AJ32" s="104" t="s">
        <v>276</v>
      </c>
      <c r="AK32" s="100" t="s">
        <v>230</v>
      </c>
      <c r="AL32" s="100" t="s">
        <v>1123</v>
      </c>
      <c r="AM32" s="104" t="s">
        <v>948</v>
      </c>
      <c r="AN32" s="102">
        <v>0.39583333333333331</v>
      </c>
      <c r="AO32" s="103">
        <v>45835</v>
      </c>
      <c r="AP32" s="102">
        <v>0.375</v>
      </c>
      <c r="AQ32" s="105"/>
      <c r="AR32" s="100" t="s">
        <v>276</v>
      </c>
      <c r="AS32" s="100" t="s">
        <v>170</v>
      </c>
      <c r="AT32" s="100" t="s">
        <v>149</v>
      </c>
      <c r="AU32" s="104">
        <v>2025</v>
      </c>
      <c r="AV32" s="104">
        <v>26</v>
      </c>
      <c r="AW32" s="104">
        <v>4</v>
      </c>
      <c r="AX32" s="104">
        <v>27</v>
      </c>
      <c r="AY32" s="104">
        <v>178</v>
      </c>
      <c r="AZ32" s="100" t="s">
        <v>230</v>
      </c>
      <c r="BA32" s="100" t="s">
        <v>1121</v>
      </c>
      <c r="BB32" s="100"/>
      <c r="BC32" s="100"/>
      <c r="BD32" s="100"/>
      <c r="BE32" s="100"/>
      <c r="BF32" s="104"/>
      <c r="BG32" s="100"/>
      <c r="BH32" s="100" t="s">
        <v>276</v>
      </c>
      <c r="BI32" s="100" t="s">
        <v>276</v>
      </c>
    </row>
  </sheetData>
  <phoneticPr fontId="9" type="noConversion"/>
  <conditionalFormatting sqref="A2:BI32">
    <cfRule type="expression" dxfId="84" priority="1" stopIfTrue="1">
      <formula>$AM2="7-Day"</formula>
    </cfRule>
    <cfRule type="expression" dxfId="83" priority="2" stopIfTrue="1">
      <formula>$AM2="28-Day"</formula>
    </cfRule>
    <cfRule type="expression" dxfId="82" priority="3" stopIfTrue="1">
      <formula>$AM2="YTD"</formula>
    </cfRule>
  </conditionalFormatting>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A086C-B833-40E8-8DE0-053C329D2789}">
  <sheetPr codeName="Sheet4">
    <tabColor rgb="FFFFC000"/>
  </sheetPr>
  <dimension ref="A1:CK35"/>
  <sheetViews>
    <sheetView showGridLines="0" workbookViewId="0">
      <selection activeCell="D28" sqref="D28"/>
    </sheetView>
  </sheetViews>
  <sheetFormatPr defaultColWidth="8.85546875" defaultRowHeight="15" x14ac:dyDescent="0.25"/>
  <cols>
    <col min="1" max="1" width="23.42578125" style="3" bestFit="1" customWidth="1"/>
    <col min="2" max="2" width="17.85546875" style="3" bestFit="1" customWidth="1"/>
    <col min="3" max="3" width="11.5703125" style="3" bestFit="1" customWidth="1"/>
    <col min="4" max="4" width="12.5703125" style="3" bestFit="1" customWidth="1"/>
    <col min="5" max="5" width="16" style="3" bestFit="1" customWidth="1"/>
    <col min="6" max="6" width="11" style="3" bestFit="1" customWidth="1"/>
    <col min="7" max="7" width="11.5703125" style="3" bestFit="1" customWidth="1"/>
    <col min="8" max="8" width="10.28515625" style="3" bestFit="1" customWidth="1"/>
    <col min="9" max="9" width="17.28515625" style="3" bestFit="1" customWidth="1"/>
    <col min="10" max="10" width="14" style="3" bestFit="1" customWidth="1"/>
    <col min="11" max="11" width="4" style="3" bestFit="1" customWidth="1"/>
    <col min="12" max="12" width="3.5703125" style="3" bestFit="1" customWidth="1"/>
    <col min="13" max="13" width="14.42578125" style="3" bestFit="1" customWidth="1"/>
    <col min="14" max="14" width="11.7109375" style="3" bestFit="1" customWidth="1"/>
    <col min="15" max="15" width="22.85546875" style="3" bestFit="1" customWidth="1"/>
    <col min="16" max="16" width="14" style="3" bestFit="1" customWidth="1"/>
    <col min="17" max="17" width="11.5703125" style="3" bestFit="1" customWidth="1"/>
    <col min="18" max="18" width="11.85546875" style="3" bestFit="1" customWidth="1"/>
    <col min="19" max="19" width="14.42578125" style="3" bestFit="1" customWidth="1"/>
    <col min="20" max="20" width="21.85546875" style="3" bestFit="1" customWidth="1"/>
    <col min="21" max="21" width="16.28515625" style="3" bestFit="1" customWidth="1"/>
    <col min="22" max="22" width="60.42578125" style="3" bestFit="1" customWidth="1"/>
    <col min="23" max="23" width="19.28515625" style="3" bestFit="1" customWidth="1"/>
    <col min="24" max="24" width="20.5703125" style="3" bestFit="1" customWidth="1"/>
    <col min="25" max="25" width="20.28515625" style="3" bestFit="1" customWidth="1"/>
    <col min="26" max="26" width="36.140625" style="3" bestFit="1" customWidth="1"/>
    <col min="27" max="27" width="6.7109375" style="3" bestFit="1" customWidth="1"/>
    <col min="28" max="28" width="7.42578125" style="3" bestFit="1" customWidth="1"/>
    <col min="29" max="29" width="80.85546875" style="3" bestFit="1" customWidth="1"/>
    <col min="30" max="30" width="24.42578125" style="3" bestFit="1" customWidth="1"/>
    <col min="31" max="31" width="26.42578125" style="3" bestFit="1" customWidth="1"/>
    <col min="32" max="32" width="20.28515625" style="3" bestFit="1" customWidth="1"/>
    <col min="33" max="33" width="12.42578125" style="3" bestFit="1" customWidth="1"/>
    <col min="34" max="34" width="13.28515625" style="3" bestFit="1" customWidth="1"/>
    <col min="35" max="35" width="17.140625" style="3" bestFit="1" customWidth="1"/>
    <col min="36" max="36" width="20.28515625" style="3" bestFit="1" customWidth="1"/>
    <col min="37" max="37" width="17.140625" style="3" bestFit="1" customWidth="1"/>
    <col min="38" max="38" width="12.42578125" style="3" bestFit="1" customWidth="1"/>
    <col min="39" max="39" width="13.28515625" style="3" bestFit="1" customWidth="1"/>
    <col min="40" max="40" width="18.85546875" style="3" bestFit="1" customWidth="1"/>
    <col min="41" max="41" width="20.85546875" style="3" bestFit="1" customWidth="1"/>
    <col min="42" max="42" width="28.5703125" style="3" bestFit="1" customWidth="1"/>
    <col min="43" max="43" width="12" style="3" bestFit="1" customWidth="1"/>
    <col min="44" max="44" width="27.42578125" style="3" bestFit="1" customWidth="1"/>
    <col min="45" max="45" width="28.5703125" style="3" bestFit="1" customWidth="1"/>
    <col min="46" max="46" width="32" style="3" bestFit="1" customWidth="1"/>
    <col min="47" max="47" width="31.7109375" style="3" bestFit="1" customWidth="1"/>
    <col min="48" max="48" width="19.7109375" style="3" bestFit="1" customWidth="1"/>
    <col min="49" max="49" width="19.85546875" style="3" bestFit="1" customWidth="1"/>
    <col min="50" max="50" width="30.28515625" style="3" bestFit="1" customWidth="1"/>
    <col min="51" max="51" width="30.5703125" style="3" bestFit="1" customWidth="1"/>
    <col min="52" max="52" width="18.140625" style="3" bestFit="1" customWidth="1"/>
    <col min="53" max="53" width="18.28515625" style="3" bestFit="1" customWidth="1"/>
    <col min="54" max="54" width="10.28515625" style="3" bestFit="1" customWidth="1"/>
    <col min="55" max="55" width="19.28515625" style="3" bestFit="1" customWidth="1"/>
    <col min="56" max="56" width="21.28515625" style="3" bestFit="1" customWidth="1"/>
    <col min="57" max="57" width="9.42578125" style="3" bestFit="1" customWidth="1"/>
    <col min="58" max="58" width="17.28515625" style="3" bestFit="1" customWidth="1"/>
    <col min="59" max="59" width="28.140625" style="3" bestFit="1" customWidth="1"/>
    <col min="60" max="60" width="8.7109375" style="3" bestFit="1" customWidth="1"/>
    <col min="61" max="61" width="80.85546875" style="3" bestFit="1" customWidth="1"/>
    <col min="62" max="62" width="14.7109375" style="3" bestFit="1" customWidth="1"/>
    <col min="63" max="64" width="80.85546875" style="3" bestFit="1" customWidth="1"/>
    <col min="65" max="65" width="22.28515625" style="3" bestFit="1" customWidth="1"/>
    <col min="66" max="66" width="25.85546875" style="3" bestFit="1" customWidth="1"/>
    <col min="67" max="16384" width="8.85546875" style="3"/>
  </cols>
  <sheetData>
    <row r="1" spans="1:89" ht="18.75" x14ac:dyDescent="0.3">
      <c r="A1" s="71" t="s">
        <v>126</v>
      </c>
      <c r="B1" s="3" t="s">
        <v>1042</v>
      </c>
      <c r="H1" s="19"/>
      <c r="I1"/>
      <c r="J1"/>
      <c r="K1" s="19"/>
      <c r="L1" s="19"/>
      <c r="M1" t="s">
        <v>93</v>
      </c>
      <c r="N1" t="s">
        <v>126</v>
      </c>
      <c r="O1" t="s">
        <v>920</v>
      </c>
      <c r="P1" t="s">
        <v>918</v>
      </c>
      <c r="Q1" t="s">
        <v>125</v>
      </c>
      <c r="R1" t="s">
        <v>128</v>
      </c>
      <c r="S1" t="s">
        <v>129</v>
      </c>
      <c r="T1" t="s">
        <v>1043</v>
      </c>
      <c r="U1" t="s">
        <v>924</v>
      </c>
      <c r="V1" t="s">
        <v>123</v>
      </c>
      <c r="W1" t="s">
        <v>96</v>
      </c>
      <c r="X1" t="s">
        <v>97</v>
      </c>
      <c r="Y1" t="s">
        <v>98</v>
      </c>
      <c r="Z1" t="s">
        <v>99</v>
      </c>
      <c r="AA1" t="s">
        <v>100</v>
      </c>
      <c r="AB1" t="s">
        <v>101</v>
      </c>
      <c r="AC1" s="7" t="s">
        <v>102</v>
      </c>
      <c r="AD1" s="7" t="s">
        <v>103</v>
      </c>
      <c r="AE1" s="7" t="s">
        <v>104</v>
      </c>
      <c r="AF1" s="7" t="s">
        <v>105</v>
      </c>
      <c r="AG1" s="7" t="s">
        <v>106</v>
      </c>
      <c r="AH1" s="7" t="s">
        <v>107</v>
      </c>
      <c r="AI1" s="7" t="s">
        <v>108</v>
      </c>
      <c r="AJ1" s="7" t="s">
        <v>109</v>
      </c>
      <c r="AK1" s="7" t="s">
        <v>110</v>
      </c>
      <c r="AL1" s="7" t="s">
        <v>111</v>
      </c>
      <c r="AM1" s="7" t="s">
        <v>112</v>
      </c>
      <c r="AN1" s="7" t="s">
        <v>113</v>
      </c>
      <c r="AO1" s="7" t="s">
        <v>915</v>
      </c>
      <c r="AP1" s="7" t="s">
        <v>114</v>
      </c>
      <c r="AQ1" s="7" t="s">
        <v>115</v>
      </c>
      <c r="AR1" s="7" t="s">
        <v>116</v>
      </c>
      <c r="AS1" s="7" t="s">
        <v>117</v>
      </c>
      <c r="AT1" s="7" t="s">
        <v>1044</v>
      </c>
      <c r="AU1" s="7" t="s">
        <v>916</v>
      </c>
      <c r="AV1" s="12" t="s">
        <v>2</v>
      </c>
      <c r="AW1" s="8" t="s">
        <v>95</v>
      </c>
      <c r="AX1" s="12" t="s">
        <v>911</v>
      </c>
      <c r="AY1" s="8" t="s">
        <v>912</v>
      </c>
      <c r="AZ1" s="12" t="s">
        <v>913</v>
      </c>
      <c r="BA1" s="8" t="s">
        <v>914</v>
      </c>
      <c r="BB1" s="7" t="s">
        <v>130</v>
      </c>
      <c r="BC1" s="9" t="s">
        <v>131</v>
      </c>
      <c r="BD1" s="9" t="s">
        <v>921</v>
      </c>
      <c r="BE1" s="9" t="s">
        <v>132</v>
      </c>
      <c r="BF1" s="10" t="s">
        <v>922</v>
      </c>
      <c r="BG1" s="11" t="s">
        <v>919</v>
      </c>
      <c r="BH1" s="7" t="s">
        <v>925</v>
      </c>
      <c r="BI1" t="s">
        <v>7</v>
      </c>
      <c r="BJ1" s="7" t="s">
        <v>926</v>
      </c>
      <c r="BK1" s="7" t="s">
        <v>5</v>
      </c>
      <c r="BL1" s="7" t="s">
        <v>927</v>
      </c>
      <c r="BM1" s="7" t="s">
        <v>928</v>
      </c>
      <c r="BN1" s="7" t="s">
        <v>929</v>
      </c>
      <c r="CJ1" s="34" t="s">
        <v>1045</v>
      </c>
      <c r="CK1" s="35" t="s">
        <v>24</v>
      </c>
    </row>
    <row r="2" spans="1:89" ht="18.75" x14ac:dyDescent="0.3">
      <c r="A2" s="71" t="s">
        <v>123</v>
      </c>
      <c r="B2" s="3" t="s">
        <v>1042</v>
      </c>
      <c r="H2" s="19"/>
      <c r="I2"/>
      <c r="J2"/>
      <c r="K2" s="19"/>
      <c r="L2" s="19"/>
      <c r="M2" t="s">
        <v>241</v>
      </c>
      <c r="N2" s="1">
        <v>45673</v>
      </c>
      <c r="O2" t="s">
        <v>1046</v>
      </c>
      <c r="P2" s="13">
        <v>0.5</v>
      </c>
      <c r="Q2" s="13">
        <v>0.5</v>
      </c>
      <c r="R2" t="s">
        <v>9</v>
      </c>
      <c r="S2" t="s">
        <v>171</v>
      </c>
      <c r="T2" t="s">
        <v>1047</v>
      </c>
      <c r="U2" t="s">
        <v>1048</v>
      </c>
      <c r="V2" t="s">
        <v>1049</v>
      </c>
      <c r="W2" t="s">
        <v>1049</v>
      </c>
      <c r="X2" t="s">
        <v>11</v>
      </c>
      <c r="Y2" t="s">
        <v>11</v>
      </c>
      <c r="Z2" t="s">
        <v>243</v>
      </c>
      <c r="AA2" t="s">
        <v>191</v>
      </c>
      <c r="AB2">
        <v>7</v>
      </c>
      <c r="AC2" s="22" t="s">
        <v>244</v>
      </c>
      <c r="AD2" s="20"/>
      <c r="AE2" s="20"/>
      <c r="AF2" s="20"/>
      <c r="AG2" s="20"/>
      <c r="AH2" s="20"/>
      <c r="AI2" s="20"/>
      <c r="AJ2" s="20"/>
      <c r="AK2" s="20"/>
      <c r="AL2" s="20"/>
      <c r="AM2" s="20"/>
      <c r="AN2" s="22" t="s">
        <v>140</v>
      </c>
      <c r="AO2" s="22" t="s">
        <v>931</v>
      </c>
      <c r="AP2" s="22" t="s">
        <v>245</v>
      </c>
      <c r="AQ2" s="20" t="s">
        <v>142</v>
      </c>
      <c r="AR2" s="22" t="s">
        <v>180</v>
      </c>
      <c r="AS2" s="22" t="s">
        <v>166</v>
      </c>
      <c r="AT2" s="22" t="s">
        <v>246</v>
      </c>
      <c r="AU2" s="20">
        <v>9</v>
      </c>
      <c r="AV2" s="21">
        <v>45673</v>
      </c>
      <c r="AW2" s="23">
        <v>0.5</v>
      </c>
      <c r="AX2" s="21">
        <v>45673</v>
      </c>
      <c r="AY2" s="23">
        <v>0.75</v>
      </c>
      <c r="AZ2" s="21">
        <v>45673</v>
      </c>
      <c r="BA2" s="23">
        <v>0.81587962962962968</v>
      </c>
      <c r="BB2" s="20">
        <v>2025</v>
      </c>
      <c r="BC2" s="24">
        <v>3</v>
      </c>
      <c r="BD2" s="24">
        <v>3</v>
      </c>
      <c r="BE2" s="24">
        <v>16</v>
      </c>
      <c r="BF2" s="25">
        <v>16</v>
      </c>
      <c r="BG2" s="26">
        <v>45673.5</v>
      </c>
      <c r="BH2" s="20">
        <v>30</v>
      </c>
      <c r="BI2" t="s">
        <v>244</v>
      </c>
      <c r="BJ2" s="22"/>
      <c r="BK2" s="22" t="s">
        <v>1050</v>
      </c>
      <c r="BL2" s="22" t="s">
        <v>1051</v>
      </c>
      <c r="BM2" s="20" t="s">
        <v>44</v>
      </c>
      <c r="BN2" s="22" t="s">
        <v>20</v>
      </c>
      <c r="CJ2" s="28" t="s">
        <v>2</v>
      </c>
      <c r="CK2" s="36">
        <v>45748</v>
      </c>
    </row>
    <row r="3" spans="1:89" ht="18.75" x14ac:dyDescent="0.3">
      <c r="H3" s="19"/>
      <c r="I3" s="19"/>
      <c r="J3" s="19"/>
      <c r="K3" s="19"/>
      <c r="L3" s="19"/>
      <c r="M3" t="s">
        <v>286</v>
      </c>
      <c r="N3" s="1">
        <v>45682</v>
      </c>
      <c r="O3" t="s">
        <v>1052</v>
      </c>
      <c r="P3" s="13">
        <v>0.45833333333333331</v>
      </c>
      <c r="Q3" s="13">
        <v>0.45833333333333331</v>
      </c>
      <c r="R3" t="s">
        <v>1053</v>
      </c>
      <c r="S3" t="s">
        <v>171</v>
      </c>
      <c r="T3" t="s">
        <v>1054</v>
      </c>
      <c r="U3" t="s">
        <v>1055</v>
      </c>
      <c r="V3" t="s">
        <v>1049</v>
      </c>
      <c r="W3" t="s">
        <v>1049</v>
      </c>
      <c r="X3" t="s">
        <v>11</v>
      </c>
      <c r="Y3" t="s">
        <v>11</v>
      </c>
      <c r="Z3" t="s">
        <v>287</v>
      </c>
      <c r="AA3" t="s">
        <v>288</v>
      </c>
      <c r="AB3">
        <v>5</v>
      </c>
      <c r="AC3" s="22" t="s">
        <v>289</v>
      </c>
      <c r="AD3" s="20"/>
      <c r="AE3" s="20"/>
      <c r="AF3" s="20"/>
      <c r="AG3" s="20"/>
      <c r="AH3" s="20"/>
      <c r="AI3" s="20"/>
      <c r="AJ3" s="20"/>
      <c r="AK3" s="20"/>
      <c r="AL3" s="20"/>
      <c r="AM3" s="20"/>
      <c r="AN3" s="22" t="s">
        <v>290</v>
      </c>
      <c r="AO3" s="22" t="s">
        <v>931</v>
      </c>
      <c r="AP3" s="22" t="s">
        <v>291</v>
      </c>
      <c r="AQ3" s="20" t="s">
        <v>256</v>
      </c>
      <c r="AR3" s="22" t="s">
        <v>180</v>
      </c>
      <c r="AS3" s="22" t="s">
        <v>181</v>
      </c>
      <c r="AT3" s="22" t="s">
        <v>246</v>
      </c>
      <c r="AU3" s="20">
        <v>9</v>
      </c>
      <c r="AV3" s="21">
        <v>45682</v>
      </c>
      <c r="AW3" s="23">
        <v>0.45833333333333331</v>
      </c>
      <c r="AX3" s="21">
        <v>45682</v>
      </c>
      <c r="AY3" s="23">
        <v>0.58333333333333337</v>
      </c>
      <c r="AZ3" s="21">
        <v>45682</v>
      </c>
      <c r="BA3" s="23">
        <v>0.58054398148148145</v>
      </c>
      <c r="BB3" s="20">
        <v>2025</v>
      </c>
      <c r="BC3" s="24">
        <v>4</v>
      </c>
      <c r="BD3" s="24">
        <v>4</v>
      </c>
      <c r="BE3" s="24">
        <v>25</v>
      </c>
      <c r="BF3" s="25">
        <v>25</v>
      </c>
      <c r="BG3" s="26">
        <v>45682.458333333336</v>
      </c>
      <c r="BH3" s="20">
        <v>60</v>
      </c>
      <c r="BI3" t="s">
        <v>289</v>
      </c>
      <c r="BJ3" s="22"/>
      <c r="BK3" s="22" t="s">
        <v>1056</v>
      </c>
      <c r="BL3" s="22" t="s">
        <v>1057</v>
      </c>
      <c r="BM3" s="20" t="s">
        <v>45</v>
      </c>
      <c r="BN3" s="22" t="s">
        <v>1058</v>
      </c>
      <c r="CJ3" s="37" t="s">
        <v>3</v>
      </c>
      <c r="CK3" s="38" t="s">
        <v>25</v>
      </c>
    </row>
    <row r="4" spans="1:89" ht="18.75" x14ac:dyDescent="0.3">
      <c r="A4" s="95" t="s">
        <v>185</v>
      </c>
      <c r="B4" s="95" t="s">
        <v>128</v>
      </c>
      <c r="I4"/>
      <c r="J4"/>
      <c r="K4"/>
      <c r="L4"/>
      <c r="M4" t="s">
        <v>323</v>
      </c>
      <c r="N4" s="1">
        <v>45688</v>
      </c>
      <c r="O4" t="s">
        <v>1052</v>
      </c>
      <c r="P4" s="13">
        <v>0.45833333333333331</v>
      </c>
      <c r="Q4" s="13">
        <v>0.49988425925925928</v>
      </c>
      <c r="R4" t="s">
        <v>1059</v>
      </c>
      <c r="S4" t="s">
        <v>171</v>
      </c>
      <c r="T4" t="s">
        <v>329</v>
      </c>
      <c r="U4" t="s">
        <v>1060</v>
      </c>
      <c r="V4" t="s">
        <v>1049</v>
      </c>
      <c r="W4" t="s">
        <v>1049</v>
      </c>
      <c r="X4" t="s">
        <v>11</v>
      </c>
      <c r="Y4" t="s">
        <v>11</v>
      </c>
      <c r="Z4" t="s">
        <v>324</v>
      </c>
      <c r="AA4" t="s">
        <v>325</v>
      </c>
      <c r="AB4">
        <v>8</v>
      </c>
      <c r="AC4" s="22" t="s">
        <v>326</v>
      </c>
      <c r="AD4" s="20"/>
      <c r="AE4" s="20"/>
      <c r="AF4" s="20"/>
      <c r="AG4" s="20"/>
      <c r="AH4" s="20"/>
      <c r="AI4" s="20"/>
      <c r="AJ4" s="20"/>
      <c r="AK4" s="20"/>
      <c r="AL4" s="20"/>
      <c r="AM4" s="20"/>
      <c r="AN4" s="22" t="s">
        <v>162</v>
      </c>
      <c r="AO4" s="22" t="s">
        <v>931</v>
      </c>
      <c r="AP4" s="22" t="s">
        <v>327</v>
      </c>
      <c r="AQ4" s="20" t="s">
        <v>328</v>
      </c>
      <c r="AR4" s="22" t="s">
        <v>228</v>
      </c>
      <c r="AS4" s="22" t="s">
        <v>166</v>
      </c>
      <c r="AT4" s="22" t="s">
        <v>246</v>
      </c>
      <c r="AU4" s="20">
        <v>9</v>
      </c>
      <c r="AV4" s="21">
        <v>45688</v>
      </c>
      <c r="AW4" s="23">
        <v>0.49988425925925928</v>
      </c>
      <c r="AX4" s="21"/>
      <c r="AY4" s="23"/>
      <c r="AZ4" s="21">
        <v>45688</v>
      </c>
      <c r="BA4" s="23">
        <v>0.49988425925925928</v>
      </c>
      <c r="BB4" s="20">
        <v>2025</v>
      </c>
      <c r="BC4" s="24">
        <v>5</v>
      </c>
      <c r="BD4" s="24">
        <v>5</v>
      </c>
      <c r="BE4" s="24">
        <v>31</v>
      </c>
      <c r="BF4" s="25">
        <v>31</v>
      </c>
      <c r="BG4" s="26">
        <v>45688.499305555553</v>
      </c>
      <c r="BH4" s="20">
        <v>292</v>
      </c>
      <c r="BI4" t="s">
        <v>326</v>
      </c>
      <c r="BJ4" s="22"/>
      <c r="BK4" s="22" t="s">
        <v>11</v>
      </c>
      <c r="BL4" s="22" t="s">
        <v>11</v>
      </c>
      <c r="BM4" s="20" t="s">
        <v>46</v>
      </c>
      <c r="BN4" s="22" t="s">
        <v>1058</v>
      </c>
      <c r="CJ4" s="28" t="s">
        <v>1061</v>
      </c>
      <c r="CK4" s="39" t="s">
        <v>20</v>
      </c>
    </row>
    <row r="5" spans="1:89" ht="18.75" x14ac:dyDescent="0.3">
      <c r="A5" s="72" t="s">
        <v>4</v>
      </c>
      <c r="B5" s="96" t="s">
        <v>247</v>
      </c>
      <c r="C5" s="96" t="s">
        <v>292</v>
      </c>
      <c r="D5" s="96" t="s">
        <v>170</v>
      </c>
      <c r="E5" s="96" t="s">
        <v>239</v>
      </c>
      <c r="F5" s="96" t="s">
        <v>183</v>
      </c>
      <c r="G5" s="96" t="s">
        <v>148</v>
      </c>
      <c r="H5" s="96" t="s">
        <v>311</v>
      </c>
      <c r="I5"/>
      <c r="J5"/>
      <c r="K5"/>
      <c r="L5"/>
      <c r="M5" t="s">
        <v>366</v>
      </c>
      <c r="N5" s="1">
        <v>45693</v>
      </c>
      <c r="O5" t="s">
        <v>1062</v>
      </c>
      <c r="P5" s="13">
        <v>8.3333333333333329E-2</v>
      </c>
      <c r="Q5" s="13">
        <v>0.12291666666666666</v>
      </c>
      <c r="R5" t="s">
        <v>1063</v>
      </c>
      <c r="S5" t="s">
        <v>344</v>
      </c>
      <c r="T5" t="s">
        <v>1064</v>
      </c>
      <c r="U5" t="s">
        <v>1065</v>
      </c>
      <c r="V5" t="s">
        <v>1066</v>
      </c>
      <c r="W5" t="s">
        <v>1067</v>
      </c>
      <c r="X5" t="s">
        <v>368</v>
      </c>
      <c r="Y5" t="s">
        <v>11</v>
      </c>
      <c r="Z5" t="s">
        <v>369</v>
      </c>
      <c r="AA5" t="s">
        <v>325</v>
      </c>
      <c r="AB5">
        <v>8</v>
      </c>
      <c r="AC5" s="22" t="s">
        <v>370</v>
      </c>
      <c r="AD5" s="20"/>
      <c r="AE5" s="20"/>
      <c r="AF5" s="20"/>
      <c r="AG5" s="20"/>
      <c r="AH5" s="20"/>
      <c r="AI5" s="20"/>
      <c r="AJ5" s="20"/>
      <c r="AK5" s="20"/>
      <c r="AL5" s="20"/>
      <c r="AM5" s="20"/>
      <c r="AN5" s="22" t="s">
        <v>226</v>
      </c>
      <c r="AO5" s="22" t="s">
        <v>931</v>
      </c>
      <c r="AP5" s="22" t="s">
        <v>371</v>
      </c>
      <c r="AQ5" s="20" t="s">
        <v>256</v>
      </c>
      <c r="AR5" s="22" t="s">
        <v>372</v>
      </c>
      <c r="AS5" s="22" t="s">
        <v>181</v>
      </c>
      <c r="AT5" s="22" t="s">
        <v>246</v>
      </c>
      <c r="AU5" s="20">
        <v>9</v>
      </c>
      <c r="AV5" s="21">
        <v>45693</v>
      </c>
      <c r="AW5" s="23">
        <v>0.12291666666666666</v>
      </c>
      <c r="AX5" s="21"/>
      <c r="AY5" s="23"/>
      <c r="AZ5" s="21">
        <v>45693</v>
      </c>
      <c r="BA5" s="23">
        <v>0.1233912037037037</v>
      </c>
      <c r="BB5" s="20">
        <v>2025</v>
      </c>
      <c r="BC5" s="24">
        <v>6</v>
      </c>
      <c r="BD5" s="24">
        <v>2</v>
      </c>
      <c r="BE5" s="24">
        <v>5</v>
      </c>
      <c r="BF5" s="25">
        <v>36</v>
      </c>
      <c r="BG5" s="26">
        <v>45693.122916666667</v>
      </c>
      <c r="BH5" s="20">
        <v>441</v>
      </c>
      <c r="BI5" t="s">
        <v>370</v>
      </c>
      <c r="BJ5" s="22"/>
      <c r="BK5" s="22" t="s">
        <v>11</v>
      </c>
      <c r="BL5" s="22" t="s">
        <v>11</v>
      </c>
      <c r="BM5" s="20" t="s">
        <v>47</v>
      </c>
      <c r="BN5" s="22" t="s">
        <v>1068</v>
      </c>
      <c r="CJ5" s="37" t="s">
        <v>1069</v>
      </c>
      <c r="CK5" s="40" t="s">
        <v>1070</v>
      </c>
    </row>
    <row r="6" spans="1:89" ht="18.75" x14ac:dyDescent="0.3">
      <c r="A6" s="3" t="s">
        <v>146</v>
      </c>
      <c r="B6" s="94">
        <v>1</v>
      </c>
      <c r="C6" s="94"/>
      <c r="D6" s="94">
        <v>1</v>
      </c>
      <c r="E6" s="94"/>
      <c r="F6" s="94">
        <v>2</v>
      </c>
      <c r="G6" s="94">
        <v>2</v>
      </c>
      <c r="H6" s="94">
        <v>1</v>
      </c>
      <c r="I6"/>
      <c r="J6"/>
      <c r="K6"/>
      <c r="L6"/>
      <c r="M6" t="s">
        <v>418</v>
      </c>
      <c r="N6" s="1">
        <v>45705</v>
      </c>
      <c r="O6" t="s">
        <v>1046</v>
      </c>
      <c r="P6" s="13">
        <v>0.5</v>
      </c>
      <c r="Q6" s="13">
        <v>0.52497685185185183</v>
      </c>
      <c r="R6" t="s">
        <v>19</v>
      </c>
      <c r="S6" t="s">
        <v>344</v>
      </c>
      <c r="T6" t="s">
        <v>1071</v>
      </c>
      <c r="U6" t="s">
        <v>1072</v>
      </c>
      <c r="V6" t="s">
        <v>1073</v>
      </c>
      <c r="W6" t="s">
        <v>1067</v>
      </c>
      <c r="X6" t="s">
        <v>347</v>
      </c>
      <c r="Y6" t="s">
        <v>11</v>
      </c>
      <c r="Z6" t="s">
        <v>419</v>
      </c>
      <c r="AA6" t="s">
        <v>251</v>
      </c>
      <c r="AB6">
        <v>9</v>
      </c>
      <c r="AC6" s="22" t="s">
        <v>420</v>
      </c>
      <c r="AD6" s="20"/>
      <c r="AE6" s="20"/>
      <c r="AF6" s="20"/>
      <c r="AG6" s="20"/>
      <c r="AH6" s="20"/>
      <c r="AI6" s="20"/>
      <c r="AJ6" s="20"/>
      <c r="AK6" s="20"/>
      <c r="AL6" s="20"/>
      <c r="AM6" s="20"/>
      <c r="AN6" s="22" t="s">
        <v>140</v>
      </c>
      <c r="AO6" s="22" t="s">
        <v>931</v>
      </c>
      <c r="AP6" s="22" t="s">
        <v>179</v>
      </c>
      <c r="AQ6" s="20" t="s">
        <v>142</v>
      </c>
      <c r="AR6" s="22" t="s">
        <v>350</v>
      </c>
      <c r="AS6" s="22" t="s">
        <v>905</v>
      </c>
      <c r="AT6" s="22" t="s">
        <v>246</v>
      </c>
      <c r="AU6" s="20">
        <v>9</v>
      </c>
      <c r="AV6" s="21">
        <v>45705</v>
      </c>
      <c r="AW6" s="23">
        <v>0.52497685185185183</v>
      </c>
      <c r="AX6" s="21"/>
      <c r="AY6" s="23"/>
      <c r="AZ6" s="21">
        <v>45705</v>
      </c>
      <c r="BA6" s="23">
        <v>0.52497685185185183</v>
      </c>
      <c r="BB6" s="20">
        <v>2025</v>
      </c>
      <c r="BC6" s="24">
        <v>8</v>
      </c>
      <c r="BD6" s="24">
        <v>4</v>
      </c>
      <c r="BE6" s="24">
        <v>17</v>
      </c>
      <c r="BF6" s="25">
        <v>48</v>
      </c>
      <c r="BG6" s="26">
        <v>45705.524305555555</v>
      </c>
      <c r="BH6" s="20">
        <v>35</v>
      </c>
      <c r="BI6" t="s">
        <v>420</v>
      </c>
      <c r="BJ6" s="22"/>
      <c r="BK6" s="22" t="s">
        <v>1074</v>
      </c>
      <c r="BL6" s="22" t="s">
        <v>1075</v>
      </c>
      <c r="BM6" s="20" t="s">
        <v>48</v>
      </c>
      <c r="BN6" s="22" t="s">
        <v>20</v>
      </c>
      <c r="CJ6" s="28" t="s">
        <v>1076</v>
      </c>
      <c r="CK6" s="39" t="s">
        <v>937</v>
      </c>
    </row>
    <row r="7" spans="1:89" ht="18.75" x14ac:dyDescent="0.3">
      <c r="A7" s="3" t="s">
        <v>276</v>
      </c>
      <c r="B7" s="94"/>
      <c r="C7" s="94">
        <v>1</v>
      </c>
      <c r="D7" s="94">
        <v>2</v>
      </c>
      <c r="E7" s="94">
        <v>1</v>
      </c>
      <c r="F7" s="94">
        <v>3</v>
      </c>
      <c r="G7" s="94"/>
      <c r="H7" s="94"/>
      <c r="I7"/>
      <c r="J7"/>
      <c r="K7"/>
      <c r="L7"/>
      <c r="M7" t="s">
        <v>477</v>
      </c>
      <c r="N7" s="1">
        <v>45726</v>
      </c>
      <c r="O7" t="s">
        <v>1062</v>
      </c>
      <c r="P7" s="13">
        <v>4.1666666666666664E-2</v>
      </c>
      <c r="Q7" s="13">
        <v>4.6527777777777779E-2</v>
      </c>
      <c r="R7" t="s">
        <v>19</v>
      </c>
      <c r="S7" t="s">
        <v>445</v>
      </c>
      <c r="T7" t="s">
        <v>14</v>
      </c>
      <c r="U7" t="s">
        <v>1077</v>
      </c>
      <c r="V7" t="s">
        <v>1049</v>
      </c>
      <c r="W7" t="s">
        <v>1049</v>
      </c>
      <c r="X7" t="s">
        <v>11</v>
      </c>
      <c r="Y7" t="s">
        <v>11</v>
      </c>
      <c r="Z7" t="s">
        <v>478</v>
      </c>
      <c r="AA7" t="s">
        <v>358</v>
      </c>
      <c r="AB7">
        <v>8</v>
      </c>
      <c r="AC7" s="22" t="s">
        <v>479</v>
      </c>
      <c r="AD7" s="20"/>
      <c r="AE7" s="20"/>
      <c r="AF7" s="20"/>
      <c r="AG7" s="20"/>
      <c r="AH7" s="20"/>
      <c r="AI7" s="20"/>
      <c r="AJ7" s="20"/>
      <c r="AK7" s="20"/>
      <c r="AL7" s="20"/>
      <c r="AM7" s="20"/>
      <c r="AN7" s="22" t="s">
        <v>480</v>
      </c>
      <c r="AO7" s="22" t="s">
        <v>931</v>
      </c>
      <c r="AP7" s="22" t="s">
        <v>163</v>
      </c>
      <c r="AQ7" s="20" t="s">
        <v>328</v>
      </c>
      <c r="AR7" s="22" t="s">
        <v>310</v>
      </c>
      <c r="AS7" s="22" t="s">
        <v>181</v>
      </c>
      <c r="AT7" s="22" t="s">
        <v>246</v>
      </c>
      <c r="AU7" s="20">
        <v>9</v>
      </c>
      <c r="AV7" s="21">
        <v>45726</v>
      </c>
      <c r="AW7" s="23">
        <v>4.6527777777777779E-2</v>
      </c>
      <c r="AX7" s="21">
        <v>45726</v>
      </c>
      <c r="AY7" s="23">
        <v>0.16180555555555556</v>
      </c>
      <c r="AZ7" s="21">
        <v>45727</v>
      </c>
      <c r="BA7" s="23">
        <v>0.44234953703703705</v>
      </c>
      <c r="BB7" s="20">
        <v>2025</v>
      </c>
      <c r="BC7" s="24">
        <v>11</v>
      </c>
      <c r="BD7" s="24">
        <v>3</v>
      </c>
      <c r="BE7" s="24">
        <v>10</v>
      </c>
      <c r="BF7" s="25">
        <v>69</v>
      </c>
      <c r="BG7" s="26">
        <v>45726.046527777777</v>
      </c>
      <c r="BH7" s="20">
        <v>1</v>
      </c>
      <c r="BI7" t="s">
        <v>479</v>
      </c>
      <c r="BJ7" s="22"/>
      <c r="BK7" s="22" t="s">
        <v>1078</v>
      </c>
      <c r="BL7" s="22" t="s">
        <v>11</v>
      </c>
      <c r="BM7" s="20" t="s">
        <v>51</v>
      </c>
      <c r="BN7" s="22" t="s">
        <v>1068</v>
      </c>
      <c r="CJ7" s="37" t="s">
        <v>1079</v>
      </c>
      <c r="CK7" s="40" t="s">
        <v>937</v>
      </c>
    </row>
    <row r="8" spans="1:89" ht="18.75" x14ac:dyDescent="0.3">
      <c r="A8" s="3" t="s">
        <v>343</v>
      </c>
      <c r="B8" s="94"/>
      <c r="C8" s="94"/>
      <c r="D8" s="94"/>
      <c r="E8" s="94">
        <v>1</v>
      </c>
      <c r="F8" s="94">
        <v>1</v>
      </c>
      <c r="G8" s="94"/>
      <c r="H8" s="94">
        <v>1</v>
      </c>
      <c r="I8" s="17"/>
      <c r="J8" s="17"/>
      <c r="K8" s="17"/>
      <c r="L8" s="17"/>
      <c r="M8" t="s">
        <v>527</v>
      </c>
      <c r="N8" s="1">
        <v>45743</v>
      </c>
      <c r="O8" t="s">
        <v>1080</v>
      </c>
      <c r="P8" s="13">
        <v>0.91666666666666663</v>
      </c>
      <c r="Q8" s="13">
        <v>0.94666666666666666</v>
      </c>
      <c r="R8" t="s">
        <v>9</v>
      </c>
      <c r="S8" t="s">
        <v>445</v>
      </c>
      <c r="T8" t="s">
        <v>8</v>
      </c>
      <c r="U8" t="s">
        <v>1081</v>
      </c>
      <c r="V8" t="s">
        <v>1082</v>
      </c>
      <c r="W8" t="s">
        <v>1067</v>
      </c>
      <c r="X8" t="s">
        <v>1083</v>
      </c>
      <c r="Y8" t="s">
        <v>1084</v>
      </c>
      <c r="Z8" t="s">
        <v>529</v>
      </c>
      <c r="AA8" t="s">
        <v>315</v>
      </c>
      <c r="AB8">
        <v>6</v>
      </c>
      <c r="AC8" s="22" t="s">
        <v>13</v>
      </c>
      <c r="AD8" s="20"/>
      <c r="AE8" s="20"/>
      <c r="AF8" s="20"/>
      <c r="AG8" s="20"/>
      <c r="AH8" s="20"/>
      <c r="AI8" s="20"/>
      <c r="AJ8" s="20"/>
      <c r="AK8" s="20"/>
      <c r="AL8" s="20"/>
      <c r="AM8" s="20"/>
      <c r="AN8" s="22" t="s">
        <v>281</v>
      </c>
      <c r="AO8" s="22" t="s">
        <v>931</v>
      </c>
      <c r="AP8" s="22" t="s">
        <v>530</v>
      </c>
      <c r="AQ8" s="20" t="s">
        <v>384</v>
      </c>
      <c r="AR8" s="22" t="s">
        <v>257</v>
      </c>
      <c r="AS8" s="22" t="s">
        <v>181</v>
      </c>
      <c r="AT8" s="22"/>
      <c r="AU8" s="20">
        <v>9</v>
      </c>
      <c r="AV8" s="21">
        <v>45743</v>
      </c>
      <c r="AW8" s="23">
        <v>0.94666666666666666</v>
      </c>
      <c r="AX8" s="21"/>
      <c r="AY8" s="23"/>
      <c r="AZ8" s="21">
        <v>45743</v>
      </c>
      <c r="BA8" s="23">
        <v>0.94666666666666666</v>
      </c>
      <c r="BB8" s="20">
        <v>2025</v>
      </c>
      <c r="BC8" s="24">
        <v>13</v>
      </c>
      <c r="BD8" s="24">
        <v>5</v>
      </c>
      <c r="BE8" s="24">
        <v>27</v>
      </c>
      <c r="BF8" s="25">
        <v>86</v>
      </c>
      <c r="BG8" s="26">
        <v>45743.946527777778</v>
      </c>
      <c r="BH8" s="20">
        <v>211</v>
      </c>
      <c r="BI8" t="s">
        <v>13</v>
      </c>
      <c r="BJ8" s="22"/>
      <c r="BK8" s="22" t="s">
        <v>11</v>
      </c>
      <c r="BL8" s="22" t="s">
        <v>12</v>
      </c>
      <c r="BM8" s="20" t="s">
        <v>54</v>
      </c>
      <c r="BN8" s="22" t="s">
        <v>10</v>
      </c>
      <c r="CJ8" s="28" t="s">
        <v>1085</v>
      </c>
      <c r="CK8" s="39" t="s">
        <v>1086</v>
      </c>
    </row>
    <row r="9" spans="1:89" ht="18.75" x14ac:dyDescent="0.3">
      <c r="A9" s="3" t="s">
        <v>168</v>
      </c>
      <c r="B9" s="94">
        <v>3</v>
      </c>
      <c r="C9" s="94">
        <v>1</v>
      </c>
      <c r="D9" s="94"/>
      <c r="E9" s="94"/>
      <c r="F9" s="94">
        <v>1</v>
      </c>
      <c r="G9" s="94"/>
      <c r="H9" s="94"/>
      <c r="I9" s="19"/>
      <c r="J9" s="19"/>
      <c r="K9" s="19"/>
      <c r="L9" s="19"/>
      <c r="M9" t="s">
        <v>532</v>
      </c>
      <c r="N9" s="1">
        <v>45743</v>
      </c>
      <c r="O9" t="s">
        <v>1080</v>
      </c>
      <c r="P9" s="13">
        <v>0.95833333333333337</v>
      </c>
      <c r="Q9" s="13">
        <v>0.97916666666666663</v>
      </c>
      <c r="R9" t="s">
        <v>9</v>
      </c>
      <c r="S9" t="s">
        <v>445</v>
      </c>
      <c r="T9" t="s">
        <v>14</v>
      </c>
      <c r="U9" t="s">
        <v>1087</v>
      </c>
      <c r="V9" t="s">
        <v>1049</v>
      </c>
      <c r="W9" t="s">
        <v>1049</v>
      </c>
      <c r="X9" t="s">
        <v>11</v>
      </c>
      <c r="Y9" t="s">
        <v>11</v>
      </c>
      <c r="Z9" t="s">
        <v>533</v>
      </c>
      <c r="AA9" t="s">
        <v>358</v>
      </c>
      <c r="AB9">
        <v>8</v>
      </c>
      <c r="AC9" s="22" t="s">
        <v>17</v>
      </c>
      <c r="AD9" s="20">
        <v>50300</v>
      </c>
      <c r="AE9" s="20"/>
      <c r="AF9" s="20"/>
      <c r="AG9" s="20"/>
      <c r="AH9" s="20"/>
      <c r="AI9" s="20"/>
      <c r="AJ9" s="20"/>
      <c r="AK9" s="20"/>
      <c r="AL9" s="20"/>
      <c r="AM9" s="20"/>
      <c r="AN9" s="22" t="s">
        <v>162</v>
      </c>
      <c r="AO9" s="22" t="s">
        <v>931</v>
      </c>
      <c r="AP9" s="22" t="s">
        <v>475</v>
      </c>
      <c r="AQ9" s="20" t="s">
        <v>211</v>
      </c>
      <c r="AR9" s="22" t="s">
        <v>534</v>
      </c>
      <c r="AS9" s="22" t="s">
        <v>181</v>
      </c>
      <c r="AT9" s="22"/>
      <c r="AU9" s="20">
        <v>9</v>
      </c>
      <c r="AV9" s="21">
        <v>45743</v>
      </c>
      <c r="AW9" s="23">
        <v>0.97916666666666663</v>
      </c>
      <c r="AX9" s="21">
        <v>45744</v>
      </c>
      <c r="AY9" s="23">
        <v>2.5000000000000001E-2</v>
      </c>
      <c r="AZ9" s="21">
        <v>45744</v>
      </c>
      <c r="BA9" s="23">
        <v>0.46781250000000002</v>
      </c>
      <c r="BB9" s="20">
        <v>2025</v>
      </c>
      <c r="BC9" s="24">
        <v>13</v>
      </c>
      <c r="BD9" s="24">
        <v>5</v>
      </c>
      <c r="BE9" s="24">
        <v>27</v>
      </c>
      <c r="BF9" s="25">
        <v>86</v>
      </c>
      <c r="BG9" s="26">
        <v>45743.979166666664</v>
      </c>
      <c r="BH9" s="20">
        <v>2</v>
      </c>
      <c r="BI9" t="s">
        <v>17</v>
      </c>
      <c r="BJ9" s="22"/>
      <c r="BK9" s="22" t="s">
        <v>15</v>
      </c>
      <c r="BL9" s="22" t="s">
        <v>16</v>
      </c>
      <c r="BM9" s="20" t="s">
        <v>54</v>
      </c>
      <c r="BN9" s="22" t="s">
        <v>10</v>
      </c>
      <c r="CJ9" s="37" t="s">
        <v>1088</v>
      </c>
      <c r="CK9" s="40" t="s">
        <v>937</v>
      </c>
    </row>
    <row r="10" spans="1:89" ht="18.75" x14ac:dyDescent="0.3">
      <c r="A10" s="3" t="s">
        <v>266</v>
      </c>
      <c r="B10" s="94"/>
      <c r="C10" s="94"/>
      <c r="D10" s="94"/>
      <c r="E10" s="94"/>
      <c r="F10" s="94"/>
      <c r="G10" s="94"/>
      <c r="H10" s="94">
        <v>3</v>
      </c>
      <c r="I10" s="19"/>
      <c r="J10" s="19"/>
      <c r="K10" s="19"/>
      <c r="L10" s="19"/>
      <c r="M10" t="s">
        <v>551</v>
      </c>
      <c r="N10" s="1">
        <v>45747</v>
      </c>
      <c r="O10" t="s">
        <v>1046</v>
      </c>
      <c r="P10" s="13">
        <v>0.5</v>
      </c>
      <c r="Q10" s="13">
        <v>0.5</v>
      </c>
      <c r="R10" t="s">
        <v>19</v>
      </c>
      <c r="S10" t="s">
        <v>445</v>
      </c>
      <c r="T10" t="s">
        <v>18</v>
      </c>
      <c r="U10" t="s">
        <v>1089</v>
      </c>
      <c r="V10" t="s">
        <v>1049</v>
      </c>
      <c r="W10" t="s">
        <v>1049</v>
      </c>
      <c r="X10" t="s">
        <v>11</v>
      </c>
      <c r="Y10" t="s">
        <v>11</v>
      </c>
      <c r="Z10" t="s">
        <v>552</v>
      </c>
      <c r="AA10" t="s">
        <v>553</v>
      </c>
      <c r="AB10">
        <v>7</v>
      </c>
      <c r="AC10" s="22" t="s">
        <v>23</v>
      </c>
      <c r="AD10" s="20"/>
      <c r="AE10" s="20"/>
      <c r="AF10" s="20"/>
      <c r="AG10" s="20"/>
      <c r="AH10" s="20"/>
      <c r="AI10" s="20"/>
      <c r="AJ10" s="20"/>
      <c r="AK10" s="20"/>
      <c r="AL10" s="20"/>
      <c r="AM10" s="20"/>
      <c r="AN10" s="22" t="s">
        <v>511</v>
      </c>
      <c r="AO10" s="22" t="s">
        <v>931</v>
      </c>
      <c r="AP10" s="22" t="s">
        <v>554</v>
      </c>
      <c r="AQ10" s="20" t="s">
        <v>256</v>
      </c>
      <c r="AR10" s="22"/>
      <c r="AS10" s="22"/>
      <c r="AT10" s="22"/>
      <c r="AU10" s="20">
        <v>9</v>
      </c>
      <c r="AV10" s="21">
        <v>45747</v>
      </c>
      <c r="AW10" s="23">
        <v>0.5</v>
      </c>
      <c r="AX10" s="21"/>
      <c r="AY10" s="23"/>
      <c r="AZ10" s="21">
        <v>45747</v>
      </c>
      <c r="BA10" s="23">
        <v>0.54355324074074074</v>
      </c>
      <c r="BB10" s="20">
        <v>2025</v>
      </c>
      <c r="BC10" s="24">
        <v>14</v>
      </c>
      <c r="BD10" s="24">
        <v>6</v>
      </c>
      <c r="BE10" s="24">
        <v>31</v>
      </c>
      <c r="BF10" s="25">
        <v>90</v>
      </c>
      <c r="BG10" s="26">
        <v>45747.5</v>
      </c>
      <c r="BH10" s="20">
        <v>100</v>
      </c>
      <c r="BI10" t="s">
        <v>23</v>
      </c>
      <c r="BJ10" s="22"/>
      <c r="BK10" s="22" t="s">
        <v>21</v>
      </c>
      <c r="BL10" s="22" t="s">
        <v>22</v>
      </c>
      <c r="BM10" s="20" t="s">
        <v>54</v>
      </c>
      <c r="BN10" s="22" t="s">
        <v>20</v>
      </c>
      <c r="CJ10" s="28" t="s">
        <v>1090</v>
      </c>
      <c r="CK10" s="39" t="s">
        <v>937</v>
      </c>
    </row>
    <row r="11" spans="1:89" ht="18.75" x14ac:dyDescent="0.25">
      <c r="A11" s="3" t="s">
        <v>385</v>
      </c>
      <c r="B11" s="94"/>
      <c r="C11" s="94"/>
      <c r="D11" s="94"/>
      <c r="E11" s="94">
        <v>1</v>
      </c>
      <c r="F11" s="94">
        <v>1</v>
      </c>
      <c r="G11" s="94"/>
      <c r="H11" s="94">
        <v>1</v>
      </c>
      <c r="M11" t="s">
        <v>583</v>
      </c>
      <c r="N11" s="1">
        <v>45748</v>
      </c>
      <c r="O11" t="s">
        <v>1046</v>
      </c>
      <c r="P11" s="13">
        <v>0.5</v>
      </c>
      <c r="Q11" s="13">
        <v>0.5</v>
      </c>
      <c r="R11" t="s">
        <v>25</v>
      </c>
      <c r="S11" t="s">
        <v>582</v>
      </c>
      <c r="T11" t="s">
        <v>24</v>
      </c>
      <c r="U11" t="s">
        <v>1091</v>
      </c>
      <c r="V11" t="s">
        <v>1049</v>
      </c>
      <c r="W11" t="s">
        <v>1049</v>
      </c>
      <c r="X11" t="s">
        <v>11</v>
      </c>
      <c r="Y11" t="s">
        <v>11</v>
      </c>
      <c r="Z11" t="s">
        <v>584</v>
      </c>
      <c r="AA11" t="s">
        <v>288</v>
      </c>
      <c r="AB11">
        <v>5</v>
      </c>
      <c r="AC11" s="22" t="s">
        <v>26</v>
      </c>
      <c r="AD11" s="20"/>
      <c r="AE11" s="20"/>
      <c r="AF11" s="20"/>
      <c r="AG11" s="20"/>
      <c r="AH11" s="20"/>
      <c r="AI11" s="20"/>
      <c r="AJ11" s="20"/>
      <c r="AK11" s="20"/>
      <c r="AL11" s="20"/>
      <c r="AM11" s="20"/>
      <c r="AN11" s="22" t="s">
        <v>162</v>
      </c>
      <c r="AO11" s="22" t="s">
        <v>931</v>
      </c>
      <c r="AP11" s="22" t="s">
        <v>585</v>
      </c>
      <c r="AQ11" s="20" t="s">
        <v>164</v>
      </c>
      <c r="AR11" s="22" t="s">
        <v>488</v>
      </c>
      <c r="AS11" s="22" t="s">
        <v>181</v>
      </c>
      <c r="AT11" s="22"/>
      <c r="AU11" s="20">
        <v>9</v>
      </c>
      <c r="AV11" s="21">
        <v>45748</v>
      </c>
      <c r="AW11" s="23">
        <v>0.5</v>
      </c>
      <c r="AX11" s="21">
        <v>45751</v>
      </c>
      <c r="AY11" s="23">
        <v>0.52083333333333337</v>
      </c>
      <c r="AZ11" s="21">
        <v>45751</v>
      </c>
      <c r="BA11" s="23">
        <v>0.54546296296296293</v>
      </c>
      <c r="BB11" s="20">
        <v>2025</v>
      </c>
      <c r="BC11" s="24">
        <v>14</v>
      </c>
      <c r="BD11" s="24">
        <v>1</v>
      </c>
      <c r="BE11" s="24">
        <v>1</v>
      </c>
      <c r="BF11" s="25">
        <v>91</v>
      </c>
      <c r="BG11" s="26">
        <v>45748.5</v>
      </c>
      <c r="BH11" s="20">
        <v>75</v>
      </c>
      <c r="BI11" t="s">
        <v>26</v>
      </c>
      <c r="BJ11" s="22"/>
      <c r="BK11" s="22" t="s">
        <v>11</v>
      </c>
      <c r="BL11" s="22" t="s">
        <v>11</v>
      </c>
      <c r="BM11" s="20" t="s">
        <v>55</v>
      </c>
      <c r="BN11" s="22" t="s">
        <v>20</v>
      </c>
      <c r="CJ11" s="41" t="s">
        <v>1092</v>
      </c>
      <c r="CK11" s="42" t="s">
        <v>1093</v>
      </c>
    </row>
    <row r="12" spans="1:89" s="4" customFormat="1" ht="18.75" x14ac:dyDescent="0.3">
      <c r="A12"/>
      <c r="B12"/>
      <c r="C12"/>
      <c r="D12"/>
      <c r="E12"/>
      <c r="F12"/>
      <c r="G12"/>
      <c r="H12"/>
      <c r="M12" s="3"/>
      <c r="N12" s="3"/>
      <c r="O12" s="3"/>
      <c r="P12" s="22"/>
      <c r="Q12" s="3"/>
      <c r="R12" s="22"/>
      <c r="S12" s="22"/>
      <c r="T12" s="22"/>
      <c r="U12" s="22"/>
      <c r="V12" s="22"/>
      <c r="W12" s="22"/>
      <c r="X12" s="22"/>
      <c r="Y12" s="22"/>
      <c r="Z12" s="22"/>
      <c r="AA12" s="22"/>
      <c r="AB12" s="22"/>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CJ12" s="28" t="s">
        <v>1094</v>
      </c>
      <c r="CK12" s="53" t="s">
        <v>937</v>
      </c>
    </row>
    <row r="13" spans="1:89" s="5" customFormat="1" ht="18.75" x14ac:dyDescent="0.3">
      <c r="A13"/>
      <c r="B13"/>
      <c r="C13"/>
      <c r="D13"/>
      <c r="E13"/>
      <c r="F13"/>
      <c r="G13"/>
      <c r="H13"/>
      <c r="I13" s="15"/>
      <c r="J13" s="15"/>
      <c r="K13" s="15"/>
      <c r="L13" s="15"/>
      <c r="M13" s="3"/>
      <c r="N13" s="3"/>
      <c r="O13" s="3"/>
      <c r="P13" s="22"/>
      <c r="Q13" s="3"/>
      <c r="R13" s="22"/>
      <c r="S13" s="22"/>
      <c r="T13" s="22"/>
      <c r="U13" s="22"/>
      <c r="V13" s="22"/>
      <c r="W13" s="22"/>
      <c r="X13" s="22"/>
      <c r="Y13" s="22"/>
      <c r="Z13" s="22"/>
      <c r="AA13" s="22"/>
      <c r="AB13" s="22"/>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15"/>
      <c r="BP13" s="15"/>
      <c r="BQ13" s="15"/>
      <c r="BR13" s="15"/>
      <c r="BS13" s="15"/>
      <c r="BT13" s="15"/>
      <c r="BU13" s="15"/>
      <c r="BV13" s="15"/>
      <c r="BW13" s="15"/>
      <c r="BX13" s="15"/>
      <c r="BY13" s="15"/>
      <c r="BZ13" s="15"/>
      <c r="CA13" s="15"/>
      <c r="CB13" s="15"/>
      <c r="CC13" s="15"/>
      <c r="CD13" s="15"/>
      <c r="CE13" s="15"/>
      <c r="CF13" s="15"/>
      <c r="CG13" s="15"/>
      <c r="CH13" s="15"/>
      <c r="CI13" s="15"/>
      <c r="CJ13" s="37" t="s">
        <v>1095</v>
      </c>
      <c r="CK13" s="40" t="s">
        <v>1096</v>
      </c>
    </row>
    <row r="14" spans="1:89" s="5" customFormat="1" ht="24.75" thickBot="1" x14ac:dyDescent="0.45">
      <c r="A14" s="76" t="s">
        <v>169</v>
      </c>
      <c r="B14" s="76"/>
      <c r="C14" s="76"/>
      <c r="D14" s="76"/>
      <c r="E14" s="76"/>
      <c r="F14" s="76"/>
      <c r="G14" s="76"/>
      <c r="H14" s="76"/>
      <c r="I14" s="15"/>
      <c r="J14" s="15"/>
      <c r="K14" s="15"/>
      <c r="L14" s="15"/>
      <c r="M14" s="3"/>
      <c r="N14" s="3"/>
      <c r="O14" s="3"/>
      <c r="P14" s="22"/>
      <c r="Q14" s="3"/>
      <c r="R14" s="22"/>
      <c r="S14" s="22"/>
      <c r="T14" s="22"/>
      <c r="U14" s="22"/>
      <c r="V14" s="22"/>
      <c r="W14" s="22"/>
      <c r="X14" s="22"/>
      <c r="Y14" s="22"/>
      <c r="Z14" s="22"/>
      <c r="AA14" s="22"/>
      <c r="AB14" s="22"/>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15"/>
      <c r="BP14" s="15"/>
      <c r="BQ14" s="15"/>
      <c r="BR14" s="15"/>
      <c r="BS14" s="15"/>
      <c r="BT14" s="15"/>
      <c r="BU14" s="15"/>
      <c r="BV14" s="15"/>
      <c r="BW14" s="15"/>
      <c r="BX14" s="15"/>
      <c r="BY14" s="15"/>
      <c r="BZ14" s="15"/>
      <c r="CA14" s="15"/>
      <c r="CB14" s="15"/>
      <c r="CC14" s="15"/>
      <c r="CD14" s="15"/>
      <c r="CE14" s="15"/>
      <c r="CF14" s="15"/>
      <c r="CG14" s="15"/>
      <c r="CH14" s="15"/>
      <c r="CI14" s="15"/>
      <c r="CJ14" s="29" t="s">
        <v>7</v>
      </c>
      <c r="CK14" s="66" t="s">
        <v>1097</v>
      </c>
    </row>
    <row r="15" spans="1:89" s="5" customFormat="1" ht="18.75" x14ac:dyDescent="0.3">
      <c r="A15" s="55" t="str" cm="1">
        <f t="array" ref="A15:G19">A5:G9</f>
        <v>Time of Day</v>
      </c>
      <c r="B15" s="56" t="str">
        <v>Thursday</v>
      </c>
      <c r="C15" s="56" t="str">
        <v>Saturday</v>
      </c>
      <c r="D15" s="55" t="str">
        <v>Friday</v>
      </c>
      <c r="E15" s="55" t="str">
        <v>Wednesday</v>
      </c>
      <c r="F15" s="55" t="str">
        <v>Monday</v>
      </c>
      <c r="G15" s="55" t="str">
        <v>Tuesday</v>
      </c>
      <c r="H15" s="15"/>
      <c r="I15" s="15"/>
      <c r="J15" s="15"/>
      <c r="K15" s="15"/>
      <c r="L15" s="15"/>
      <c r="M15" s="3"/>
      <c r="N15" s="3"/>
      <c r="O15" s="3"/>
      <c r="P15" s="22"/>
      <c r="Q15" s="3"/>
      <c r="R15" s="22"/>
      <c r="S15" s="22"/>
      <c r="T15" s="22"/>
      <c r="U15" s="22"/>
      <c r="V15" s="22"/>
      <c r="W15" s="22"/>
      <c r="X15" s="22"/>
      <c r="Y15" s="22"/>
      <c r="Z15" s="22"/>
      <c r="AA15" s="22"/>
      <c r="AB15" s="22"/>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15"/>
      <c r="BP15" s="15"/>
      <c r="BQ15" s="15"/>
      <c r="BR15" s="15"/>
      <c r="BS15" s="15"/>
      <c r="BT15" s="15"/>
      <c r="BU15" s="15"/>
      <c r="BV15" s="15"/>
      <c r="BW15" s="15"/>
      <c r="BX15" s="15"/>
      <c r="BY15" s="15"/>
      <c r="BZ15" s="15"/>
      <c r="CA15" s="15"/>
      <c r="CB15" s="15"/>
      <c r="CC15" s="15"/>
      <c r="CD15" s="15"/>
      <c r="CE15" s="15"/>
      <c r="CF15" s="15"/>
      <c r="CG15" s="15"/>
      <c r="CH15" s="15"/>
      <c r="CI15" s="15"/>
      <c r="CJ15" s="15"/>
      <c r="CK15" s="15"/>
    </row>
    <row r="16" spans="1:89" ht="15.75" x14ac:dyDescent="0.25">
      <c r="A16" s="67" t="str">
        <v>Afternoon (12:00–15:59)</v>
      </c>
      <c r="B16" s="68">
        <v>1</v>
      </c>
      <c r="C16" s="68">
        <v>0</v>
      </c>
      <c r="D16" s="68">
        <v>1</v>
      </c>
      <c r="E16" s="68">
        <v>0</v>
      </c>
      <c r="F16" s="68">
        <v>2</v>
      </c>
      <c r="G16" s="68">
        <v>2</v>
      </c>
      <c r="H16"/>
      <c r="O16" s="15"/>
      <c r="P16" s="15"/>
      <c r="Q16" s="15"/>
      <c r="R16" s="15"/>
      <c r="S16" s="15"/>
      <c r="T16" s="15"/>
      <c r="U16" s="15"/>
      <c r="V16" s="15"/>
      <c r="W16" s="15"/>
      <c r="X16" s="15"/>
      <c r="Y16" s="15"/>
      <c r="Z16" s="15"/>
      <c r="AA16" s="22"/>
      <c r="AB16" s="15"/>
      <c r="AC16" s="15"/>
      <c r="AD16" s="15"/>
      <c r="AE16" s="15"/>
      <c r="AF16" s="15"/>
      <c r="AG16" s="15"/>
      <c r="AH16" s="15"/>
      <c r="AI16" s="15"/>
      <c r="AJ16" s="15"/>
      <c r="AK16" s="15"/>
      <c r="AL16" s="15"/>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row>
    <row r="17" spans="1:8" ht="15.75" x14ac:dyDescent="0.25">
      <c r="A17" s="16" t="str">
        <v>Morning Peak (08:00–11:59)</v>
      </c>
      <c r="B17" s="15">
        <v>0</v>
      </c>
      <c r="C17" s="15">
        <v>1</v>
      </c>
      <c r="D17" s="15">
        <v>2</v>
      </c>
      <c r="E17" s="15">
        <v>1</v>
      </c>
      <c r="F17" s="15">
        <v>3</v>
      </c>
      <c r="G17" s="15">
        <v>0</v>
      </c>
      <c r="H17"/>
    </row>
    <row r="18" spans="1:8" ht="15.75" x14ac:dyDescent="0.25">
      <c r="A18" s="57" t="str">
        <v>Early Morning (00:00–03:59)</v>
      </c>
      <c r="B18" s="58">
        <v>0</v>
      </c>
      <c r="C18" s="58">
        <v>0</v>
      </c>
      <c r="D18" s="58">
        <v>0</v>
      </c>
      <c r="E18" s="58">
        <v>1</v>
      </c>
      <c r="F18" s="58">
        <v>1</v>
      </c>
      <c r="G18" s="58">
        <v>0</v>
      </c>
      <c r="H18"/>
    </row>
    <row r="19" spans="1:8" ht="15.75" x14ac:dyDescent="0.25">
      <c r="A19" s="60" t="str">
        <v>Night (20:00–23:59)</v>
      </c>
      <c r="B19" s="61">
        <v>3</v>
      </c>
      <c r="C19" s="61">
        <v>1</v>
      </c>
      <c r="D19" s="61">
        <v>0</v>
      </c>
      <c r="E19" s="61">
        <v>0</v>
      </c>
      <c r="F19" s="61">
        <v>1</v>
      </c>
      <c r="G19" s="61">
        <v>0</v>
      </c>
    </row>
    <row r="20" spans="1:8" ht="15.75" x14ac:dyDescent="0.25">
      <c r="A20" s="16"/>
      <c r="B20" s="15"/>
      <c r="C20" s="15"/>
      <c r="D20" s="15"/>
      <c r="E20" s="15"/>
      <c r="F20" s="15"/>
      <c r="G20" s="15"/>
    </row>
    <row r="21" spans="1:8" ht="15.75" x14ac:dyDescent="0.25">
      <c r="A21" s="16"/>
      <c r="B21" s="15"/>
      <c r="C21" s="15"/>
      <c r="D21" s="15"/>
      <c r="E21" s="15"/>
      <c r="F21" s="15"/>
      <c r="G21" s="15"/>
    </row>
    <row r="23" spans="1:8" x14ac:dyDescent="0.25">
      <c r="A23" s="71" t="s">
        <v>126</v>
      </c>
      <c r="B23" s="3" t="s">
        <v>152</v>
      </c>
    </row>
    <row r="24" spans="1:8" x14ac:dyDescent="0.25">
      <c r="A24" s="71" t="s">
        <v>123</v>
      </c>
      <c r="B24" s="3" t="s">
        <v>1042</v>
      </c>
    </row>
    <row r="26" spans="1:8" x14ac:dyDescent="0.25">
      <c r="A26" s="95" t="s">
        <v>185</v>
      </c>
      <c r="B26" s="95" t="s">
        <v>128</v>
      </c>
      <c r="E26"/>
      <c r="F26"/>
      <c r="G26"/>
    </row>
    <row r="27" spans="1:8" ht="18.75" x14ac:dyDescent="0.3">
      <c r="A27" s="72" t="s">
        <v>4</v>
      </c>
      <c r="B27" s="96" t="s">
        <v>183</v>
      </c>
      <c r="C27" s="96" t="s">
        <v>148</v>
      </c>
      <c r="D27" s="96" t="s">
        <v>247</v>
      </c>
      <c r="E27"/>
      <c r="F27"/>
      <c r="G27"/>
    </row>
    <row r="28" spans="1:8" x14ac:dyDescent="0.25">
      <c r="A28" s="3" t="s">
        <v>146</v>
      </c>
      <c r="B28" s="94">
        <v>1</v>
      </c>
      <c r="C28" s="94">
        <v>1</v>
      </c>
      <c r="D28" s="94"/>
      <c r="E28"/>
      <c r="F28"/>
      <c r="G28"/>
    </row>
    <row r="29" spans="1:8" x14ac:dyDescent="0.25">
      <c r="A29" s="3" t="s">
        <v>168</v>
      </c>
      <c r="B29" s="94"/>
      <c r="C29" s="94"/>
      <c r="D29" s="94">
        <v>2</v>
      </c>
      <c r="E29"/>
      <c r="F29"/>
      <c r="G29"/>
    </row>
    <row r="30" spans="1:8" x14ac:dyDescent="0.25">
      <c r="A30"/>
      <c r="B30"/>
      <c r="C30"/>
      <c r="D30"/>
      <c r="E30"/>
      <c r="F30"/>
      <c r="G30"/>
    </row>
    <row r="31" spans="1:8" x14ac:dyDescent="0.25">
      <c r="A31"/>
      <c r="B31"/>
      <c r="C31"/>
      <c r="D31"/>
      <c r="E31"/>
      <c r="F31"/>
      <c r="G31"/>
    </row>
    <row r="32" spans="1:8" ht="24" x14ac:dyDescent="0.4">
      <c r="A32" s="76" t="s">
        <v>1098</v>
      </c>
      <c r="B32" s="76"/>
      <c r="C32" s="76"/>
      <c r="D32" s="76"/>
      <c r="E32" s="6"/>
      <c r="F32" s="6"/>
      <c r="G32" s="6"/>
      <c r="H32" s="6"/>
    </row>
    <row r="33" spans="1:4" ht="18.75" x14ac:dyDescent="0.3">
      <c r="A33" s="55" t="str" cm="1">
        <f t="array" ref="A33:D35">A27:D29</f>
        <v>Time of Day</v>
      </c>
      <c r="B33" s="56" t="str">
        <v>Monday</v>
      </c>
      <c r="C33" s="56" t="str">
        <v>Tuesday</v>
      </c>
      <c r="D33" s="55" t="str">
        <v>Thursday</v>
      </c>
    </row>
    <row r="34" spans="1:4" ht="15.75" x14ac:dyDescent="0.25">
      <c r="A34" s="67" t="str">
        <v>Afternoon (12:00–15:59)</v>
      </c>
      <c r="B34" s="68">
        <v>1</v>
      </c>
      <c r="C34" s="68">
        <v>1</v>
      </c>
      <c r="D34" s="68">
        <v>0</v>
      </c>
    </row>
    <row r="35" spans="1:4" ht="15.75" x14ac:dyDescent="0.25">
      <c r="A35" s="16" t="str">
        <v>Night (20:00–23:59)</v>
      </c>
      <c r="B35" s="15">
        <v>0</v>
      </c>
      <c r="C35" s="15">
        <v>0</v>
      </c>
      <c r="D35" s="15">
        <v>2</v>
      </c>
    </row>
  </sheetData>
  <mergeCells count="2">
    <mergeCell ref="A14:H14"/>
    <mergeCell ref="A32:D32"/>
  </mergeCells>
  <phoneticPr fontId="9" type="noConversion"/>
  <conditionalFormatting sqref="A2:L5 A30:AP35 A28:A29 E28:AP29 A12:AP27 A6:A11 I6:L11">
    <cfRule type="expression" dxfId="81" priority="1" stopIfTrue="1">
      <formula>$D2="7-Day"</formula>
    </cfRule>
    <cfRule type="expression" dxfId="80" priority="2" stopIfTrue="1">
      <formula>$D2="28-Day"</formula>
    </cfRule>
    <cfRule type="expression" dxfId="79" priority="3" stopIfTrue="1">
      <formula>$D2="YTD"</formula>
    </cfRule>
    <cfRule type="expression" dxfId="78" priority="4" stopIfTrue="1">
      <formula>$D2="Historical"</formula>
    </cfRule>
  </conditionalFormatting>
  <conditionalFormatting sqref="M2:BN11">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r:id="rId3"/>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78986-90B3-41AE-81F6-B4CB0C2C0B55}">
  <sheetPr codeName="Sheet2">
    <tabColor rgb="FF00B050"/>
  </sheetPr>
  <dimension ref="A1:AB38"/>
  <sheetViews>
    <sheetView topLeftCell="A7" workbookViewId="0">
      <selection activeCell="A24" sqref="A24:E31"/>
    </sheetView>
  </sheetViews>
  <sheetFormatPr defaultRowHeight="15" x14ac:dyDescent="0.25"/>
  <cols>
    <col min="1" max="1" width="30" bestFit="1" customWidth="1"/>
    <col min="2" max="2" width="10.5703125" bestFit="1" customWidth="1"/>
    <col min="3" max="3" width="11" bestFit="1" customWidth="1"/>
    <col min="4" max="4" width="11.5703125" bestFit="1" customWidth="1"/>
    <col min="5" max="5" width="12.5703125" bestFit="1" customWidth="1"/>
    <col min="6" max="6" width="12.140625" bestFit="1" customWidth="1"/>
    <col min="7" max="7" width="8.7109375" bestFit="1" customWidth="1"/>
    <col min="8" max="8" width="16" bestFit="1" customWidth="1"/>
    <col min="9" max="9" width="7.7109375" customWidth="1"/>
    <col min="10" max="10" width="35.5703125" bestFit="1" customWidth="1"/>
    <col min="11" max="11" width="24" bestFit="1" customWidth="1"/>
    <col min="12" max="12" width="15.140625" style="14" bestFit="1" customWidth="1"/>
    <col min="13" max="13" width="21.85546875" style="14" bestFit="1" customWidth="1"/>
    <col min="14" max="14" width="30.28515625" style="14" bestFit="1" customWidth="1"/>
    <col min="15" max="15" width="15.28515625" style="62" bestFit="1" customWidth="1"/>
    <col min="16" max="16" width="14.140625" style="14" bestFit="1" customWidth="1"/>
    <col min="17" max="17" width="33.28515625" style="14" bestFit="1" customWidth="1"/>
    <col min="18" max="18" width="31.5703125" style="14" bestFit="1" customWidth="1"/>
    <col min="19" max="19" width="22.28515625" style="14" bestFit="1" customWidth="1"/>
    <col min="20" max="20" width="15" bestFit="1" customWidth="1"/>
    <col min="21" max="21" width="21.7109375" bestFit="1" customWidth="1"/>
    <col min="22" max="22" width="22.7109375" bestFit="1" customWidth="1"/>
    <col min="23" max="23" width="31.42578125" bestFit="1" customWidth="1"/>
    <col min="24" max="24" width="18.85546875" bestFit="1" customWidth="1"/>
    <col min="25" max="25" width="26.7109375" bestFit="1" customWidth="1"/>
    <col min="26" max="26" width="19.7109375" bestFit="1" customWidth="1"/>
    <col min="27" max="27" width="22.140625" bestFit="1" customWidth="1"/>
    <col min="28" max="28" width="109" style="14" customWidth="1"/>
    <col min="44" max="44" width="25.140625" bestFit="1" customWidth="1"/>
    <col min="45" max="45" width="15.140625" bestFit="1" customWidth="1"/>
    <col min="46" max="46" width="15.5703125" bestFit="1" customWidth="1"/>
    <col min="47" max="47" width="24.5703125" bestFit="1" customWidth="1"/>
    <col min="48" max="48" width="24.85546875" bestFit="1" customWidth="1"/>
    <col min="49" max="49" width="13.85546875" bestFit="1" customWidth="1"/>
    <col min="50" max="50" width="14.140625" bestFit="1" customWidth="1"/>
    <col min="51" max="51" width="7.28515625" bestFit="1" customWidth="1"/>
    <col min="52" max="52" width="15.42578125" bestFit="1" customWidth="1"/>
    <col min="53" max="53" width="17.42578125" bestFit="1" customWidth="1"/>
    <col min="54" max="54" width="6.5703125" bestFit="1" customWidth="1"/>
    <col min="55" max="55" width="13.28515625" bestFit="1" customWidth="1"/>
    <col min="56" max="56" width="22.7109375" bestFit="1" customWidth="1"/>
    <col min="57" max="57" width="6" bestFit="1" customWidth="1"/>
  </cols>
  <sheetData>
    <row r="1" spans="1:28" ht="19.5" thickBot="1" x14ac:dyDescent="0.35">
      <c r="A1" s="71" t="s">
        <v>126</v>
      </c>
      <c r="B1" s="3" t="s">
        <v>1042</v>
      </c>
      <c r="C1" s="3"/>
      <c r="D1" s="3"/>
      <c r="E1" s="3"/>
      <c r="F1" s="3"/>
      <c r="L1"/>
      <c r="M1"/>
      <c r="N1" s="7" t="s">
        <v>1045</v>
      </c>
      <c r="O1" s="12" t="s">
        <v>2</v>
      </c>
      <c r="P1" s="7" t="s">
        <v>3</v>
      </c>
      <c r="Q1" s="7" t="s">
        <v>1061</v>
      </c>
      <c r="R1" s="7" t="s">
        <v>1099</v>
      </c>
      <c r="S1" s="7" t="s">
        <v>1100</v>
      </c>
      <c r="T1" s="7" t="s">
        <v>1076</v>
      </c>
      <c r="U1" s="7" t="s">
        <v>1101</v>
      </c>
      <c r="V1" s="7" t="s">
        <v>1088</v>
      </c>
      <c r="W1" s="7" t="s">
        <v>1090</v>
      </c>
      <c r="X1" s="7" t="s">
        <v>1092</v>
      </c>
      <c r="Y1" s="7" t="s">
        <v>1094</v>
      </c>
      <c r="Z1" s="7" t="s">
        <v>1102</v>
      </c>
      <c r="AA1" s="7" t="s">
        <v>1095</v>
      </c>
      <c r="AB1" s="18" t="s">
        <v>7</v>
      </c>
    </row>
    <row r="2" spans="1:28" ht="18.75" x14ac:dyDescent="0.3">
      <c r="A2" s="71" t="s">
        <v>123</v>
      </c>
      <c r="B2" s="3" t="s">
        <v>1042</v>
      </c>
      <c r="C2" s="3"/>
      <c r="D2" s="3"/>
      <c r="E2" s="3"/>
      <c r="F2" s="3"/>
      <c r="J2" s="30" t="s">
        <v>1045</v>
      </c>
      <c r="K2" s="43" t="s">
        <v>30</v>
      </c>
      <c r="L2"/>
      <c r="M2"/>
      <c r="N2" s="22"/>
      <c r="O2" s="21"/>
      <c r="P2" s="20"/>
      <c r="Q2" s="20"/>
      <c r="R2" s="22"/>
      <c r="S2" s="22"/>
      <c r="T2" s="22"/>
      <c r="U2" s="22"/>
      <c r="V2" s="22"/>
      <c r="W2" s="22"/>
      <c r="X2" s="22"/>
      <c r="Y2" s="22"/>
      <c r="Z2" s="22"/>
      <c r="AA2" s="22"/>
      <c r="AB2" s="27"/>
    </row>
    <row r="3" spans="1:28" ht="18.75" x14ac:dyDescent="0.3">
      <c r="A3" s="3"/>
      <c r="B3" s="3"/>
      <c r="C3" s="3"/>
      <c r="D3" s="3"/>
      <c r="E3" s="3"/>
      <c r="F3" s="3"/>
      <c r="H3" s="3"/>
      <c r="I3" s="3"/>
      <c r="J3" s="31" t="s">
        <v>2</v>
      </c>
      <c r="K3" s="44">
        <v>45748</v>
      </c>
    </row>
    <row r="4" spans="1:28" s="17" customFormat="1" ht="18.75" x14ac:dyDescent="0.3">
      <c r="A4" s="97" t="s">
        <v>185</v>
      </c>
      <c r="B4" s="97" t="s">
        <v>128</v>
      </c>
      <c r="C4" s="98"/>
      <c r="D4" s="98"/>
      <c r="E4" s="98"/>
      <c r="F4" s="98"/>
      <c r="G4" s="98"/>
      <c r="H4" s="98"/>
      <c r="I4"/>
      <c r="J4" s="32" t="s">
        <v>3</v>
      </c>
      <c r="K4" s="45" t="s">
        <v>25</v>
      </c>
      <c r="O4" s="63"/>
      <c r="AB4" s="65"/>
    </row>
    <row r="5" spans="1:28" ht="18.75" x14ac:dyDescent="0.3">
      <c r="A5" s="72" t="s">
        <v>4</v>
      </c>
      <c r="B5" s="4" t="s">
        <v>311</v>
      </c>
      <c r="C5" s="4" t="s">
        <v>183</v>
      </c>
      <c r="D5" s="4" t="s">
        <v>148</v>
      </c>
      <c r="E5" s="4" t="s">
        <v>247</v>
      </c>
      <c r="F5" s="4" t="s">
        <v>292</v>
      </c>
      <c r="G5" s="4" t="s">
        <v>170</v>
      </c>
      <c r="H5" s="4" t="s">
        <v>239</v>
      </c>
      <c r="J5" s="32" t="s">
        <v>1061</v>
      </c>
      <c r="K5" s="46" t="s">
        <v>10</v>
      </c>
      <c r="M5"/>
      <c r="N5" t="s">
        <v>1045</v>
      </c>
      <c r="O5" s="64" t="s">
        <v>2</v>
      </c>
      <c r="P5" t="s">
        <v>3</v>
      </c>
      <c r="Q5" t="s">
        <v>1061</v>
      </c>
      <c r="R5" t="s">
        <v>1099</v>
      </c>
      <c r="S5" t="s">
        <v>1100</v>
      </c>
      <c r="T5" t="s">
        <v>1076</v>
      </c>
      <c r="U5" t="s">
        <v>1101</v>
      </c>
      <c r="V5" t="s">
        <v>1088</v>
      </c>
      <c r="W5" t="s">
        <v>1090</v>
      </c>
      <c r="X5" t="s">
        <v>1092</v>
      </c>
      <c r="Y5" t="s">
        <v>1094</v>
      </c>
      <c r="Z5" t="s">
        <v>1102</v>
      </c>
      <c r="AA5" t="s">
        <v>1095</v>
      </c>
      <c r="AB5" s="14" t="s">
        <v>7</v>
      </c>
    </row>
    <row r="6" spans="1:28" ht="18.75" x14ac:dyDescent="0.3">
      <c r="A6" s="16" t="s">
        <v>168</v>
      </c>
      <c r="B6" s="99">
        <v>1</v>
      </c>
      <c r="C6" s="99">
        <v>1</v>
      </c>
      <c r="D6" s="99">
        <v>1</v>
      </c>
      <c r="E6" s="99">
        <v>1</v>
      </c>
      <c r="F6" s="99"/>
      <c r="G6" s="99">
        <v>3</v>
      </c>
      <c r="H6" s="99">
        <v>1</v>
      </c>
      <c r="J6" s="31" t="s">
        <v>1099</v>
      </c>
      <c r="K6" s="44" t="s">
        <v>1103</v>
      </c>
      <c r="M6"/>
      <c r="N6"/>
      <c r="O6" s="64"/>
      <c r="P6"/>
      <c r="Q6"/>
      <c r="R6"/>
      <c r="S6"/>
    </row>
    <row r="7" spans="1:28" ht="18.75" x14ac:dyDescent="0.3">
      <c r="A7" s="16" t="s">
        <v>146</v>
      </c>
      <c r="B7" s="99">
        <v>1</v>
      </c>
      <c r="C7" s="99">
        <v>3</v>
      </c>
      <c r="D7" s="99">
        <v>3</v>
      </c>
      <c r="E7" s="99"/>
      <c r="F7" s="99">
        <v>1</v>
      </c>
      <c r="G7" s="99">
        <v>2</v>
      </c>
      <c r="H7" s="99">
        <v>2</v>
      </c>
      <c r="J7" s="32" t="s">
        <v>1100</v>
      </c>
      <c r="K7" s="46" t="s">
        <v>1104</v>
      </c>
      <c r="M7"/>
      <c r="N7"/>
      <c r="O7" s="64"/>
      <c r="P7"/>
      <c r="Q7"/>
      <c r="R7"/>
      <c r="S7"/>
    </row>
    <row r="8" spans="1:28" ht="18.75" x14ac:dyDescent="0.3">
      <c r="A8" s="16" t="s">
        <v>266</v>
      </c>
      <c r="B8" s="99">
        <v>3</v>
      </c>
      <c r="C8" s="99">
        <v>5</v>
      </c>
      <c r="D8" s="99">
        <v>2</v>
      </c>
      <c r="E8" s="99">
        <v>1</v>
      </c>
      <c r="F8" s="99">
        <v>2</v>
      </c>
      <c r="G8" s="99"/>
      <c r="H8" s="99"/>
      <c r="J8" s="31" t="s">
        <v>1076</v>
      </c>
      <c r="K8" s="44"/>
      <c r="M8"/>
      <c r="N8"/>
      <c r="O8" s="64"/>
      <c r="P8"/>
      <c r="Q8"/>
      <c r="R8"/>
      <c r="S8"/>
    </row>
    <row r="9" spans="1:28" ht="18.75" x14ac:dyDescent="0.3">
      <c r="A9" s="16" t="s">
        <v>276</v>
      </c>
      <c r="B9" s="99"/>
      <c r="C9" s="99">
        <v>2</v>
      </c>
      <c r="D9" s="99">
        <v>1</v>
      </c>
      <c r="E9" s="99"/>
      <c r="F9" s="99">
        <v>2</v>
      </c>
      <c r="G9" s="99"/>
      <c r="H9" s="99">
        <v>2</v>
      </c>
      <c r="J9" s="31" t="s">
        <v>1088</v>
      </c>
      <c r="K9" s="44" t="s">
        <v>937</v>
      </c>
      <c r="M9"/>
      <c r="N9"/>
      <c r="O9" s="64"/>
      <c r="P9"/>
      <c r="Q9"/>
      <c r="R9"/>
      <c r="S9"/>
    </row>
    <row r="10" spans="1:28" ht="18.75" x14ac:dyDescent="0.25">
      <c r="A10" s="16" t="s">
        <v>343</v>
      </c>
      <c r="B10" s="99">
        <v>1</v>
      </c>
      <c r="C10" s="99"/>
      <c r="D10" s="99">
        <v>1</v>
      </c>
      <c r="E10" s="99"/>
      <c r="F10" s="99">
        <v>2</v>
      </c>
      <c r="G10" s="99"/>
      <c r="H10" s="99"/>
      <c r="J10" s="33" t="s">
        <v>1090</v>
      </c>
      <c r="K10" s="47" t="s">
        <v>937</v>
      </c>
      <c r="R10"/>
    </row>
    <row r="11" spans="1:28" ht="18.75" x14ac:dyDescent="0.3">
      <c r="A11" s="16" t="s">
        <v>385</v>
      </c>
      <c r="B11" s="99">
        <v>2</v>
      </c>
      <c r="C11" s="99"/>
      <c r="D11" s="99">
        <v>1</v>
      </c>
      <c r="E11" s="99">
        <v>2</v>
      </c>
      <c r="F11" s="99">
        <v>1</v>
      </c>
      <c r="G11" s="99">
        <v>2</v>
      </c>
      <c r="H11" s="99">
        <v>1</v>
      </c>
      <c r="J11" s="31" t="s">
        <v>1092</v>
      </c>
      <c r="K11" s="44" t="s">
        <v>1105</v>
      </c>
      <c r="R11"/>
    </row>
    <row r="12" spans="1:28" ht="18.75" x14ac:dyDescent="0.3">
      <c r="J12" s="32" t="s">
        <v>1094</v>
      </c>
      <c r="K12" s="46" t="s">
        <v>1106</v>
      </c>
      <c r="R12"/>
    </row>
    <row r="13" spans="1:28" ht="18.75" x14ac:dyDescent="0.3">
      <c r="J13" s="31" t="s">
        <v>1102</v>
      </c>
      <c r="K13" s="48" t="s">
        <v>1107</v>
      </c>
      <c r="R13"/>
    </row>
    <row r="14" spans="1:28" ht="18.75" x14ac:dyDescent="0.3">
      <c r="J14" s="49" t="s">
        <v>1095</v>
      </c>
      <c r="K14" s="50" t="s">
        <v>1096</v>
      </c>
      <c r="R14"/>
    </row>
    <row r="15" spans="1:28" ht="19.5" thickBot="1" x14ac:dyDescent="0.35">
      <c r="J15" s="51" t="s">
        <v>7</v>
      </c>
      <c r="K15" s="52"/>
      <c r="R15"/>
    </row>
    <row r="16" spans="1:28" ht="24" x14ac:dyDescent="0.4">
      <c r="A16" s="77" t="s">
        <v>169</v>
      </c>
      <c r="B16" s="77"/>
      <c r="C16" s="77"/>
      <c r="D16" s="77"/>
      <c r="E16" s="77"/>
      <c r="F16" s="77"/>
      <c r="G16" s="77"/>
      <c r="H16" s="6"/>
      <c r="R16"/>
    </row>
    <row r="17" spans="1:7" ht="18.75" x14ac:dyDescent="0.3">
      <c r="A17" s="55" t="str" cm="1">
        <f t="array" ref="A17:G21">A5:G9</f>
        <v>Time of Day</v>
      </c>
      <c r="B17" s="56" t="str">
        <v>Sunday</v>
      </c>
      <c r="C17" s="56" t="str">
        <v>Monday</v>
      </c>
      <c r="D17" s="56" t="str">
        <v>Tuesday</v>
      </c>
      <c r="E17" s="56" t="str">
        <v>Thursday</v>
      </c>
      <c r="F17" s="56" t="str">
        <v>Saturday</v>
      </c>
      <c r="G17" s="55" t="str">
        <v>Friday</v>
      </c>
    </row>
    <row r="18" spans="1:7" ht="15.75" x14ac:dyDescent="0.25">
      <c r="A18" s="57" t="str">
        <v>Night (20:00–23:59)</v>
      </c>
      <c r="B18" s="58">
        <v>1</v>
      </c>
      <c r="C18" s="58">
        <v>1</v>
      </c>
      <c r="D18" s="58">
        <v>1</v>
      </c>
      <c r="E18" s="59">
        <v>1</v>
      </c>
      <c r="F18" s="58">
        <v>0</v>
      </c>
      <c r="G18" s="58">
        <v>3</v>
      </c>
    </row>
    <row r="19" spans="1:7" ht="15.75" x14ac:dyDescent="0.25">
      <c r="A19" s="16" t="str">
        <v>Afternoon (12:00–15:59)</v>
      </c>
      <c r="B19" s="15">
        <v>1</v>
      </c>
      <c r="C19" s="15">
        <v>3</v>
      </c>
      <c r="D19" s="15">
        <v>3</v>
      </c>
      <c r="E19">
        <v>0</v>
      </c>
      <c r="F19" s="15">
        <v>1</v>
      </c>
      <c r="G19" s="15">
        <v>2</v>
      </c>
    </row>
    <row r="20" spans="1:7" ht="15.75" x14ac:dyDescent="0.25">
      <c r="A20" s="57" t="str">
        <v>Evening Peak (16:00–19:59)</v>
      </c>
      <c r="B20" s="58">
        <v>3</v>
      </c>
      <c r="C20" s="58">
        <v>5</v>
      </c>
      <c r="D20" s="58">
        <v>2</v>
      </c>
      <c r="E20" s="59">
        <v>1</v>
      </c>
      <c r="F20" s="58">
        <v>2</v>
      </c>
      <c r="G20" s="58">
        <v>0</v>
      </c>
    </row>
    <row r="21" spans="1:7" ht="15.75" x14ac:dyDescent="0.25">
      <c r="A21" s="60" t="str">
        <v>Morning Peak (08:00–11:59)</v>
      </c>
      <c r="B21" s="61">
        <v>0</v>
      </c>
      <c r="C21" s="61">
        <v>2</v>
      </c>
      <c r="D21" s="61">
        <v>1</v>
      </c>
      <c r="E21" s="54">
        <v>0</v>
      </c>
      <c r="F21" s="61">
        <v>2</v>
      </c>
      <c r="G21" s="61">
        <v>0</v>
      </c>
    </row>
    <row r="24" spans="1:7" ht="30" x14ac:dyDescent="0.25">
      <c r="A24" s="71" t="s">
        <v>126</v>
      </c>
      <c r="B24" s="73" t="s">
        <v>152</v>
      </c>
      <c r="C24" s="3"/>
      <c r="D24" s="3"/>
      <c r="E24" s="3"/>
      <c r="F24" s="3"/>
    </row>
    <row r="25" spans="1:7" x14ac:dyDescent="0.25">
      <c r="A25" s="71" t="s">
        <v>123</v>
      </c>
      <c r="B25" s="3" t="s">
        <v>1042</v>
      </c>
      <c r="C25" s="3"/>
      <c r="D25" s="3"/>
      <c r="E25" s="3"/>
      <c r="F25" s="3"/>
    </row>
    <row r="26" spans="1:7" x14ac:dyDescent="0.25">
      <c r="A26" s="3"/>
      <c r="B26" s="3"/>
      <c r="C26" s="3"/>
      <c r="D26" s="3"/>
      <c r="E26" s="3"/>
      <c r="F26" s="3"/>
    </row>
    <row r="27" spans="1:7" x14ac:dyDescent="0.25">
      <c r="A27" s="97" t="s">
        <v>185</v>
      </c>
      <c r="B27" s="97" t="s">
        <v>128</v>
      </c>
      <c r="C27" s="98"/>
      <c r="D27" s="98"/>
      <c r="E27" s="98"/>
    </row>
    <row r="28" spans="1:7" ht="18.75" x14ac:dyDescent="0.3">
      <c r="A28" s="72" t="s">
        <v>4</v>
      </c>
      <c r="B28" s="4" t="s">
        <v>311</v>
      </c>
      <c r="C28" s="4" t="s">
        <v>183</v>
      </c>
      <c r="D28" s="4" t="s">
        <v>148</v>
      </c>
      <c r="E28" s="4" t="s">
        <v>239</v>
      </c>
    </row>
    <row r="29" spans="1:7" ht="15.75" x14ac:dyDescent="0.25">
      <c r="A29" s="16" t="s">
        <v>168</v>
      </c>
      <c r="B29" s="99"/>
      <c r="C29" s="99">
        <v>1</v>
      </c>
      <c r="D29" s="99">
        <v>1</v>
      </c>
      <c r="E29" s="99">
        <v>1</v>
      </c>
    </row>
    <row r="30" spans="1:7" ht="15.75" x14ac:dyDescent="0.25">
      <c r="A30" s="16" t="s">
        <v>266</v>
      </c>
      <c r="B30" s="99"/>
      <c r="C30" s="99">
        <v>2</v>
      </c>
      <c r="D30" s="99"/>
      <c r="E30" s="99"/>
    </row>
    <row r="31" spans="1:7" ht="15.75" x14ac:dyDescent="0.25">
      <c r="A31" s="16" t="s">
        <v>385</v>
      </c>
      <c r="B31" s="99">
        <v>1</v>
      </c>
      <c r="C31" s="99"/>
      <c r="D31" s="99"/>
      <c r="E31" s="99"/>
    </row>
    <row r="34" spans="1:5" ht="24" x14ac:dyDescent="0.4">
      <c r="A34" s="77" t="s">
        <v>1098</v>
      </c>
      <c r="B34" s="77"/>
      <c r="C34" s="77"/>
      <c r="D34" s="77"/>
      <c r="E34" s="77"/>
    </row>
    <row r="35" spans="1:5" ht="18.75" x14ac:dyDescent="0.3">
      <c r="A35" s="55" t="str" cm="1">
        <f t="array" ref="A35:E38">A28:E31</f>
        <v>Time of Day</v>
      </c>
      <c r="B35" s="56" t="str">
        <v>Sunday</v>
      </c>
      <c r="C35" s="56" t="str">
        <v>Monday</v>
      </c>
      <c r="D35" s="56" t="str">
        <v>Tuesday</v>
      </c>
      <c r="E35" s="56" t="str">
        <v>Wednesday</v>
      </c>
    </row>
    <row r="36" spans="1:5" ht="15.75" x14ac:dyDescent="0.25">
      <c r="A36" s="57" t="str">
        <v>Night (20:00–23:59)</v>
      </c>
      <c r="B36" s="58">
        <v>0</v>
      </c>
      <c r="C36" s="58">
        <v>1</v>
      </c>
      <c r="D36" s="58">
        <v>1</v>
      </c>
      <c r="E36" s="59">
        <v>1</v>
      </c>
    </row>
    <row r="37" spans="1:5" ht="15.75" x14ac:dyDescent="0.25">
      <c r="A37" s="16" t="str">
        <v>Evening Peak (16:00–19:59)</v>
      </c>
      <c r="B37" s="15">
        <v>0</v>
      </c>
      <c r="C37" s="15">
        <v>2</v>
      </c>
      <c r="D37" s="15">
        <v>0</v>
      </c>
      <c r="E37">
        <v>0</v>
      </c>
    </row>
    <row r="38" spans="1:5" ht="15.75" x14ac:dyDescent="0.25">
      <c r="A38" s="57" t="str">
        <v>Morning (04:00–07:59)</v>
      </c>
      <c r="B38" s="58">
        <v>1</v>
      </c>
      <c r="C38" s="58">
        <v>0</v>
      </c>
      <c r="D38" s="58">
        <v>0</v>
      </c>
      <c r="E38" s="59">
        <v>0</v>
      </c>
    </row>
  </sheetData>
  <mergeCells count="2">
    <mergeCell ref="A16:G16"/>
    <mergeCell ref="A34:E34"/>
  </mergeCells>
  <phoneticPr fontId="9" type="noConversion"/>
  <conditionalFormatting sqref="A2:AP5 A12:AP28 A6:A11 I6:AP11 A32:AP38 A29:A31 F29:AP31">
    <cfRule type="expression" dxfId="77" priority="1" stopIfTrue="1">
      <formula>$D2="7-Day"</formula>
    </cfRule>
    <cfRule type="expression" dxfId="76" priority="2" stopIfTrue="1">
      <formula>$D2="28-Day"</formula>
    </cfRule>
    <cfRule type="expression" dxfId="75" priority="3" stopIfTrue="1">
      <formula>$D2="YTD"</formula>
    </cfRule>
    <cfRule type="expression" dxfId="74" priority="4" stopIfTrue="1">
      <formula>$D2="Historical"</formula>
    </cfRule>
  </conditionalFormatting>
  <pageMargins left="0.7" right="0.7" top="0.75" bottom="0.75" header="0.3" footer="0.3"/>
  <pageSetup orientation="portrait"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B9E3C-3CB3-4500-8AA0-26E5D0E1A8C0}">
  <sheetPr codeName="Sheet34"/>
  <dimension ref="A1:G53"/>
  <sheetViews>
    <sheetView workbookViewId="0">
      <selection activeCell="F15" sqref="F15"/>
    </sheetView>
  </sheetViews>
  <sheetFormatPr defaultRowHeight="15" x14ac:dyDescent="0.25"/>
  <cols>
    <col min="1" max="1" width="18.28515625" bestFit="1" customWidth="1"/>
    <col min="2" max="2" width="13.42578125" bestFit="1" customWidth="1"/>
    <col min="3" max="3" width="12.7109375" bestFit="1" customWidth="1"/>
    <col min="4" max="4" width="14.42578125" bestFit="1" customWidth="1"/>
    <col min="5" max="5" width="13.7109375" bestFit="1" customWidth="1"/>
    <col min="6" max="6" width="14.85546875" bestFit="1" customWidth="1"/>
  </cols>
  <sheetData>
    <row r="1" spans="1:7" x14ac:dyDescent="0.25">
      <c r="A1" t="s">
        <v>35</v>
      </c>
      <c r="B1" t="s">
        <v>36</v>
      </c>
      <c r="C1" t="s">
        <v>37</v>
      </c>
      <c r="D1" t="s">
        <v>38</v>
      </c>
      <c r="E1" t="s">
        <v>39</v>
      </c>
      <c r="F1" t="s">
        <v>40</v>
      </c>
      <c r="G1" t="s">
        <v>41</v>
      </c>
    </row>
    <row r="2" spans="1:7" x14ac:dyDescent="0.25">
      <c r="A2" s="1">
        <v>45664</v>
      </c>
      <c r="B2" s="1">
        <v>45657</v>
      </c>
      <c r="C2" s="1">
        <v>45663</v>
      </c>
      <c r="D2" s="1">
        <v>45636</v>
      </c>
      <c r="E2" s="1">
        <v>45663</v>
      </c>
      <c r="F2" t="s">
        <v>42</v>
      </c>
      <c r="G2" t="b">
        <v>0</v>
      </c>
    </row>
    <row r="3" spans="1:7" x14ac:dyDescent="0.25">
      <c r="A3" s="1">
        <v>45671</v>
      </c>
      <c r="B3" s="1">
        <v>45664</v>
      </c>
      <c r="C3" s="1">
        <v>45670</v>
      </c>
      <c r="D3" s="1">
        <v>45643</v>
      </c>
      <c r="E3" s="1">
        <v>45670</v>
      </c>
      <c r="F3" t="s">
        <v>43</v>
      </c>
      <c r="G3" t="b">
        <v>0</v>
      </c>
    </row>
    <row r="4" spans="1:7" x14ac:dyDescent="0.25">
      <c r="A4" s="1">
        <v>45678</v>
      </c>
      <c r="B4" s="1">
        <v>45671</v>
      </c>
      <c r="C4" s="1">
        <v>45677</v>
      </c>
      <c r="D4" s="1">
        <v>45650</v>
      </c>
      <c r="E4" s="1">
        <v>45677</v>
      </c>
      <c r="F4" t="s">
        <v>44</v>
      </c>
      <c r="G4" t="b">
        <v>0</v>
      </c>
    </row>
    <row r="5" spans="1:7" x14ac:dyDescent="0.25">
      <c r="A5" s="1">
        <v>45685</v>
      </c>
      <c r="B5" s="1">
        <v>45678</v>
      </c>
      <c r="C5" s="1">
        <v>45684</v>
      </c>
      <c r="D5" s="1">
        <v>45657</v>
      </c>
      <c r="E5" s="1">
        <v>45684</v>
      </c>
      <c r="F5" t="s">
        <v>45</v>
      </c>
      <c r="G5" t="b">
        <v>0</v>
      </c>
    </row>
    <row r="6" spans="1:7" x14ac:dyDescent="0.25">
      <c r="A6" s="1">
        <v>45692</v>
      </c>
      <c r="B6" s="1">
        <v>45685</v>
      </c>
      <c r="C6" s="1">
        <v>45691</v>
      </c>
      <c r="D6" s="1">
        <v>45664</v>
      </c>
      <c r="E6" s="1">
        <v>45691</v>
      </c>
      <c r="F6" t="s">
        <v>46</v>
      </c>
      <c r="G6" t="b">
        <v>0</v>
      </c>
    </row>
    <row r="7" spans="1:7" x14ac:dyDescent="0.25">
      <c r="A7" s="1">
        <v>45699</v>
      </c>
      <c r="B7" s="1">
        <v>45692</v>
      </c>
      <c r="C7" s="1">
        <v>45698</v>
      </c>
      <c r="D7" s="1">
        <v>45671</v>
      </c>
      <c r="E7" s="1">
        <v>45698</v>
      </c>
      <c r="F7" t="s">
        <v>47</v>
      </c>
      <c r="G7" t="b">
        <v>0</v>
      </c>
    </row>
    <row r="8" spans="1:7" x14ac:dyDescent="0.25">
      <c r="A8" s="1">
        <v>45706</v>
      </c>
      <c r="B8" s="1">
        <v>45699</v>
      </c>
      <c r="C8" s="1">
        <v>45705</v>
      </c>
      <c r="D8" s="1">
        <v>45678</v>
      </c>
      <c r="E8" s="1">
        <v>45705</v>
      </c>
      <c r="F8" t="s">
        <v>48</v>
      </c>
      <c r="G8" t="b">
        <v>0</v>
      </c>
    </row>
    <row r="9" spans="1:7" x14ac:dyDescent="0.25">
      <c r="A9" s="1">
        <v>45713</v>
      </c>
      <c r="B9" s="1">
        <v>45706</v>
      </c>
      <c r="C9" s="1">
        <v>45712</v>
      </c>
      <c r="D9" s="1">
        <v>45685</v>
      </c>
      <c r="E9" s="1">
        <v>45712</v>
      </c>
      <c r="F9" t="s">
        <v>49</v>
      </c>
      <c r="G9" t="b">
        <v>0</v>
      </c>
    </row>
    <row r="10" spans="1:7" x14ac:dyDescent="0.25">
      <c r="A10" s="1">
        <v>45720</v>
      </c>
      <c r="B10" s="1">
        <v>45713</v>
      </c>
      <c r="C10" s="1">
        <v>45719</v>
      </c>
      <c r="D10" s="1">
        <v>45692</v>
      </c>
      <c r="E10" s="1">
        <v>45719</v>
      </c>
      <c r="F10" t="s">
        <v>50</v>
      </c>
      <c r="G10" t="b">
        <v>0</v>
      </c>
    </row>
    <row r="11" spans="1:7" x14ac:dyDescent="0.25">
      <c r="A11" s="1">
        <v>45727</v>
      </c>
      <c r="B11" s="1">
        <v>45720</v>
      </c>
      <c r="C11" s="1">
        <v>45726</v>
      </c>
      <c r="D11" s="1">
        <v>45699</v>
      </c>
      <c r="E11" s="1">
        <v>45726</v>
      </c>
      <c r="F11" t="s">
        <v>51</v>
      </c>
      <c r="G11" t="b">
        <v>0</v>
      </c>
    </row>
    <row r="12" spans="1:7" x14ac:dyDescent="0.25">
      <c r="A12" s="1">
        <v>45734</v>
      </c>
      <c r="B12" s="1">
        <v>45727</v>
      </c>
      <c r="C12" s="1">
        <v>45733</v>
      </c>
      <c r="D12" s="1">
        <v>45706</v>
      </c>
      <c r="E12" s="1">
        <v>45733</v>
      </c>
      <c r="F12" t="s">
        <v>52</v>
      </c>
      <c r="G12" t="b">
        <v>0</v>
      </c>
    </row>
    <row r="13" spans="1:7" x14ac:dyDescent="0.25">
      <c r="A13" s="1">
        <v>45741</v>
      </c>
      <c r="B13" s="1">
        <v>45734</v>
      </c>
      <c r="C13" s="1">
        <v>45740</v>
      </c>
      <c r="D13" s="1">
        <v>45713</v>
      </c>
      <c r="E13" s="1">
        <v>45740</v>
      </c>
      <c r="F13" t="s">
        <v>53</v>
      </c>
      <c r="G13" t="b">
        <v>0</v>
      </c>
    </row>
    <row r="14" spans="1:7" x14ac:dyDescent="0.25">
      <c r="A14" s="1">
        <v>45748</v>
      </c>
      <c r="B14" s="1">
        <v>45741</v>
      </c>
      <c r="C14" s="1">
        <v>45747</v>
      </c>
      <c r="D14" s="1">
        <v>45720</v>
      </c>
      <c r="E14" s="1">
        <v>45747</v>
      </c>
      <c r="F14" t="s">
        <v>54</v>
      </c>
      <c r="G14" t="b">
        <v>0</v>
      </c>
    </row>
    <row r="15" spans="1:7" x14ac:dyDescent="0.25">
      <c r="A15" s="1">
        <v>45755</v>
      </c>
      <c r="B15" s="1">
        <v>45748</v>
      </c>
      <c r="C15" s="1">
        <v>45754</v>
      </c>
      <c r="D15" s="1">
        <v>45727</v>
      </c>
      <c r="E15" s="1">
        <v>45754</v>
      </c>
      <c r="F15" t="s">
        <v>55</v>
      </c>
      <c r="G15" t="b">
        <v>0</v>
      </c>
    </row>
    <row r="16" spans="1:7" x14ac:dyDescent="0.25">
      <c r="A16" s="1">
        <v>45762</v>
      </c>
      <c r="B16" s="1">
        <v>45755</v>
      </c>
      <c r="C16" s="1">
        <v>45761</v>
      </c>
      <c r="D16" s="1">
        <v>45734</v>
      </c>
      <c r="E16" s="1">
        <v>45761</v>
      </c>
      <c r="F16" t="s">
        <v>56</v>
      </c>
      <c r="G16" t="b">
        <v>0</v>
      </c>
    </row>
    <row r="17" spans="1:7" x14ac:dyDescent="0.25">
      <c r="A17" s="1">
        <v>45769</v>
      </c>
      <c r="B17" s="1">
        <v>45762</v>
      </c>
      <c r="C17" s="1">
        <v>45768</v>
      </c>
      <c r="D17" s="1">
        <v>45741</v>
      </c>
      <c r="E17" s="1">
        <v>45768</v>
      </c>
      <c r="F17" t="s">
        <v>57</v>
      </c>
      <c r="G17" t="b">
        <v>1</v>
      </c>
    </row>
    <row r="18" spans="1:7" x14ac:dyDescent="0.25">
      <c r="A18" s="1">
        <v>45776</v>
      </c>
      <c r="B18" s="1">
        <v>45769</v>
      </c>
      <c r="C18" s="1">
        <v>45775</v>
      </c>
      <c r="D18" s="1">
        <v>45748</v>
      </c>
      <c r="E18" s="1">
        <v>45775</v>
      </c>
      <c r="F18" t="s">
        <v>58</v>
      </c>
      <c r="G18" t="b">
        <v>0</v>
      </c>
    </row>
    <row r="19" spans="1:7" x14ac:dyDescent="0.25">
      <c r="A19" s="1">
        <v>45783</v>
      </c>
      <c r="B19" s="1">
        <v>45776</v>
      </c>
      <c r="C19" s="1">
        <v>45782</v>
      </c>
      <c r="D19" s="1">
        <v>45755</v>
      </c>
      <c r="E19" s="1">
        <v>45782</v>
      </c>
      <c r="F19" t="s">
        <v>59</v>
      </c>
      <c r="G19" t="b">
        <v>0</v>
      </c>
    </row>
    <row r="20" spans="1:7" x14ac:dyDescent="0.25">
      <c r="A20" s="1">
        <v>45790</v>
      </c>
      <c r="B20" s="1">
        <v>45783</v>
      </c>
      <c r="C20" s="1">
        <v>45789</v>
      </c>
      <c r="D20" s="1">
        <v>45762</v>
      </c>
      <c r="E20" s="1">
        <v>45789</v>
      </c>
      <c r="F20" t="s">
        <v>60</v>
      </c>
      <c r="G20" t="b">
        <v>0</v>
      </c>
    </row>
    <row r="21" spans="1:7" x14ac:dyDescent="0.25">
      <c r="A21" s="1">
        <v>45797</v>
      </c>
      <c r="B21" s="1">
        <v>45790</v>
      </c>
      <c r="C21" s="1">
        <v>45796</v>
      </c>
      <c r="D21" s="1">
        <v>45769</v>
      </c>
      <c r="E21" s="1">
        <v>45796</v>
      </c>
      <c r="F21" t="s">
        <v>61</v>
      </c>
      <c r="G21" t="b">
        <v>0</v>
      </c>
    </row>
    <row r="22" spans="1:7" x14ac:dyDescent="0.25">
      <c r="A22" s="1">
        <v>45804</v>
      </c>
      <c r="B22" s="1">
        <v>45797</v>
      </c>
      <c r="C22" s="1">
        <v>45803</v>
      </c>
      <c r="D22" s="1">
        <v>45776</v>
      </c>
      <c r="E22" s="1">
        <v>45803</v>
      </c>
      <c r="F22" t="s">
        <v>62</v>
      </c>
      <c r="G22" t="b">
        <v>0</v>
      </c>
    </row>
    <row r="23" spans="1:7" x14ac:dyDescent="0.25">
      <c r="A23" s="1">
        <v>45811</v>
      </c>
      <c r="B23" s="1">
        <v>45804</v>
      </c>
      <c r="C23" s="1">
        <v>45810</v>
      </c>
      <c r="D23" s="1">
        <v>45783</v>
      </c>
      <c r="E23" s="1">
        <v>45810</v>
      </c>
      <c r="F23" t="s">
        <v>1108</v>
      </c>
      <c r="G23" t="b">
        <v>0</v>
      </c>
    </row>
    <row r="24" spans="1:7" x14ac:dyDescent="0.25">
      <c r="A24" s="1">
        <v>45818</v>
      </c>
      <c r="B24" s="1">
        <v>45811</v>
      </c>
      <c r="C24" s="1">
        <v>45817</v>
      </c>
      <c r="D24" s="1">
        <v>45790</v>
      </c>
      <c r="E24" s="1">
        <v>45817</v>
      </c>
      <c r="F24" t="s">
        <v>63</v>
      </c>
      <c r="G24" t="b">
        <v>0</v>
      </c>
    </row>
    <row r="25" spans="1:7" x14ac:dyDescent="0.25">
      <c r="A25" s="1">
        <v>45825</v>
      </c>
      <c r="B25" s="1">
        <v>45818</v>
      </c>
      <c r="C25" s="1">
        <v>45824</v>
      </c>
      <c r="D25" s="1">
        <v>45797</v>
      </c>
      <c r="E25" s="1">
        <v>45824</v>
      </c>
      <c r="F25" t="s">
        <v>64</v>
      </c>
      <c r="G25" t="b">
        <v>0</v>
      </c>
    </row>
    <row r="26" spans="1:7" x14ac:dyDescent="0.25">
      <c r="A26" s="1">
        <v>45832</v>
      </c>
      <c r="B26" s="1">
        <v>45825</v>
      </c>
      <c r="C26" s="1">
        <v>45831</v>
      </c>
      <c r="D26" s="1">
        <v>45804</v>
      </c>
      <c r="E26" s="1">
        <v>45831</v>
      </c>
      <c r="F26" t="s">
        <v>65</v>
      </c>
      <c r="G26" t="b">
        <v>0</v>
      </c>
    </row>
    <row r="27" spans="1:7" x14ac:dyDescent="0.25">
      <c r="A27" s="1">
        <v>45839</v>
      </c>
      <c r="B27" s="1">
        <v>45832</v>
      </c>
      <c r="C27" s="1">
        <v>45838</v>
      </c>
      <c r="D27" s="1">
        <v>45811</v>
      </c>
      <c r="E27" s="1">
        <v>45838</v>
      </c>
      <c r="F27" t="s">
        <v>66</v>
      </c>
      <c r="G27" t="b">
        <v>0</v>
      </c>
    </row>
    <row r="28" spans="1:7" x14ac:dyDescent="0.25">
      <c r="A28" s="1">
        <v>45846</v>
      </c>
      <c r="B28" s="1">
        <v>45839</v>
      </c>
      <c r="C28" s="1">
        <v>45845</v>
      </c>
      <c r="D28" s="1">
        <v>45818</v>
      </c>
      <c r="E28" s="1">
        <v>45845</v>
      </c>
      <c r="F28" t="s">
        <v>67</v>
      </c>
      <c r="G28" t="b">
        <v>0</v>
      </c>
    </row>
    <row r="29" spans="1:7" x14ac:dyDescent="0.25">
      <c r="A29" s="1">
        <v>45853</v>
      </c>
      <c r="B29" s="1">
        <v>45846</v>
      </c>
      <c r="C29" s="1">
        <v>45852</v>
      </c>
      <c r="D29" s="1">
        <v>45825</v>
      </c>
      <c r="E29" s="1">
        <v>45852</v>
      </c>
      <c r="F29" t="s">
        <v>68</v>
      </c>
      <c r="G29" t="b">
        <v>0</v>
      </c>
    </row>
    <row r="30" spans="1:7" x14ac:dyDescent="0.25">
      <c r="A30" s="1">
        <v>45860</v>
      </c>
      <c r="B30" s="1">
        <v>45853</v>
      </c>
      <c r="C30" s="1">
        <v>45859</v>
      </c>
      <c r="D30" s="1">
        <v>45832</v>
      </c>
      <c r="E30" s="1">
        <v>45859</v>
      </c>
      <c r="F30" t="s">
        <v>69</v>
      </c>
      <c r="G30" t="b">
        <v>0</v>
      </c>
    </row>
    <row r="31" spans="1:7" x14ac:dyDescent="0.25">
      <c r="A31" s="1">
        <v>45867</v>
      </c>
      <c r="B31" s="1">
        <v>45860</v>
      </c>
      <c r="C31" s="1">
        <v>45866</v>
      </c>
      <c r="D31" s="1">
        <v>45839</v>
      </c>
      <c r="E31" s="1">
        <v>45866</v>
      </c>
      <c r="F31" t="s">
        <v>70</v>
      </c>
      <c r="G31" t="b">
        <v>0</v>
      </c>
    </row>
    <row r="32" spans="1:7" x14ac:dyDescent="0.25">
      <c r="A32" s="1">
        <v>45874</v>
      </c>
      <c r="B32" s="1">
        <v>45867</v>
      </c>
      <c r="C32" s="1">
        <v>45873</v>
      </c>
      <c r="D32" s="1">
        <v>45846</v>
      </c>
      <c r="E32" s="1">
        <v>45873</v>
      </c>
      <c r="F32" t="s">
        <v>71</v>
      </c>
      <c r="G32" t="b">
        <v>0</v>
      </c>
    </row>
    <row r="33" spans="1:7" x14ac:dyDescent="0.25">
      <c r="A33" s="1">
        <v>45881</v>
      </c>
      <c r="B33" s="1">
        <v>45874</v>
      </c>
      <c r="C33" s="1">
        <v>45880</v>
      </c>
      <c r="D33" s="1">
        <v>45853</v>
      </c>
      <c r="E33" s="1">
        <v>45880</v>
      </c>
      <c r="F33" t="s">
        <v>72</v>
      </c>
      <c r="G33" t="b">
        <v>0</v>
      </c>
    </row>
    <row r="34" spans="1:7" x14ac:dyDescent="0.25">
      <c r="A34" s="1">
        <v>45888</v>
      </c>
      <c r="B34" s="1">
        <v>45881</v>
      </c>
      <c r="C34" s="1">
        <v>45887</v>
      </c>
      <c r="D34" s="1">
        <v>45860</v>
      </c>
      <c r="E34" s="1">
        <v>45887</v>
      </c>
      <c r="F34" t="s">
        <v>73</v>
      </c>
      <c r="G34" t="b">
        <v>0</v>
      </c>
    </row>
    <row r="35" spans="1:7" x14ac:dyDescent="0.25">
      <c r="A35" s="1">
        <v>45895</v>
      </c>
      <c r="B35" s="1">
        <v>45888</v>
      </c>
      <c r="C35" s="1">
        <v>45894</v>
      </c>
      <c r="D35" s="1">
        <v>45867</v>
      </c>
      <c r="E35" s="1">
        <v>45894</v>
      </c>
      <c r="F35" t="s">
        <v>74</v>
      </c>
      <c r="G35" t="b">
        <v>0</v>
      </c>
    </row>
    <row r="36" spans="1:7" x14ac:dyDescent="0.25">
      <c r="A36" s="1">
        <v>45902</v>
      </c>
      <c r="B36" s="1">
        <v>45895</v>
      </c>
      <c r="C36" s="1">
        <v>45901</v>
      </c>
      <c r="D36" s="1">
        <v>45874</v>
      </c>
      <c r="E36" s="1">
        <v>45901</v>
      </c>
      <c r="F36" t="s">
        <v>75</v>
      </c>
      <c r="G36" t="b">
        <v>0</v>
      </c>
    </row>
    <row r="37" spans="1:7" x14ac:dyDescent="0.25">
      <c r="A37" s="1">
        <v>45909</v>
      </c>
      <c r="B37" s="1">
        <v>45902</v>
      </c>
      <c r="C37" s="1">
        <v>45908</v>
      </c>
      <c r="D37" s="1">
        <v>45881</v>
      </c>
      <c r="E37" s="1">
        <v>45908</v>
      </c>
      <c r="F37" t="s">
        <v>76</v>
      </c>
      <c r="G37" t="b">
        <v>0</v>
      </c>
    </row>
    <row r="38" spans="1:7" x14ac:dyDescent="0.25">
      <c r="A38" s="1">
        <v>45916</v>
      </c>
      <c r="B38" s="1">
        <v>45909</v>
      </c>
      <c r="C38" s="1">
        <v>45915</v>
      </c>
      <c r="D38" s="1">
        <v>45888</v>
      </c>
      <c r="E38" s="1">
        <v>45915</v>
      </c>
      <c r="F38" t="s">
        <v>77</v>
      </c>
      <c r="G38" t="b">
        <v>0</v>
      </c>
    </row>
    <row r="39" spans="1:7" x14ac:dyDescent="0.25">
      <c r="A39" s="1">
        <v>45923</v>
      </c>
      <c r="B39" s="1">
        <v>45916</v>
      </c>
      <c r="C39" s="1">
        <v>45922</v>
      </c>
      <c r="D39" s="1">
        <v>45895</v>
      </c>
      <c r="E39" s="1">
        <v>45922</v>
      </c>
      <c r="F39" t="s">
        <v>78</v>
      </c>
      <c r="G39" t="b">
        <v>0</v>
      </c>
    </row>
    <row r="40" spans="1:7" x14ac:dyDescent="0.25">
      <c r="A40" s="1">
        <v>45930</v>
      </c>
      <c r="B40" s="1">
        <v>45923</v>
      </c>
      <c r="C40" s="1">
        <v>45929</v>
      </c>
      <c r="D40" s="1">
        <v>45902</v>
      </c>
      <c r="E40" s="1">
        <v>45929</v>
      </c>
      <c r="F40" t="s">
        <v>79</v>
      </c>
      <c r="G40" t="b">
        <v>0</v>
      </c>
    </row>
    <row r="41" spans="1:7" x14ac:dyDescent="0.25">
      <c r="A41" s="1">
        <v>45937</v>
      </c>
      <c r="B41" s="1">
        <v>45930</v>
      </c>
      <c r="C41" s="1">
        <v>45936</v>
      </c>
      <c r="D41" s="1">
        <v>45909</v>
      </c>
      <c r="E41" s="1">
        <v>45936</v>
      </c>
      <c r="F41" t="s">
        <v>80</v>
      </c>
      <c r="G41" t="b">
        <v>0</v>
      </c>
    </row>
    <row r="42" spans="1:7" x14ac:dyDescent="0.25">
      <c r="A42" s="1">
        <v>45944</v>
      </c>
      <c r="B42" s="1">
        <v>45937</v>
      </c>
      <c r="C42" s="1">
        <v>45943</v>
      </c>
      <c r="D42" s="1">
        <v>45916</v>
      </c>
      <c r="E42" s="1">
        <v>45943</v>
      </c>
      <c r="F42" t="s">
        <v>81</v>
      </c>
      <c r="G42" t="b">
        <v>0</v>
      </c>
    </row>
    <row r="43" spans="1:7" x14ac:dyDescent="0.25">
      <c r="A43" s="1">
        <v>45951</v>
      </c>
      <c r="B43" s="1">
        <v>45944</v>
      </c>
      <c r="C43" s="1">
        <v>45950</v>
      </c>
      <c r="D43" s="1">
        <v>45923</v>
      </c>
      <c r="E43" s="1">
        <v>45950</v>
      </c>
      <c r="F43" t="s">
        <v>82</v>
      </c>
      <c r="G43" t="b">
        <v>0</v>
      </c>
    </row>
    <row r="44" spans="1:7" x14ac:dyDescent="0.25">
      <c r="A44" s="1">
        <v>45958</v>
      </c>
      <c r="B44" s="1">
        <v>45951</v>
      </c>
      <c r="C44" s="1">
        <v>45957</v>
      </c>
      <c r="D44" s="1">
        <v>45930</v>
      </c>
      <c r="E44" s="1">
        <v>45957</v>
      </c>
      <c r="F44" t="s">
        <v>83</v>
      </c>
      <c r="G44" t="b">
        <v>0</v>
      </c>
    </row>
    <row r="45" spans="1:7" x14ac:dyDescent="0.25">
      <c r="A45" s="1">
        <v>45965</v>
      </c>
      <c r="B45" s="1">
        <v>45958</v>
      </c>
      <c r="C45" s="1">
        <v>45964</v>
      </c>
      <c r="D45" s="1">
        <v>45937</v>
      </c>
      <c r="E45" s="1">
        <v>45964</v>
      </c>
      <c r="F45" t="s">
        <v>84</v>
      </c>
      <c r="G45" t="b">
        <v>0</v>
      </c>
    </row>
    <row r="46" spans="1:7" x14ac:dyDescent="0.25">
      <c r="A46" s="1">
        <v>45972</v>
      </c>
      <c r="B46" s="1">
        <v>45965</v>
      </c>
      <c r="C46" s="1">
        <v>45971</v>
      </c>
      <c r="D46" s="1">
        <v>45944</v>
      </c>
      <c r="E46" s="1">
        <v>45971</v>
      </c>
      <c r="F46" t="s">
        <v>85</v>
      </c>
      <c r="G46" t="b">
        <v>0</v>
      </c>
    </row>
    <row r="47" spans="1:7" x14ac:dyDescent="0.25">
      <c r="A47" s="1">
        <v>45979</v>
      </c>
      <c r="B47" s="1">
        <v>45972</v>
      </c>
      <c r="C47" s="1">
        <v>45978</v>
      </c>
      <c r="D47" s="1">
        <v>45951</v>
      </c>
      <c r="E47" s="1">
        <v>45978</v>
      </c>
      <c r="F47" t="s">
        <v>86</v>
      </c>
      <c r="G47" t="b">
        <v>0</v>
      </c>
    </row>
    <row r="48" spans="1:7" x14ac:dyDescent="0.25">
      <c r="A48" s="1">
        <v>45986</v>
      </c>
      <c r="B48" s="1">
        <v>45979</v>
      </c>
      <c r="C48" s="1">
        <v>45985</v>
      </c>
      <c r="D48" s="1">
        <v>45958</v>
      </c>
      <c r="E48" s="1">
        <v>45985</v>
      </c>
      <c r="F48" t="s">
        <v>87</v>
      </c>
      <c r="G48" t="b">
        <v>0</v>
      </c>
    </row>
    <row r="49" spans="1:7" x14ac:dyDescent="0.25">
      <c r="A49" s="1">
        <v>45993</v>
      </c>
      <c r="B49" s="1">
        <v>45986</v>
      </c>
      <c r="C49" s="1">
        <v>45992</v>
      </c>
      <c r="D49" s="1">
        <v>45965</v>
      </c>
      <c r="E49" s="1">
        <v>45992</v>
      </c>
      <c r="F49" t="s">
        <v>88</v>
      </c>
      <c r="G49" t="b">
        <v>0</v>
      </c>
    </row>
    <row r="50" spans="1:7" x14ac:dyDescent="0.25">
      <c r="A50" s="1">
        <v>46000</v>
      </c>
      <c r="B50" s="1">
        <v>45993</v>
      </c>
      <c r="C50" s="1">
        <v>45999</v>
      </c>
      <c r="D50" s="1">
        <v>45972</v>
      </c>
      <c r="E50" s="1">
        <v>45999</v>
      </c>
      <c r="F50" t="s">
        <v>89</v>
      </c>
      <c r="G50" t="b">
        <v>0</v>
      </c>
    </row>
    <row r="51" spans="1:7" x14ac:dyDescent="0.25">
      <c r="A51" s="1">
        <v>46007</v>
      </c>
      <c r="B51" s="1">
        <v>46000</v>
      </c>
      <c r="C51" s="1">
        <v>46006</v>
      </c>
      <c r="D51" s="1">
        <v>45979</v>
      </c>
      <c r="E51" s="1">
        <v>46006</v>
      </c>
      <c r="F51" t="s">
        <v>90</v>
      </c>
      <c r="G51" t="b">
        <v>0</v>
      </c>
    </row>
    <row r="52" spans="1:7" x14ac:dyDescent="0.25">
      <c r="A52" s="1">
        <v>46014</v>
      </c>
      <c r="B52" s="1">
        <v>46007</v>
      </c>
      <c r="C52" s="1">
        <v>46013</v>
      </c>
      <c r="D52" s="1">
        <v>45986</v>
      </c>
      <c r="E52" s="1">
        <v>46013</v>
      </c>
      <c r="F52" t="s">
        <v>91</v>
      </c>
      <c r="G52" t="b">
        <v>0</v>
      </c>
    </row>
    <row r="53" spans="1:7" x14ac:dyDescent="0.25">
      <c r="A53" s="1">
        <v>46021</v>
      </c>
      <c r="B53" s="1">
        <v>46014</v>
      </c>
      <c r="C53" s="1">
        <v>46020</v>
      </c>
      <c r="D53" s="1">
        <v>45993</v>
      </c>
      <c r="E53" s="1">
        <v>46020</v>
      </c>
      <c r="F53" t="s">
        <v>92</v>
      </c>
      <c r="G53" t="b">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b1bf5c3b-6d54-46d3-b945-dfb4607c5fc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01B980016700041A859C26B0CBE3010" ma:contentTypeVersion="16" ma:contentTypeDescription="Create a new document." ma:contentTypeScope="" ma:versionID="1209fce709753742879aa2378553e378">
  <xsd:schema xmlns:xsd="http://www.w3.org/2001/XMLSchema" xmlns:xs="http://www.w3.org/2001/XMLSchema" xmlns:p="http://schemas.microsoft.com/office/2006/metadata/properties" xmlns:ns3="b1bf5c3b-6d54-46d3-b945-dfb4607c5fc2" xmlns:ns4="a7c3798e-333d-4d8c-b7f0-61d3254dbad2" targetNamespace="http://schemas.microsoft.com/office/2006/metadata/properties" ma:root="true" ma:fieldsID="5789b25bd9b028519a2563d031c469c4" ns3:_="" ns4:_="">
    <xsd:import namespace="b1bf5c3b-6d54-46d3-b945-dfb4607c5fc2"/>
    <xsd:import namespace="a7c3798e-333d-4d8c-b7f0-61d3254dbad2"/>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DateTaken" minOccurs="0"/>
                <xsd:element ref="ns3:MediaServiceAutoTags" minOccurs="0"/>
                <xsd:element ref="ns3:MediaLengthInSeconds" minOccurs="0"/>
                <xsd:element ref="ns3:MediaServiceLocation" minOccurs="0"/>
                <xsd:element ref="ns3:MediaServiceGenerationTime" minOccurs="0"/>
                <xsd:element ref="ns3:MediaServiceEventHashCode" minOccurs="0"/>
                <xsd:element ref="ns3:MediaServiceOCR"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bf5c3b-6d54-46d3-b945-dfb4607c5f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Location" ma:index="17" nillable="true" ma:displayName="Location" ma:indexed="true" ma:internalName="MediaServiceLocatio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7c3798e-333d-4d8c-b7f0-61d3254dbad2"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52810D0D-F7EB-4155-BDDE-E199544D9328}">
  <ds:schemaRefs>
    <ds:schemaRef ds:uri="http://schemas.microsoft.com/office/2006/metadata/properties"/>
    <ds:schemaRef ds:uri="http://schemas.microsoft.com/office/infopath/2007/PartnerControls"/>
    <ds:schemaRef ds:uri="b1bf5c3b-6d54-46d3-b945-dfb4607c5fc2"/>
  </ds:schemaRefs>
</ds:datastoreItem>
</file>

<file path=customXml/itemProps2.xml><?xml version="1.0" encoding="utf-8"?>
<ds:datastoreItem xmlns:ds="http://schemas.openxmlformats.org/officeDocument/2006/customXml" ds:itemID="{CB7326F4-C310-4BE5-8C1C-0B665131CBE9}">
  <ds:schemaRefs>
    <ds:schemaRef ds:uri="http://schemas.microsoft.com/sharepoint/v3/contenttype/forms"/>
  </ds:schemaRefs>
</ds:datastoreItem>
</file>

<file path=customXml/itemProps3.xml><?xml version="1.0" encoding="utf-8"?>
<ds:datastoreItem xmlns:ds="http://schemas.openxmlformats.org/officeDocument/2006/customXml" ds:itemID="{21E17DD6-CAB6-420A-A95D-C32957EEB9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1bf5c3b-6d54-46d3-b945-dfb4607c5fc2"/>
    <ds:schemaRef ds:uri="a7c3798e-333d-4d8c-b7f0-61d3254dbad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A3093440-9B82-429A-AB14-5B94A942A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Bur_C_R_28D (2)</vt:lpstr>
      <vt:lpstr>_7Day_28Day_250414_</vt:lpstr>
      <vt:lpstr>All_Crimes</vt:lpstr>
      <vt:lpstr>Sexual_Offenses</vt:lpstr>
      <vt:lpstr>Robbery</vt:lpstr>
      <vt:lpstr>EXPORT_RMS</vt:lpstr>
      <vt:lpstr>Motor_Vehicle_Theft</vt:lpstr>
      <vt:lpstr>Auto_Burglary</vt:lpstr>
      <vt:lpstr>Burglary_Commercial_Residential</vt:lpstr>
      <vt:lpstr>BUR_C_R_PT</vt:lpstr>
      <vt:lpstr>BUR_AUTO_PT</vt:lpstr>
      <vt:lpstr>_7Day_28Day_250414_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Carucci</dc:creator>
  <cp:keywords/>
  <dc:description/>
  <cp:lastModifiedBy>Robert Carucci</cp:lastModifiedBy>
  <cp:revision/>
  <dcterms:created xsi:type="dcterms:W3CDTF">2015-06-05T18:17:20Z</dcterms:created>
  <dcterms:modified xsi:type="dcterms:W3CDTF">2025-07-08T17:42:40Z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0x010100601B980016700041A859C26B0CBE3010</vt:lpwstr>
  </property>
</Properties>
</file>